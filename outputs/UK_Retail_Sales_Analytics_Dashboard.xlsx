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82b1ca557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1e1c0334ed40f7"/>
    <x:sheet xmlns:r="http://schemas.openxmlformats.org/officeDocument/2006/relationships" name="Sales Data" sheetId="2" r:id="R16002b3359c54b63"/>
    <x:sheet xmlns:r="http://schemas.openxmlformats.org/officeDocument/2006/relationships" name="Monthly Analysis" sheetId="3" r:id="R0bfa32bfcaa94275"/>
    <x:sheet xmlns:r="http://schemas.openxmlformats.org/officeDocument/2006/relationships" name="Segment Analysis" sheetId="4" r:id="R4e7df857849f48e2"/>
    <x:sheet xmlns:r="http://schemas.openxmlformats.org/officeDocument/2006/relationships" name="Business Insights" sheetId="5" r:id="R8ebd7e7db9e9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&quot;£&quot;#,##0.00"/>
    <x:numFmt numFmtId="202" formatCode="0%"/>
    <x:numFmt numFmtId="203" formatCode="0.0"/>
    <x:numFmt numFmtId="204" formatCode="&quot;£&quot;#,##0"/>
    <x:numFmt numFmtId="205" formatCode="0.0%"/>
    <x:numFmt numFmtId="206" formatCode="#,##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22"/>
      <x:color rgb="FFFFFFFF"/>
      <x:name val="Carlito"/>
    </x:font>
    <x:font>
      <x:i/>
      <x:sz val="11"/>
      <x:color rgb="FFFFFFFF"/>
      <x:name val="Carlito"/>
    </x:font>
    <x:font>
      <x:b/>
      <x:sz val="18"/>
      <x:color rgb="FF0F2747"/>
      <x:name val="Carlito"/>
    </x:font>
    <x:font>
      <x:i/>
      <x:sz val="11"/>
      <x:color rgb="FF607080"/>
      <x:name val="Carlito"/>
    </x:font>
    <x:font>
      <x:b/>
      <x:sz val="22"/>
      <x:color rgb="FFFFFFFF"/>
      <x:name val="Aptos"/>
    </x:font>
    <x:font>
      <x:i/>
      <x:sz val="11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0F2747"/>
      <x:name val="Aptos"/>
    </x:font>
    <x:font>
      <x:i/>
      <x:sz val="11"/>
      <x:color rgb="FF607080"/>
      <x:name val="Aptos"/>
    </x:font>
    <x:font>
      <x:b/>
      <x:sz val="2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176B87"/>
      </x:patternFill>
    </x:fill>
    <x:fill>
      <x:patternFill patternType="solid">
        <x:fgColor rgb="FFEAF4F4"/>
      </x:patternFill>
    </x:fill>
    <x:fill>
      <x:patternFill patternType="solid">
        <x:fgColor rgb="FFF5F7FA"/>
      </x:patternFill>
    </x:fill>
    <x:fill>
      <x:patternFill patternType="solid">
        <x:fgColor rgb="FF2A9D8F"/>
      </x:patternFill>
    </x:fill>
  </x:fills>
  <x:borders count="14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CD6"/>
      </x:left>
      <x:top style="thin">
        <x:color rgb="FFB8CCD6"/>
      </x:top>
    </x:border>
    <x:border>
      <x:top style="thin">
        <x:color rgb="FFB8CCD6"/>
      </x:top>
    </x:border>
    <x:border>
      <x:right style="thin">
        <x:color rgb="FFB8CCD6"/>
      </x:right>
      <x:top style="thin">
        <x:color rgb="FFB8CCD6"/>
      </x:top>
    </x:border>
    <x:border>
      <x:left style="thin">
        <x:color rgb="FFB8CCD6"/>
      </x:left>
      <x:bottom style="thin">
        <x:color rgb="FFB8CCD6"/>
      </x:bottom>
    </x:border>
    <x:border>
      <x:bottom style="thin">
        <x:color rgb="FFB8CCD6"/>
      </x:bottom>
    </x:border>
    <x:border>
      <x:right style="thin">
        <x:color rgb="FFB8CCD6"/>
      </x:right>
      <x:bottom style="thin">
        <x:color rgb="FFB8CCD6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4" fontId="0" fillId="0" borderId="1" xfId="0" applyNumberFormat="1" applyFont="1" applyFill="1" applyBorder="1"/>
    <x:xf numFmtId="205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6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204" fontId="5" fillId="4" borderId="2" xfId="0" applyNumberFormat="1" applyFont="1" applyFill="1" applyBorder="1" applyAlignment="1">
      <x:alignment horizontal="center" vertical="center"/>
    </x:xf>
    <x:xf numFmtId="205" fontId="5" fillId="4" borderId="2" xfId="0" applyNumberFormat="1" applyFont="1" applyFill="1" applyBorder="1" applyAlignment="1">
      <x:alignment horizontal="center" vertical="center"/>
    </x:xf>
    <x:xf numFmtId="206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center" vertical="center"/>
    </x:xf>
    <x:xf numFmtId="203" fontId="5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 vertical="center"/>
    </x:xf>
    <x:xf numFmtId="204" fontId="11" fillId="4" borderId="2" xfId="0" applyNumberFormat="1" applyFont="1" applyFill="1" applyBorder="1" applyAlignment="1">
      <x:alignment horizontal="center" vertical="center"/>
    </x:xf>
    <x:xf numFmtId="0" fontId="11" fillId="4" borderId="3" xfId="0" applyNumberFormat="1" applyFont="1" applyFill="1" applyBorder="1" applyAlignment="1">
      <x:alignment horizontal="center" vertical="center"/>
    </x:xf>
    <x:xf numFmtId="0" fontId="11" fillId="4" borderId="4" xfId="0" applyNumberFormat="1" applyFont="1" applyFill="1" applyBorder="1" applyAlignment="1">
      <x:alignment horizontal="center" vertical="center"/>
    </x:xf>
    <x:xf numFmtId="205" fontId="11" fillId="4" borderId="2" xfId="0" applyNumberFormat="1" applyFont="1" applyFill="1" applyBorder="1" applyAlignment="1">
      <x:alignment horizontal="center" vertical="center"/>
    </x:xf>
    <x:xf numFmtId="206" fontId="11" fillId="4" borderId="2" xfId="0" applyNumberFormat="1" applyFont="1" applyFill="1" applyBorder="1" applyAlignment="1">
      <x:alignment horizontal="center" vertical="center"/>
    </x:xf>
    <x:xf numFmtId="0" fontId="11" fillId="4" borderId="5" xfId="0" applyNumberFormat="1" applyFont="1" applyFill="1" applyBorder="1" applyAlignment="1">
      <x:alignment horizontal="center" vertical="center"/>
    </x:xf>
    <x:xf numFmtId="0" fontId="11" fillId="4" borderId="6" xfId="0" applyNumberFormat="1" applyFont="1" applyFill="1" applyBorder="1" applyAlignment="1">
      <x:alignment horizontal="center" vertical="center"/>
    </x:xf>
    <x:xf numFmtId="0" fontId="11" fillId="4" borderId="7" xfId="0" applyNumberFormat="1" applyFont="1" applyFill="1" applyBorder="1" applyAlignment="1">
      <x:alignment horizontal="center" vertical="center"/>
    </x:xf>
    <x:xf numFmtId="201" fontId="11" fillId="4" borderId="2" xfId="0" applyNumberFormat="1" applyFont="1" applyFill="1" applyBorder="1" applyAlignment="1">
      <x:alignment horizontal="center" vertical="center"/>
    </x:xf>
    <x:xf numFmtId="203" fontId="11" fillId="4" borderId="2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D9534F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1d10246ab4374" /><Relationship Type="http://schemas.openxmlformats.org/officeDocument/2006/relationships/theme" Target="/xl/theme/theme1.xml" Id="R7aeb0f4ce278405c" /><Relationship Type="http://schemas.openxmlformats.org/officeDocument/2006/relationships/sharedStrings" Target="/xl/sharedStrings.xml" Id="R70da77151247435d" /><Relationship Type="http://schemas.openxmlformats.org/officeDocument/2006/relationships/worksheet" Target="/xl/worksheets/sheet1.xml" Id="Rd41e1c0334ed40f7" /><Relationship Type="http://schemas.openxmlformats.org/officeDocument/2006/relationships/worksheet" Target="/xl/worksheets/sheet2.xml" Id="R16002b3359c54b63" /><Relationship Type="http://schemas.openxmlformats.org/officeDocument/2006/relationships/worksheet" Target="/xl/worksheets/sheet3.xml" Id="R0bfa32bfcaa94275" /><Relationship Type="http://schemas.openxmlformats.org/officeDocument/2006/relationships/worksheet" Target="/xl/worksheets/sheet4.xml" Id="R4e7df857849f48e2" /><Relationship Type="http://schemas.openxmlformats.org/officeDocument/2006/relationships/worksheet" Target="/xl/worksheets/sheet5.xml" Id="R8ebd7e7db9e941b2" /><Relationship Type="http://schemas.microsoft.com/office/2017/10/relationships/person" Target="/xl/persons/person.xml" Id="R6fdf7cdf72a84d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5d4d8fc7014044" /><Relationship Type="http://schemas.openxmlformats.org/officeDocument/2006/relationships/chart" Target="/xl/drawings/charts/chart2.xml" Id="R00e2f7e4af8a4918" /><Relationship Type="http://schemas.openxmlformats.org/officeDocument/2006/relationships/chart" Target="/xl/drawings/charts/chart3.xml" Id="R2ce2f9326d1d4e7d" /><Relationship Type="http://schemas.openxmlformats.org/officeDocument/2006/relationships/chart" Target="/xl/drawings/charts/chart4.xml" Id="R29a23ca8512743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176B87"/>
            </a:solidFill>
          </c:spPr>
          <c:marker>
            <c:symbol val="none"/>
          </c:marker>
          <c:cat>
            <c:strRef>
              <c:f>'Monthly Analysis'!$A$2:$A$25</c:f>
              <c:strCache>
                <c:ptCount val="0"/>
              </c:strCache>
            </c:strRef>
          </c:cat>
          <c:val>
            <c:numRef>
              <c:f>'Monthly Analysis'!$B$2:$B$25</c:f>
              <c:numCache>
                <c:formatCode>£#,##0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spPr>
            <a:solidFill xmlns:a="http://schemas.openxmlformats.org/drawingml/2006/main">
              <a:srgbClr val="2A9D8F"/>
            </a:solidFill>
          </c:spPr>
          <c:marker>
            <c:symbol val="none"/>
          </c:marker>
          <c:cat>
            <c:strRef>
              <c:f>'Monthly Analysis'!$A$2:$A$25</c:f>
              <c:strCache>
                <c:ptCount val="0"/>
              </c:strCache>
            </c:strRef>
          </c:cat>
          <c:val>
            <c:numRef>
              <c:f>'Monthly Analysis'!$C$2:$C$25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E9C46A"/>
            </a:solidFill>
          </c:spPr>
          <c:cat>
            <c:strRef>
              <c:f>'Segment Analysis'!$A$2:$A$9</c:f>
              <c:strCache>
                <c:ptCount val="0"/>
              </c:strCache>
            </c:strRef>
          </c:cat>
          <c:val>
            <c:numRef>
              <c:f>'Segment Analysis'!$B$2:$B$9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'Segment Analysis'!$G$2:$G$7</c:f>
              <c:strCache>
                <c:ptCount val="0"/>
              </c:strCache>
            </c:strRef>
          </c:cat>
          <c:val>
            <c:numRef>
              <c:f>'Segment Analysis'!$I$2:$I$7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Revenue</c:v>
          </c:tx>
          <c:cat>
            <c:strRef>
              <c:f>'Segment Analysis'!$L$2:$L$4</c:f>
              <c:strCache>
                <c:ptCount val="0"/>
              </c:strCache>
            </c:strRef>
          </c:cat>
          <c:val>
            <c:numRef>
              <c:f>'Segment Analysis'!$M$2:$M$4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5d4d8fc7014044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e2f7e4af8a491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e2f9326d1d4e7d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a23ca8512743b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anthosh Banoth" id="{7FF4037E-E7F8-4F74-A5DA-13CBA99A949B}"/>
</xltc:personList>
</file>

<file path=xl/tables/table1.xml><?xml version="1.0" encoding="utf-8"?>
<x:table xmlns:x="http://schemas.openxmlformats.org/spreadsheetml/2006/main" id="1" name="RetailSalesTable" displayName="RetailSalesTable" ref="A1:Q1801" headerRowCount="1" totalsRowCount="0" totalsRowShown="0">
  <x:tableColumns count="17">
    <x:tableColumn id="1" name="Order ID"/>
    <x:tableColumn id="2" name="Order Date"/>
    <x:tableColumn id="3" name="Month"/>
    <x:tableColumn id="4" name="Customer ID"/>
    <x:tableColumn id="5" name="Region"/>
    <x:tableColumn id="6" name="Channel"/>
    <x:tableColumn id="7" name="Category"/>
    <x:tableColumn id="8" name="Product"/>
    <x:tableColumn id="9" name="Quantity"/>
    <x:tableColumn id="10" name="Unit Price"/>
    <x:tableColumn id="11" name="Unit Cost"/>
    <x:tableColumn id="12" name="Discount"/>
    <x:tableColumn id="13" name="Revenue"/>
    <x:tableColumn id="14" name="Cost"/>
    <x:tableColumn id="15" name="Profit"/>
    <x:tableColumn id="16" name="Rating"/>
    <x:tableColumn id="17" name="Return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etricsTable" displayName="MonthlyMetricsTable" ref="A1:E25" headerRowCount="1" totalsRowCount="0" totalsRowShown="0">
  <x:tableColumns count="5">
    <x:tableColumn id="1" name="Month"/>
    <x:tableColumn id="2" name="Revenue"/>
    <x:tableColumn id="3" name="Profit"/>
    <x:tableColumn id="4" name="Orders"/>
    <x:tableColumn id="5" name="Profit Margi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39b56a62f347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45c8ba468742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e786ea7be44d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4" t="str">
        <x:v>UK Retail Sales &amp; Customer Insights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 t="str">
        <x:v>Performance overview | January 2024 – December 2025 | Synthetic portfolio dataset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</x:row>
    <x:row r="5">
      <x:c r="A5" s="57" t="str">
        <x:v>Total Revenue</x:v>
      </x:c>
      <x:c r="B5" s="57"/>
      <x:c r="C5" s="57"/>
      <x:c r="D5" s="57" t="str">
        <x:v>Total Profit</x:v>
      </x:c>
      <x:c r="E5" s="57"/>
      <x:c r="F5" s="57"/>
      <x:c r="G5" s="57" t="str">
        <x:v>Profit Margin</x:v>
      </x:c>
      <x:c r="H5" s="57"/>
      <x:c r="I5" s="57"/>
      <x:c r="J5" s="57" t="str">
        <x:v>Orders</x:v>
      </x:c>
      <x:c r="K5" s="57"/>
      <x:c r="L5" s="57"/>
    </x:row>
    <x:row r="6">
      <x:c r="A6" s="58" t="n">
        <x:f>SUM('Sales Data'!$M$2:$M$1801)</x:f>
        <x:v>341910.51999999944</x:v>
      </x:c>
      <x:c r="B6" s="59"/>
      <x:c r="C6" s="60"/>
      <x:c r="D6" s="58" t="n">
        <x:f>SUM('Sales Data'!$O$2:$O$1801)</x:f>
        <x:v>158111.51999999981</x:v>
      </x:c>
      <x:c r="E6" s="59"/>
      <x:c r="F6" s="60"/>
      <x:c r="G6" s="61" t="n">
        <x:f>IFERROR(D6/A6,0)</x:f>
        <x:v>0.4624353763668929</x:v>
      </x:c>
      <x:c r="H6" s="59"/>
      <x:c r="I6" s="60"/>
      <x:c r="J6" s="62" t="n">
        <x:f>COUNTA('Sales Data'!$A$2:$A$1801)</x:f>
        <x:v>1800</x:v>
      </x:c>
      <x:c r="K6" s="59"/>
      <x:c r="L6" s="60"/>
    </x:row>
    <x:row r="7">
      <x:c r="A7" s="63"/>
      <x:c r="B7" s="64"/>
      <x:c r="C7" s="65"/>
      <x:c r="D7" s="63"/>
      <x:c r="E7" s="64"/>
      <x:c r="F7" s="65"/>
      <x:c r="G7" s="63"/>
      <x:c r="H7" s="64"/>
      <x:c r="I7" s="65"/>
      <x:c r="J7" s="63"/>
      <x:c r="K7" s="64"/>
      <x:c r="L7" s="65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</x:row>
    <x:row r="9">
      <x:c r="A9" s="57" t="str">
        <x:v>Average Order Value</x:v>
      </x:c>
      <x:c r="B9" s="57"/>
      <x:c r="C9" s="57"/>
      <x:c r="D9" s="57" t="str">
        <x:v>Return Rate</x:v>
      </x:c>
      <x:c r="E9" s="57"/>
      <x:c r="F9" s="57"/>
      <x:c r="G9" s="57" t="str">
        <x:v>Average Rating</x:v>
      </x:c>
      <x:c r="H9" s="57"/>
      <x:c r="I9" s="57"/>
      <x:c r="J9" s="57" t="str">
        <x:v>Units Sold</x:v>
      </x:c>
      <x:c r="K9" s="57"/>
      <x:c r="L9" s="57"/>
    </x:row>
    <x:row r="10">
      <x:c r="A10" s="66" t="n">
        <x:f>IFERROR(A6/J6,0)</x:f>
        <x:v>189.95028888888856</x:v>
      </x:c>
      <x:c r="B10" s="59"/>
      <x:c r="C10" s="60"/>
      <x:c r="D10" s="61" t="n">
        <x:f>COUNTIF('Sales Data'!$Q$2:$Q$1801,"Yes")/J6</x:f>
        <x:v>0.09166666666666666</x:v>
      </x:c>
      <x:c r="E10" s="59"/>
      <x:c r="F10" s="60"/>
      <x:c r="G10" s="67" t="n">
        <x:f>AVERAGE('Sales Data'!$P$2:$P$1801)</x:f>
        <x:v>4.222999999999998</x:v>
      </x:c>
      <x:c r="H10" s="59"/>
      <x:c r="I10" s="60"/>
      <x:c r="J10" s="62" t="n">
        <x:f>SUM('Sales Data'!$I$2:$I$1801)</x:f>
        <x:v>5381</x:v>
      </x:c>
      <x:c r="K10" s="59"/>
      <x:c r="L10" s="60"/>
    </x:row>
    <x:row r="11">
      <x:c r="A11" s="63"/>
      <x:c r="B11" s="64"/>
      <x:c r="C11" s="65"/>
      <x:c r="D11" s="63"/>
      <x:c r="E11" s="64"/>
      <x:c r="F11" s="65"/>
      <x:c r="G11" s="63"/>
      <x:c r="H11" s="64"/>
      <x:c r="I11" s="65"/>
      <x:c r="J11" s="63"/>
      <x:c r="K11" s="64"/>
      <x:c r="L11" s="65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</x:row>
    <x:row r="47">
      <x:c r="A47" s="68" t="str">
        <x:v>Use the Sales Data sheet for filtering and drill-down. All dashboard KPIs and charts are formula-driven.</x:v>
      </x:c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47:L48"/>
  </x:mergeCells>
  <x:pageMargins left="0.7" right="0.7" top="0.75" bottom="0.75" header="0.3" footer="0.3"/>
  <x:drawing xmlns:r="http://schemas.openxmlformats.org/officeDocument/2006/relationships" r:id="R0b39b56a62f347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3" hidden="0" customWidth="1"/>
    <x:col min="5" max="5" width="14" hidden="0" customWidth="1"/>
    <x:col min="6" max="6" width="13" hidden="0" customWidth="1"/>
    <x:col min="7" max="7" width="13" hidden="0" customWidth="1"/>
    <x:col min="8" max="8" width="28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9" hidden="0" customWidth="1"/>
    <x:col min="17" max="17" width="10" hidden="0" customWidth="1"/>
  </x:cols>
  <x:sheetData>
    <x:row r="1" ht="26" customHeight="1">
      <x:c r="A1" s="7" t="str">
        <x:v>Order ID</x:v>
      </x:c>
      <x:c r="B1" s="7" t="str">
        <x:v>Order Date</x:v>
      </x:c>
      <x:c r="C1" s="7" t="str">
        <x:v>Month</x:v>
      </x:c>
      <x:c r="D1" s="7" t="str">
        <x:v>Customer ID</x:v>
      </x:c>
      <x:c r="E1" s="7" t="str">
        <x:v>Region</x:v>
      </x:c>
      <x:c r="F1" s="7" t="str">
        <x:v>Channel</x:v>
      </x:c>
      <x:c r="G1" s="7" t="str">
        <x:v>Category</x:v>
      </x:c>
      <x:c r="H1" s="7" t="str">
        <x:v>Product</x:v>
      </x:c>
      <x:c r="I1" s="7" t="str">
        <x:v>Quantity</x:v>
      </x:c>
      <x:c r="J1" s="7" t="str">
        <x:v>Unit Price</x:v>
      </x:c>
      <x:c r="K1" s="7" t="str">
        <x:v>Unit Cost</x:v>
      </x:c>
      <x:c r="L1" s="7" t="str">
        <x:v>Discount</x:v>
      </x:c>
      <x:c r="M1" s="7" t="str">
        <x:v>Revenue</x:v>
      </x:c>
      <x:c r="N1" s="7" t="str">
        <x:v>Cost</x:v>
      </x:c>
      <x:c r="O1" s="7" t="str">
        <x:v>Profit</x:v>
      </x:c>
      <x:c r="P1" s="7" t="str">
        <x:v>Rating</x:v>
      </x:c>
      <x:c r="Q1" s="7" t="str">
        <x:v>Returned</x:v>
      </x:c>
    </x:row>
    <x:row r="2">
      <x:c r="A2" t="str">
        <x:v>ORD-00061</x:v>
      </x:c>
      <x:c r="B2" s="3" t="n">
        <x:v>45292.138901956016</x:v>
      </x:c>
      <x:c r="C2" t="str">
        <x:v>2024-01</x:v>
      </x:c>
      <x:c r="D2" t="str">
        <x:v>CUS-0372</x:v>
      </x:c>
      <x:c r="E2" t="str">
        <x:v>North West</x:v>
      </x:c>
      <x:c r="F2" t="str">
        <x:v>Marketplace</x:v>
      </x:c>
      <x:c r="G2" t="str">
        <x:v>Books</x:v>
      </x:c>
      <x:c r="H2" t="str">
        <x:v>Business Intelligence Guide</x:v>
      </x:c>
      <x:c r="I2" t="n">
        <x:v>2</x:v>
      </x:c>
      <x:c r="J2" s="4" t="n">
        <x:v>35.43</x:v>
      </x:c>
      <x:c r="K2" s="4" t="n">
        <x:v>12</x:v>
      </x:c>
      <x:c r="L2" s="5" t="n">
        <x:v>0</x:v>
      </x:c>
      <x:c r="M2" s="4" t="n">
        <x:f>ROUND(I2*J2*(1-L2),2)</x:f>
        <x:v>70.86</x:v>
      </x:c>
      <x:c r="N2" s="4" t="n">
        <x:f>ROUND(I2*K2,2)</x:f>
        <x:v>24</x:v>
      </x:c>
      <x:c r="O2" s="4" t="n">
        <x:f>ROUND(M2-N2,2)</x:f>
        <x:v>46.86</x:v>
      </x:c>
      <x:c r="P2" s="6" t="n">
        <x:v>5</x:v>
      </x:c>
      <x:c r="Q2" t="str">
        <x:v>No</x:v>
      </x:c>
    </x:row>
    <x:row r="3">
      <x:c r="A3" t="str">
        <x:v>ORD-00843</x:v>
      </x:c>
      <x:c r="B3" s="3" t="n">
        <x:v>45292.49816938658</x:v>
      </x:c>
      <x:c r="C3" t="str">
        <x:v>2024-01</x:v>
      </x:c>
      <x:c r="D3" t="str">
        <x:v>CUS-0442</x:v>
      </x:c>
      <x:c r="E3" t="str">
        <x:v>Wales</x:v>
      </x:c>
      <x:c r="F3" t="str">
        <x:v>Store</x:v>
      </x:c>
      <x:c r="G3" t="str">
        <x:v>Electronics</x:v>
      </x:c>
      <x:c r="H3" t="str">
        <x:v>Bluetooth Speaker</x:v>
      </x:c>
      <x:c r="I3" t="n">
        <x:v>5</x:v>
      </x:c>
      <x:c r="J3" s="4" t="n">
        <x:v>62.99</x:v>
      </x:c>
      <x:c r="K3" s="4" t="n">
        <x:v>34</x:v>
      </x:c>
      <x:c r="L3" s="5" t="n">
        <x:v>0.05</x:v>
      </x:c>
      <x:c r="M3" s="4" t="n">
        <x:f>ROUND(I3*J3*(1-L3),2)</x:f>
        <x:v>299.2</x:v>
      </x:c>
      <x:c r="N3" s="4" t="n">
        <x:f>ROUND(I3*K3,2)</x:f>
        <x:v>170</x:v>
      </x:c>
      <x:c r="O3" s="4" t="n">
        <x:f>ROUND(M3-N3,2)</x:f>
        <x:v>129.2</x:v>
      </x:c>
      <x:c r="P3" s="6" t="n">
        <x:v>5</x:v>
      </x:c>
      <x:c r="Q3" t="str">
        <x:v>No</x:v>
      </x:c>
    </x:row>
    <x:row r="4">
      <x:c r="A4" t="str">
        <x:v>ORD-01396</x:v>
      </x:c>
      <x:c r="B4" s="3" t="n">
        <x:v>45293.06045790509</x:v>
      </x:c>
      <x:c r="C4" t="str">
        <x:v>2024-01</x:v>
      </x:c>
      <x:c r="D4" t="str">
        <x:v>CUS-0049</x:v>
      </x:c>
      <x:c r="E4" t="str">
        <x:v>North East</x:v>
      </x:c>
      <x:c r="F4" t="str">
        <x:v>Online</x:v>
      </x:c>
      <x:c r="G4" t="str">
        <x:v>Home</x:v>
      </x:c>
      <x:c r="H4" t="str">
        <x:v>Air Fryer</x:v>
      </x:c>
      <x:c r="I4" t="n">
        <x:v>2</x:v>
      </x:c>
      <x:c r="J4" s="4" t="n">
        <x:v>125.9</x:v>
      </x:c>
      <x:c r="K4" s="4" t="n">
        <x:v>69</x:v>
      </x:c>
      <x:c r="L4" s="5" t="n">
        <x:v>0.15</x:v>
      </x:c>
      <x:c r="M4" s="4" t="n">
        <x:f>ROUND(I4*J4*(1-L4),2)</x:f>
        <x:v>214.03</x:v>
      </x:c>
      <x:c r="N4" s="4" t="n">
        <x:f>ROUND(I4*K4,2)</x:f>
        <x:v>138</x:v>
      </x:c>
      <x:c r="O4" s="4" t="n">
        <x:f>ROUND(M4-N4,2)</x:f>
        <x:v>76.03</x:v>
      </x:c>
      <x:c r="P4" s="6" t="n">
        <x:v>3.8</x:v>
      </x:c>
      <x:c r="Q4" t="str">
        <x:v>No</x:v>
      </x:c>
    </x:row>
    <x:row r="5">
      <x:c r="A5" t="str">
        <x:v>ORD-01641</x:v>
      </x:c>
      <x:c r="B5" s="3" t="n">
        <x:v>45294.07916596065</x:v>
      </x:c>
      <x:c r="C5" t="str">
        <x:v>2024-01</x:v>
      </x:c>
      <x:c r="D5" t="str">
        <x:v>CUS-0373</x:v>
      </x:c>
      <x:c r="E5" t="str">
        <x:v>Wales</x:v>
      </x:c>
      <x:c r="F5" t="str">
        <x:v>Online</x:v>
      </x:c>
      <x:c r="G5" t="str">
        <x:v>Electronics</x:v>
      </x:c>
      <x:c r="H5" t="str">
        <x:v>Smart Watch</x:v>
      </x:c>
      <x:c r="I5" t="n">
        <x:v>1</x:v>
      </x:c>
      <x:c r="J5" s="4" t="n">
        <x:v>164.23</x:v>
      </x:c>
      <x:c r="K5" s="4" t="n">
        <x:v>92</x:v>
      </x:c>
      <x:c r="L5" s="5" t="n">
        <x:v>0.1</x:v>
      </x:c>
      <x:c r="M5" s="4" t="n">
        <x:f>ROUND(I5*J5*(1-L5),2)</x:f>
        <x:v>147.81</x:v>
      </x:c>
      <x:c r="N5" s="4" t="n">
        <x:f>ROUND(I5*K5,2)</x:f>
        <x:v>92</x:v>
      </x:c>
      <x:c r="O5" s="4" t="n">
        <x:f>ROUND(M5-N5,2)</x:f>
        <x:v>55.81</x:v>
      </x:c>
      <x:c r="P5" s="6" t="n">
        <x:v>3.5</x:v>
      </x:c>
      <x:c r="Q5" t="str">
        <x:v>No</x:v>
      </x:c>
    </x:row>
    <x:row r="6">
      <x:c r="A6" t="str">
        <x:v>ORD-00351</x:v>
      </x:c>
      <x:c r="B6" s="3" t="n">
        <x:v>45294.11021881944</x:v>
      </x:c>
      <x:c r="C6" t="str">
        <x:v>2024-01</x:v>
      </x:c>
      <x:c r="D6" t="str">
        <x:v>CUS-0042</x:v>
      </x:c>
      <x:c r="E6" t="str">
        <x:v>Scotland</x:v>
      </x:c>
      <x:c r="F6" t="str">
        <x:v>Online</x:v>
      </x:c>
      <x:c r="G6" t="str">
        <x:v>Books</x:v>
      </x:c>
      <x:c r="H6" t="str">
        <x:v>Data Analytics Handbook</x:v>
      </x:c>
      <x:c r="I6" t="n">
        <x:v>4</x:v>
      </x:c>
      <x:c r="J6" s="4" t="n">
        <x:v>40.61</x:v>
      </x:c>
      <x:c r="K6" s="4" t="n">
        <x:v>14</x:v>
      </x:c>
      <x:c r="L6" s="5" t="n">
        <x:v>0.15</x:v>
      </x:c>
      <x:c r="M6" s="4" t="n">
        <x:f>ROUND(I6*J6*(1-L6),2)</x:f>
        <x:v>138.07</x:v>
      </x:c>
      <x:c r="N6" s="4" t="n">
        <x:f>ROUND(I6*K6,2)</x:f>
        <x:v>56</x:v>
      </x:c>
      <x:c r="O6" s="4" t="n">
        <x:f>ROUND(M6-N6,2)</x:f>
        <x:v>82.07</x:v>
      </x:c>
      <x:c r="P6" s="6" t="n">
        <x:v>4.3</x:v>
      </x:c>
      <x:c r="Q6" t="str">
        <x:v>No</x:v>
      </x:c>
    </x:row>
    <x:row r="7">
      <x:c r="A7" t="str">
        <x:v>ORD-00066</x:v>
      </x:c>
      <x:c r="B7" s="3" t="n">
        <x:v>45295.26824694445</x:v>
      </x:c>
      <x:c r="C7" t="str">
        <x:v>2024-01</x:v>
      </x:c>
      <x:c r="D7" t="str">
        <x:v>CUS-0122</x:v>
      </x:c>
      <x:c r="E7" t="str">
        <x:v>Wales</x:v>
      </x:c>
      <x:c r="F7" t="str">
        <x:v>Marketplace</x:v>
      </x:c>
      <x:c r="G7" t="str">
        <x:v>Sports</x:v>
      </x:c>
      <x:c r="H7" t="str">
        <x:v>Running Shoes</x:v>
      </x:c>
      <x:c r="I7" t="n">
        <x:v>3</x:v>
      </x:c>
      <x:c r="J7" s="4" t="n">
        <x:v>79.56</x:v>
      </x:c>
      <x:c r="K7" s="4" t="n">
        <x:v>38</x:v>
      </x:c>
      <x:c r="L7" s="5" t="n">
        <x:v>0.1</x:v>
      </x:c>
      <x:c r="M7" s="4" t="n">
        <x:f>ROUND(I7*J7*(1-L7),2)</x:f>
        <x:v>214.81</x:v>
      </x:c>
      <x:c r="N7" s="4" t="n">
        <x:f>ROUND(I7*K7,2)</x:f>
        <x:v>114</x:v>
      </x:c>
      <x:c r="O7" s="4" t="n">
        <x:f>ROUND(M7-N7,2)</x:f>
        <x:v>100.81</x:v>
      </x:c>
      <x:c r="P7" s="6" t="n">
        <x:v>4.1</x:v>
      </x:c>
      <x:c r="Q7" t="str">
        <x:v>No</x:v>
      </x:c>
    </x:row>
    <x:row r="8">
      <x:c r="A8" t="str">
        <x:v>ORD-00211</x:v>
      </x:c>
      <x:c r="B8" s="3" t="n">
        <x:v>45295.535245416664</x:v>
      </x:c>
      <x:c r="C8" t="str">
        <x:v>2024-01</x:v>
      </x:c>
      <x:c r="D8" t="str">
        <x:v>CUS-0595</x:v>
      </x:c>
      <x:c r="E8" t="str">
        <x:v>Midlands</x:v>
      </x:c>
      <x:c r="F8" t="str">
        <x:v>Store</x:v>
      </x:c>
      <x:c r="G8" t="str">
        <x:v>Home</x:v>
      </x:c>
      <x:c r="H8" t="str">
        <x:v>Coffee Maker</x:v>
      </x:c>
      <x:c r="I8" t="n">
        <x:v>2</x:v>
      </x:c>
      <x:c r="J8" s="4" t="n">
        <x:v>71.88</x:v>
      </x:c>
      <x:c r="K8" s="4" t="n">
        <x:v>41</x:v>
      </x:c>
      <x:c r="L8" s="5" t="n">
        <x:v>0</x:v>
      </x:c>
      <x:c r="M8" s="4" t="n">
        <x:f>ROUND(I8*J8*(1-L8),2)</x:f>
        <x:v>143.76</x:v>
      </x:c>
      <x:c r="N8" s="4" t="n">
        <x:f>ROUND(I8*K8,2)</x:f>
        <x:v>82</x:v>
      </x:c>
      <x:c r="O8" s="4" t="n">
        <x:f>ROUND(M8-N8,2)</x:f>
        <x:v>61.76</x:v>
      </x:c>
      <x:c r="P8" s="6" t="n">
        <x:v>4.4</x:v>
      </x:c>
      <x:c r="Q8" t="str">
        <x:v>No</x:v>
      </x:c>
    </x:row>
    <x:row r="9">
      <x:c r="A9" t="str">
        <x:v>ORD-00949</x:v>
      </x:c>
      <x:c r="B9" s="3" t="n">
        <x:v>45297.110401956015</x:v>
      </x:c>
      <x:c r="C9" t="str">
        <x:v>2024-01</x:v>
      </x:c>
      <x:c r="D9" t="str">
        <x:v>CUS-0257</x:v>
      </x:c>
      <x:c r="E9" t="str">
        <x:v>North East</x:v>
      </x:c>
      <x:c r="F9" t="str">
        <x:v>Store</x:v>
      </x:c>
      <x:c r="G9" t="str">
        <x:v>Beauty</x:v>
      </x:c>
      <x:c r="H9" t="str">
        <x:v>Hair Dryer</x:v>
      </x:c>
      <x:c r="I9" t="n">
        <x:v>4</x:v>
      </x:c>
      <x:c r="J9" s="4" t="n">
        <x:v>61.65</x:v>
      </x:c>
      <x:c r="K9" s="4" t="n">
        <x:v>29</x:v>
      </x:c>
      <x:c r="L9" s="5" t="n">
        <x:v>0.05</x:v>
      </x:c>
      <x:c r="M9" s="4" t="n">
        <x:f>ROUND(I9*J9*(1-L9),2)</x:f>
        <x:v>234.27</x:v>
      </x:c>
      <x:c r="N9" s="4" t="n">
        <x:f>ROUND(I9*K9,2)</x:f>
        <x:v>116</x:v>
      </x:c>
      <x:c r="O9" s="4" t="n">
        <x:f>ROUND(M9-N9,2)</x:f>
        <x:v>118.27</x:v>
      </x:c>
      <x:c r="P9" s="6" t="n">
        <x:v>5</x:v>
      </x:c>
      <x:c r="Q9" t="str">
        <x:v>No</x:v>
      </x:c>
    </x:row>
    <x:row r="10">
      <x:c r="A10" t="str">
        <x:v>ORD-01390</x:v>
      </x:c>
      <x:c r="B10" s="3" t="n">
        <x:v>45297.27185266204</x:v>
      </x:c>
      <x:c r="C10" t="str">
        <x:v>2024-01</x:v>
      </x:c>
      <x:c r="D10" t="str">
        <x:v>CUS-0391</x:v>
      </x:c>
      <x:c r="E10" t="str">
        <x:v>North West</x:v>
      </x:c>
      <x:c r="F10" t="str">
        <x:v>Online</x:v>
      </x:c>
      <x:c r="G10" t="str">
        <x:v>Books</x:v>
      </x:c>
      <x:c r="H10" t="str">
        <x:v>Business Intelligence Guide</x:v>
      </x:c>
      <x:c r="I10" t="n">
        <x:v>1</x:v>
      </x:c>
      <x:c r="J10" s="4" t="n">
        <x:v>35.16</x:v>
      </x:c>
      <x:c r="K10" s="4" t="n">
        <x:v>12</x:v>
      </x:c>
      <x:c r="L10" s="5" t="n">
        <x:v>0.1</x:v>
      </x:c>
      <x:c r="M10" s="4" t="n">
        <x:f>ROUND(I10*J10*(1-L10),2)</x:f>
        <x:v>31.64</x:v>
      </x:c>
      <x:c r="N10" s="4" t="n">
        <x:f>ROUND(I10*K10,2)</x:f>
        <x:v>12</x:v>
      </x:c>
      <x:c r="O10" s="4" t="n">
        <x:f>ROUND(M10-N10,2)</x:f>
        <x:v>19.64</x:v>
      </x:c>
      <x:c r="P10" s="6" t="n">
        <x:v>5</x:v>
      </x:c>
      <x:c r="Q10" t="str">
        <x:v>Yes</x:v>
      </x:c>
    </x:row>
    <x:row r="11">
      <x:c r="A11" t="str">
        <x:v>ORD-01564</x:v>
      </x:c>
      <x:c r="B11" s="3" t="n">
        <x:v>45297.76762077546</x:v>
      </x:c>
      <x:c r="C11" t="str">
        <x:v>2024-01</x:v>
      </x:c>
      <x:c r="D11" t="str">
        <x:v>CUS-0191</x:v>
      </x:c>
      <x:c r="E11" t="str">
        <x:v>North West</x:v>
      </x:c>
      <x:c r="F11" t="str">
        <x:v>Marketplace</x:v>
      </x:c>
      <x:c r="G11" t="str">
        <x:v>Sports</x:v>
      </x:c>
      <x:c r="H11" t="str">
        <x:v>Running Shoes</x:v>
      </x:c>
      <x:c r="I11" t="n">
        <x:v>2</x:v>
      </x:c>
      <x:c r="J11" s="4" t="n">
        <x:v>76.83</x:v>
      </x:c>
      <x:c r="K11" s="4" t="n">
        <x:v>38</x:v>
      </x:c>
      <x:c r="L11" s="5" t="n">
        <x:v>0.15</x:v>
      </x:c>
      <x:c r="M11" s="4" t="n">
        <x:f>ROUND(I11*J11*(1-L11),2)</x:f>
        <x:v>130.61</x:v>
      </x:c>
      <x:c r="N11" s="4" t="n">
        <x:f>ROUND(I11*K11,2)</x:f>
        <x:v>76</x:v>
      </x:c>
      <x:c r="O11" s="4" t="n">
        <x:f>ROUND(M11-N11,2)</x:f>
        <x:v>54.61</x:v>
      </x:c>
      <x:c r="P11" s="6" t="n">
        <x:v>4.7</x:v>
      </x:c>
      <x:c r="Q11" t="str">
        <x:v>No</x:v>
      </x:c>
    </x:row>
    <x:row r="12">
      <x:c r="A12" t="str">
        <x:v>ORD-00304</x:v>
      </x:c>
      <x:c r="B12" s="3" t="n">
        <x:v>45297.83463511574</x:v>
      </x:c>
      <x:c r="C12" t="str">
        <x:v>2024-01</x:v>
      </x:c>
      <x:c r="D12" t="str">
        <x:v>CUS-0365</x:v>
      </x:c>
      <x:c r="E12" t="str">
        <x:v>Wales</x:v>
      </x:c>
      <x:c r="F12" t="str">
        <x:v>Online</x:v>
      </x:c>
      <x:c r="G12" t="str">
        <x:v>Home</x:v>
      </x:c>
      <x:c r="H12" t="str">
        <x:v>Coffee Maker</x:v>
      </x:c>
      <x:c r="I12" t="n">
        <x:v>5</x:v>
      </x:c>
      <x:c r="J12" s="4" t="n">
        <x:v>78.12</x:v>
      </x:c>
      <x:c r="K12" s="4" t="n">
        <x:v>41</x:v>
      </x:c>
      <x:c r="L12" s="5" t="n">
        <x:v>0.05</x:v>
      </x:c>
      <x:c r="M12" s="4" t="n">
        <x:f>ROUND(I12*J12*(1-L12),2)</x:f>
        <x:v>371.07</x:v>
      </x:c>
      <x:c r="N12" s="4" t="n">
        <x:f>ROUND(I12*K12,2)</x:f>
        <x:v>205</x:v>
      </x:c>
      <x:c r="O12" s="4" t="n">
        <x:f>ROUND(M12-N12,2)</x:f>
        <x:v>166.07</x:v>
      </x:c>
      <x:c r="P12" s="6" t="n">
        <x:v>3.3</x:v>
      </x:c>
      <x:c r="Q12" t="str">
        <x:v>No</x:v>
      </x:c>
    </x:row>
    <x:row r="13">
      <x:c r="A13" t="str">
        <x:v>ORD-01526</x:v>
      </x:c>
      <x:c r="B13" s="3" t="n">
        <x:v>45298.70820990741</x:v>
      </x:c>
      <x:c r="C13" t="str">
        <x:v>2024-01</x:v>
      </x:c>
      <x:c r="D13" t="str">
        <x:v>CUS-0109</x:v>
      </x:c>
      <x:c r="E13" t="str">
        <x:v>Wales</x:v>
      </x:c>
      <x:c r="F13" t="str">
        <x:v>Online</x:v>
      </x:c>
      <x:c r="G13" t="str">
        <x:v>Electronics</x:v>
      </x:c>
      <x:c r="H13" t="str">
        <x:v>Smart Watch</x:v>
      </x:c>
      <x:c r="I13" t="n">
        <x:v>2</x:v>
      </x:c>
      <x:c r="J13" s="4" t="n">
        <x:v>162.19</x:v>
      </x:c>
      <x:c r="K13" s="4" t="n">
        <x:v>92</x:v>
      </x:c>
      <x:c r="L13" s="5" t="n">
        <x:v>0</x:v>
      </x:c>
      <x:c r="M13" s="4" t="n">
        <x:f>ROUND(I13*J13*(1-L13),2)</x:f>
        <x:v>324.38</x:v>
      </x:c>
      <x:c r="N13" s="4" t="n">
        <x:f>ROUND(I13*K13,2)</x:f>
        <x:v>184</x:v>
      </x:c>
      <x:c r="O13" s="4" t="n">
        <x:f>ROUND(M13-N13,2)</x:f>
        <x:v>140.38</x:v>
      </x:c>
      <x:c r="P13" s="6" t="n">
        <x:v>3.9</x:v>
      </x:c>
      <x:c r="Q13" t="str">
        <x:v>No</x:v>
      </x:c>
    </x:row>
    <x:row r="14">
      <x:c r="A14" t="str">
        <x:v>ORD-01406</x:v>
      </x:c>
      <x:c r="B14" s="3" t="n">
        <x:v>45299.19018829861</x:v>
      </x:c>
      <x:c r="C14" t="str">
        <x:v>2024-01</x:v>
      </x:c>
      <x:c r="D14" t="str">
        <x:v>CUS-0593</x:v>
      </x:c>
      <x:c r="E14" t="str">
        <x:v>London</x:v>
      </x:c>
      <x:c r="F14" t="str">
        <x:v>Marketplace</x:v>
      </x:c>
      <x:c r="G14" t="str">
        <x:v>Electronics</x:v>
      </x:c>
      <x:c r="H14" t="str">
        <x:v>Smart Watch</x:v>
      </x:c>
      <x:c r="I14" t="n">
        <x:v>3</x:v>
      </x:c>
      <x:c r="J14" s="4" t="n">
        <x:v>167.71</x:v>
      </x:c>
      <x:c r="K14" s="4" t="n">
        <x:v>92</x:v>
      </x:c>
      <x:c r="L14" s="5" t="n">
        <x:v>0.1</x:v>
      </x:c>
      <x:c r="M14" s="4" t="n">
        <x:f>ROUND(I14*J14*(1-L14),2)</x:f>
        <x:v>452.82</x:v>
      </x:c>
      <x:c r="N14" s="4" t="n">
        <x:f>ROUND(I14*K14,2)</x:f>
        <x:v>276</x:v>
      </x:c>
      <x:c r="O14" s="4" t="n">
        <x:f>ROUND(M14-N14,2)</x:f>
        <x:v>176.82</x:v>
      </x:c>
      <x:c r="P14" s="6" t="n">
        <x:v>3.9</x:v>
      </x:c>
      <x:c r="Q14" t="str">
        <x:v>No</x:v>
      </x:c>
    </x:row>
    <x:row r="15">
      <x:c r="A15" t="str">
        <x:v>ORD-00184</x:v>
      </x:c>
      <x:c r="B15" s="3" t="n">
        <x:v>45299.40096087963</x:v>
      </x:c>
      <x:c r="C15" t="str">
        <x:v>2024-01</x:v>
      </x:c>
      <x:c r="D15" t="str">
        <x:v>CUS-0052</x:v>
      </x:c>
      <x:c r="E15" t="str">
        <x:v>North West</x:v>
      </x:c>
      <x:c r="F15" t="str">
        <x:v>Store</x:v>
      </x:c>
      <x:c r="G15" t="str">
        <x:v>Fashion</x:v>
      </x:c>
      <x:c r="H15" t="str">
        <x:v>Classic Trainers</x:v>
      </x:c>
      <x:c r="I15" t="n">
        <x:v>5</x:v>
      </x:c>
      <x:c r="J15" s="4" t="n">
        <x:v>69.19</x:v>
      </x:c>
      <x:c r="K15" s="4" t="n">
        <x:v>32</x:v>
      </x:c>
      <x:c r="L15" s="5" t="n">
        <x:v>0</x:v>
      </x:c>
      <x:c r="M15" s="4" t="n">
        <x:f>ROUND(I15*J15*(1-L15),2)</x:f>
        <x:v>345.95</x:v>
      </x:c>
      <x:c r="N15" s="4" t="n">
        <x:f>ROUND(I15*K15,2)</x:f>
        <x:v>160</x:v>
      </x:c>
      <x:c r="O15" s="4" t="n">
        <x:f>ROUND(M15-N15,2)</x:f>
        <x:v>185.95</x:v>
      </x:c>
      <x:c r="P15" s="6" t="n">
        <x:v>4.2</x:v>
      </x:c>
      <x:c r="Q15" t="str">
        <x:v>No</x:v>
      </x:c>
    </x:row>
    <x:row r="16">
      <x:c r="A16" t="str">
        <x:v>ORD-00681</x:v>
      </x:c>
      <x:c r="B16" s="3" t="n">
        <x:v>45299.65299686343</x:v>
      </x:c>
      <x:c r="C16" t="str">
        <x:v>2024-01</x:v>
      </x:c>
      <x:c r="D16" t="str">
        <x:v>CUS-0493</x:v>
      </x:c>
      <x:c r="E16" t="str">
        <x:v>Wales</x:v>
      </x:c>
      <x:c r="F16" t="str">
        <x:v>Marketplace</x:v>
      </x:c>
      <x:c r="G16" t="str">
        <x:v>Sports</x:v>
      </x:c>
      <x:c r="H16" t="str">
        <x:v>Running Shoes</x:v>
      </x:c>
      <x:c r="I16" t="n">
        <x:v>4</x:v>
      </x:c>
      <x:c r="J16" s="4" t="n">
        <x:v>79.19</x:v>
      </x:c>
      <x:c r="K16" s="4" t="n">
        <x:v>38</x:v>
      </x:c>
      <x:c r="L16" s="5" t="n">
        <x:v>0.05</x:v>
      </x:c>
      <x:c r="M16" s="4" t="n">
        <x:f>ROUND(I16*J16*(1-L16),2)</x:f>
        <x:v>300.92</x:v>
      </x:c>
      <x:c r="N16" s="4" t="n">
        <x:f>ROUND(I16*K16,2)</x:f>
        <x:v>152</x:v>
      </x:c>
      <x:c r="O16" s="4" t="n">
        <x:f>ROUND(M16-N16,2)</x:f>
        <x:v>148.92</x:v>
      </x:c>
      <x:c r="P16" s="6" t="n">
        <x:v>3.9</x:v>
      </x:c>
      <x:c r="Q16" t="str">
        <x:v>No</x:v>
      </x:c>
    </x:row>
    <x:row r="17">
      <x:c r="A17" t="str">
        <x:v>ORD-00467</x:v>
      </x:c>
      <x:c r="B17" s="3" t="n">
        <x:v>45300.59031177084</x:v>
      </x:c>
      <x:c r="C17" t="str">
        <x:v>2024-01</x:v>
      </x:c>
      <x:c r="D17" t="str">
        <x:v>CUS-0103</x:v>
      </x:c>
      <x:c r="E17" t="str">
        <x:v>Scotland</x:v>
      </x:c>
      <x:c r="F17" t="str">
        <x:v>Online</x:v>
      </x:c>
      <x:c r="G17" t="str">
        <x:v>Fashion</x:v>
      </x:c>
      <x:c r="H17" t="str">
        <x:v>Winter Jacket</x:v>
      </x:c>
      <x:c r="I17" t="n">
        <x:v>3</x:v>
      </x:c>
      <x:c r="J17" s="4" t="n">
        <x:v>98.31</x:v>
      </x:c>
      <x:c r="K17" s="4" t="n">
        <x:v>46</x:v>
      </x:c>
      <x:c r="L17" s="5" t="n">
        <x:v>0.1</x:v>
      </x:c>
      <x:c r="M17" s="4" t="n">
        <x:f>ROUND(I17*J17*(1-L17),2)</x:f>
        <x:v>265.44</x:v>
      </x:c>
      <x:c r="N17" s="4" t="n">
        <x:f>ROUND(I17*K17,2)</x:f>
        <x:v>138</x:v>
      </x:c>
      <x:c r="O17" s="4" t="n">
        <x:f>ROUND(M17-N17,2)</x:f>
        <x:v>127.44</x:v>
      </x:c>
      <x:c r="P17" s="6" t="n">
        <x:v>3.5</x:v>
      </x:c>
      <x:c r="Q17" t="str">
        <x:v>No</x:v>
      </x:c>
    </x:row>
    <x:row r="18">
      <x:c r="A18" t="str">
        <x:v>ORD-01692</x:v>
      </x:c>
      <x:c r="B18" s="3" t="n">
        <x:v>45301.10028871528</x:v>
      </x:c>
      <x:c r="C18" t="str">
        <x:v>2024-01</x:v>
      </x:c>
      <x:c r="D18" t="str">
        <x:v>CUS-0420</x:v>
      </x:c>
      <x:c r="E18" t="str">
        <x:v>London</x:v>
      </x:c>
      <x:c r="F18" t="str">
        <x:v>Store</x:v>
      </x:c>
      <x:c r="G18" t="str">
        <x:v>Sports</x:v>
      </x:c>
      <x:c r="H18" t="str">
        <x:v>Yoga Mat</x:v>
      </x:c>
      <x:c r="I18" t="n">
        <x:v>2</x:v>
      </x:c>
      <x:c r="J18" s="4" t="n">
        <x:v>31.19</x:v>
      </x:c>
      <x:c r="K18" s="4" t="n">
        <x:v>12</x:v>
      </x:c>
      <x:c r="L18" s="5" t="n">
        <x:v>0</x:v>
      </x:c>
      <x:c r="M18" s="4" t="n">
        <x:f>ROUND(I18*J18*(1-L18),2)</x:f>
        <x:v>62.38</x:v>
      </x:c>
      <x:c r="N18" s="4" t="n">
        <x:f>ROUND(I18*K18,2)</x:f>
        <x:v>24</x:v>
      </x:c>
      <x:c r="O18" s="4" t="n">
        <x:f>ROUND(M18-N18,2)</x:f>
        <x:v>38.38</x:v>
      </x:c>
      <x:c r="P18" s="6" t="n">
        <x:v>3.5</x:v>
      </x:c>
      <x:c r="Q18" t="str">
        <x:v>Yes</x:v>
      </x:c>
    </x:row>
    <x:row r="19">
      <x:c r="A19" t="str">
        <x:v>ORD-00683</x:v>
      </x:c>
      <x:c r="B19" s="3" t="n">
        <x:v>45301.49896829861</x:v>
      </x:c>
      <x:c r="C19" t="str">
        <x:v>2024-01</x:v>
      </x:c>
      <x:c r="D19" t="str">
        <x:v>CUS-0322</x:v>
      </x:c>
      <x:c r="E19" t="str">
        <x:v>South East</x:v>
      </x:c>
      <x:c r="F19" t="str">
        <x:v>Online</x:v>
      </x:c>
      <x:c r="G19" t="str">
        <x:v>Sports</x:v>
      </x:c>
      <x:c r="H19" t="str">
        <x:v>Fitness Tracker</x:v>
      </x:c>
      <x:c r="I19" t="n">
        <x:v>3</x:v>
      </x:c>
      <x:c r="J19" s="4" t="n">
        <x:v>57.16</x:v>
      </x:c>
      <x:c r="K19" s="4" t="n">
        <x:v>27</x:v>
      </x:c>
      <x:c r="L19" s="5" t="n">
        <x:v>0.15</x:v>
      </x:c>
      <x:c r="M19" s="4" t="n">
        <x:f>ROUND(I19*J19*(1-L19),2)</x:f>
        <x:v>145.76</x:v>
      </x:c>
      <x:c r="N19" s="4" t="n">
        <x:f>ROUND(I19*K19,2)</x:f>
        <x:v>81</x:v>
      </x:c>
      <x:c r="O19" s="4" t="n">
        <x:f>ROUND(M19-N19,2)</x:f>
        <x:v>64.76</x:v>
      </x:c>
      <x:c r="P19" s="6" t="n">
        <x:v>4.7</x:v>
      </x:c>
      <x:c r="Q19" t="str">
        <x:v>Yes</x:v>
      </x:c>
    </x:row>
    <x:row r="20">
      <x:c r="A20" t="str">
        <x:v>ORD-01795</x:v>
      </x:c>
      <x:c r="B20" s="3" t="n">
        <x:v>45301.502022256944</x:v>
      </x:c>
      <x:c r="C20" t="str">
        <x:v>2024-01</x:v>
      </x:c>
      <x:c r="D20" t="str">
        <x:v>CUS-0244</x:v>
      </x:c>
      <x:c r="E20" t="str">
        <x:v>North West</x:v>
      </x:c>
      <x:c r="F20" t="str">
        <x:v>Marketplace</x:v>
      </x:c>
      <x:c r="G20" t="str">
        <x:v>Sports</x:v>
      </x:c>
      <x:c r="H20" t="str">
        <x:v>Yoga Mat</x:v>
      </x:c>
      <x:c r="I20" t="n">
        <x:v>2</x:v>
      </x:c>
      <x:c r="J20" s="4" t="n">
        <x:v>28.51</x:v>
      </x:c>
      <x:c r="K20" s="4" t="n">
        <x:v>12</x:v>
      </x:c>
      <x:c r="L20" s="5" t="n">
        <x:v>0.1</x:v>
      </x:c>
      <x:c r="M20" s="4" t="n">
        <x:f>ROUND(I20*J20*(1-L20),2)</x:f>
        <x:v>51.32</x:v>
      </x:c>
      <x:c r="N20" s="4" t="n">
        <x:f>ROUND(I20*K20,2)</x:f>
        <x:v>24</x:v>
      </x:c>
      <x:c r="O20" s="4" t="n">
        <x:f>ROUND(M20-N20,2)</x:f>
        <x:v>27.32</x:v>
      </x:c>
      <x:c r="P20" s="6" t="n">
        <x:v>4.8</x:v>
      </x:c>
      <x:c r="Q20" t="str">
        <x:v>No</x:v>
      </x:c>
    </x:row>
    <x:row r="21">
      <x:c r="A21" t="str">
        <x:v>ORD-01404</x:v>
      </x:c>
      <x:c r="B21" s="3" t="n">
        <x:v>45302.157865706016</x:v>
      </x:c>
      <x:c r="C21" t="str">
        <x:v>2024-01</x:v>
      </x:c>
      <x:c r="D21" t="str">
        <x:v>CUS-0207</x:v>
      </x:c>
      <x:c r="E21" t="str">
        <x:v>Midlands</x:v>
      </x:c>
      <x:c r="F21" t="str">
        <x:v>Store</x:v>
      </x:c>
      <x:c r="G21" t="str">
        <x:v>Books</x:v>
      </x:c>
      <x:c r="H21" t="str">
        <x:v>Data Analytics Handbook</x:v>
      </x:c>
      <x:c r="I21" t="n">
        <x:v>4</x:v>
      </x:c>
      <x:c r="J21" s="4" t="n">
        <x:v>41.18</x:v>
      </x:c>
      <x:c r="K21" s="4" t="n">
        <x:v>14</x:v>
      </x:c>
      <x:c r="L21" s="5" t="n">
        <x:v>0</x:v>
      </x:c>
      <x:c r="M21" s="4" t="n">
        <x:f>ROUND(I21*J21*(1-L21),2)</x:f>
        <x:v>164.72</x:v>
      </x:c>
      <x:c r="N21" s="4" t="n">
        <x:f>ROUND(I21*K21,2)</x:f>
        <x:v>56</x:v>
      </x:c>
      <x:c r="O21" s="4" t="n">
        <x:f>ROUND(M21-N21,2)</x:f>
        <x:v>108.72</x:v>
      </x:c>
      <x:c r="P21" s="6" t="n">
        <x:v>4.2</x:v>
      </x:c>
      <x:c r="Q21" t="str">
        <x:v>No</x:v>
      </x:c>
    </x:row>
    <x:row r="22">
      <x:c r="A22" t="str">
        <x:v>ORD-00932</x:v>
      </x:c>
      <x:c r="B22" s="3" t="n">
        <x:v>45302.34188896991</x:v>
      </x:c>
      <x:c r="C22" t="str">
        <x:v>2024-01</x:v>
      </x:c>
      <x:c r="D22" t="str">
        <x:v>CUS-0529</x:v>
      </x:c>
      <x:c r="E22" t="str">
        <x:v>Wales</x:v>
      </x:c>
      <x:c r="F22" t="str">
        <x:v>Store</x:v>
      </x:c>
      <x:c r="G22" t="str">
        <x:v>Sports</x:v>
      </x:c>
      <x:c r="H22" t="str">
        <x:v>Fitness Tracker</x:v>
      </x:c>
      <x:c r="I22" t="n">
        <x:v>1</x:v>
      </x:c>
      <x:c r="J22" s="4" t="n">
        <x:v>55.35</x:v>
      </x:c>
      <x:c r="K22" s="4" t="n">
        <x:v>27</x:v>
      </x:c>
      <x:c r="L22" s="5" t="n">
        <x:v>0.1</x:v>
      </x:c>
      <x:c r="M22" s="4" t="n">
        <x:f>ROUND(I22*J22*(1-L22),2)</x:f>
        <x:v>49.82</x:v>
      </x:c>
      <x:c r="N22" s="4" t="n">
        <x:f>ROUND(I22*K22,2)</x:f>
        <x:v>27</x:v>
      </x:c>
      <x:c r="O22" s="4" t="n">
        <x:f>ROUND(M22-N22,2)</x:f>
        <x:v>22.82</x:v>
      </x:c>
      <x:c r="P22" s="6" t="n">
        <x:v>3.5</x:v>
      </x:c>
      <x:c r="Q22" t="str">
        <x:v>No</x:v>
      </x:c>
    </x:row>
    <x:row r="23">
      <x:c r="A23" t="str">
        <x:v>ORD-01028</x:v>
      </x:c>
      <x:c r="B23" s="3" t="n">
        <x:v>45302.56974724537</x:v>
      </x:c>
      <x:c r="C23" t="str">
        <x:v>2024-01</x:v>
      </x:c>
      <x:c r="D23" t="str">
        <x:v>CUS-0339</x:v>
      </x:c>
      <x:c r="E23" t="str">
        <x:v>Wales</x:v>
      </x:c>
      <x:c r="F23" t="str">
        <x:v>Online</x:v>
      </x:c>
      <x:c r="G23" t="str">
        <x:v>Electronics</x:v>
      </x:c>
      <x:c r="H23" t="str">
        <x:v>Smart Watch</x:v>
      </x:c>
      <x:c r="I23" t="n">
        <x:v>2</x:v>
      </x:c>
      <x:c r="J23" s="4" t="n">
        <x:v>152.01</x:v>
      </x:c>
      <x:c r="K23" s="4" t="n">
        <x:v>92</x:v>
      </x:c>
      <x:c r="L23" s="5" t="n">
        <x:v>0.2</x:v>
      </x:c>
      <x:c r="M23" s="4" t="n">
        <x:f>ROUND(I23*J23*(1-L23),2)</x:f>
        <x:v>243.22</x:v>
      </x:c>
      <x:c r="N23" s="4" t="n">
        <x:f>ROUND(I23*K23,2)</x:f>
        <x:v>184</x:v>
      </x:c>
      <x:c r="O23" s="4" t="n">
        <x:f>ROUND(M23-N23,2)</x:f>
        <x:v>59.22</x:v>
      </x:c>
      <x:c r="P23" s="6" t="n">
        <x:v>3.5</x:v>
      </x:c>
      <x:c r="Q23" t="str">
        <x:v>No</x:v>
      </x:c>
    </x:row>
    <x:row r="24">
      <x:c r="A24" t="str">
        <x:v>ORD-00194</x:v>
      </x:c>
      <x:c r="B24" s="3" t="n">
        <x:v>45303.64057820602</x:v>
      </x:c>
      <x:c r="C24" t="str">
        <x:v>2024-01</x:v>
      </x:c>
      <x:c r="D24" t="str">
        <x:v>CUS-0293</x:v>
      </x:c>
      <x:c r="E24" t="str">
        <x:v>Midlands</x:v>
      </x:c>
      <x:c r="F24" t="str">
        <x:v>Store</x:v>
      </x:c>
      <x:c r="G24" t="str">
        <x:v>Fashion</x:v>
      </x:c>
      <x:c r="H24" t="str">
        <x:v>Classic Trainers</x:v>
      </x:c>
      <x:c r="I24" t="n">
        <x:v>5</x:v>
      </x:c>
      <x:c r="J24" s="4" t="n">
        <x:v>69.53</x:v>
      </x:c>
      <x:c r="K24" s="4" t="n">
        <x:v>32</x:v>
      </x:c>
      <x:c r="L24" s="5" t="n">
        <x:v>0.1</x:v>
      </x:c>
      <x:c r="M24" s="4" t="n">
        <x:f>ROUND(I24*J24*(1-L24),2)</x:f>
        <x:v>312.89</x:v>
      </x:c>
      <x:c r="N24" s="4" t="n">
        <x:f>ROUND(I24*K24,2)</x:f>
        <x:v>160</x:v>
      </x:c>
      <x:c r="O24" s="4" t="n">
        <x:f>ROUND(M24-N24,2)</x:f>
        <x:v>152.89</x:v>
      </x:c>
      <x:c r="P24" s="6" t="n">
        <x:v>4.3</x:v>
      </x:c>
      <x:c r="Q24" t="str">
        <x:v>Yes</x:v>
      </x:c>
    </x:row>
    <x:row r="25">
      <x:c r="A25" t="str">
        <x:v>ORD-00432</x:v>
      </x:c>
      <x:c r="B25" s="3" t="n">
        <x:v>45303.67495152778</x:v>
      </x:c>
      <x:c r="C25" t="str">
        <x:v>2024-01</x:v>
      </x:c>
      <x:c r="D25" t="str">
        <x:v>CUS-0420</x:v>
      </x:c>
      <x:c r="E25" t="str">
        <x:v>London</x:v>
      </x:c>
      <x:c r="F25" t="str">
        <x:v>Online</x:v>
      </x:c>
      <x:c r="G25" t="str">
        <x:v>Electronics</x:v>
      </x:c>
      <x:c r="H25" t="str">
        <x:v>Smart Watch</x:v>
      </x:c>
      <x:c r="I25" t="n">
        <x:v>3</x:v>
      </x:c>
      <x:c r="J25" s="4" t="n">
        <x:v>159.61</x:v>
      </x:c>
      <x:c r="K25" s="4" t="n">
        <x:v>92</x:v>
      </x:c>
      <x:c r="L25" s="5" t="n">
        <x:v>0</x:v>
      </x:c>
      <x:c r="M25" s="4" t="n">
        <x:f>ROUND(I25*J25*(1-L25),2)</x:f>
        <x:v>478.83</x:v>
      </x:c>
      <x:c r="N25" s="4" t="n">
        <x:f>ROUND(I25*K25,2)</x:f>
        <x:v>276</x:v>
      </x:c>
      <x:c r="O25" s="4" t="n">
        <x:f>ROUND(M25-N25,2)</x:f>
        <x:v>202.83</x:v>
      </x:c>
      <x:c r="P25" s="6" t="n">
        <x:v>3.2</x:v>
      </x:c>
      <x:c r="Q25" t="str">
        <x:v>No</x:v>
      </x:c>
    </x:row>
    <x:row r="26">
      <x:c r="A26" t="str">
        <x:v>ORD-00610</x:v>
      </x:c>
      <x:c r="B26" s="3" t="n">
        <x:v>45303.71764775463</x:v>
      </x:c>
      <x:c r="C26" t="str">
        <x:v>2024-01</x:v>
      </x:c>
      <x:c r="D26" t="str">
        <x:v>CUS-0560</x:v>
      </x:c>
      <x:c r="E26" t="str">
        <x:v>South West</x:v>
      </x:c>
      <x:c r="F26" t="str">
        <x:v>Online</x:v>
      </x:c>
      <x:c r="G26" t="str">
        <x:v>Sports</x:v>
      </x:c>
      <x:c r="H26" t="str">
        <x:v>Yoga Mat</x:v>
      </x:c>
      <x:c r="I26" t="n">
        <x:v>3</x:v>
      </x:c>
      <x:c r="J26" s="4" t="n">
        <x:v>28.9</x:v>
      </x:c>
      <x:c r="K26" s="4" t="n">
        <x:v>12</x:v>
      </x:c>
      <x:c r="L26" s="5" t="n">
        <x:v>0.15</x:v>
      </x:c>
      <x:c r="M26" s="4" t="n">
        <x:f>ROUND(I26*J26*(1-L26),2)</x:f>
        <x:v>73.69</x:v>
      </x:c>
      <x:c r="N26" s="4" t="n">
        <x:f>ROUND(I26*K26,2)</x:f>
        <x:v>36</x:v>
      </x:c>
      <x:c r="O26" s="4" t="n">
        <x:f>ROUND(M26-N26,2)</x:f>
        <x:v>37.69</x:v>
      </x:c>
      <x:c r="P26" s="6" t="n">
        <x:v>5</x:v>
      </x:c>
      <x:c r="Q26" t="str">
        <x:v>Yes</x:v>
      </x:c>
    </x:row>
    <x:row r="27">
      <x:c r="A27" t="str">
        <x:v>ORD-00698</x:v>
      </x:c>
      <x:c r="B27" s="3" t="n">
        <x:v>45303.752834872685</x:v>
      </x:c>
      <x:c r="C27" t="str">
        <x:v>2024-01</x:v>
      </x:c>
      <x:c r="D27" t="str">
        <x:v>CUS-0567</x:v>
      </x:c>
      <x:c r="E27" t="str">
        <x:v>Midlands</x:v>
      </x:c>
      <x:c r="F27" t="str">
        <x:v>Store</x:v>
      </x:c>
      <x:c r="G27" t="str">
        <x:v>Fashion</x:v>
      </x:c>
      <x:c r="H27" t="str">
        <x:v>Classic Trainers</x:v>
      </x:c>
      <x:c r="I27" t="n">
        <x:v>3</x:v>
      </x:c>
      <x:c r="J27" s="4" t="n">
        <x:v>69.37</x:v>
      </x:c>
      <x:c r="K27" s="4" t="n">
        <x:v>32</x:v>
      </x:c>
      <x:c r="L27" s="5" t="n">
        <x:v>0.15</x:v>
      </x:c>
      <x:c r="M27" s="4" t="n">
        <x:f>ROUND(I27*J27*(1-L27),2)</x:f>
        <x:v>176.89</x:v>
      </x:c>
      <x:c r="N27" s="4" t="n">
        <x:f>ROUND(I27*K27,2)</x:f>
        <x:v>96</x:v>
      </x:c>
      <x:c r="O27" s="4" t="n">
        <x:f>ROUND(M27-N27,2)</x:f>
        <x:v>80.89</x:v>
      </x:c>
      <x:c r="P27" s="6" t="n">
        <x:v>4.2</x:v>
      </x:c>
      <x:c r="Q27" t="str">
        <x:v>No</x:v>
      </x:c>
    </x:row>
    <x:row r="28">
      <x:c r="A28" t="str">
        <x:v>ORD-00886</x:v>
      </x:c>
      <x:c r="B28" s="3" t="n">
        <x:v>45303.75670603009</x:v>
      </x:c>
      <x:c r="C28" t="str">
        <x:v>2024-01</x:v>
      </x:c>
      <x:c r="D28" t="str">
        <x:v>CUS-0133</x:v>
      </x:c>
      <x:c r="E28" t="str">
        <x:v>South West</x:v>
      </x:c>
      <x:c r="F28" t="str">
        <x:v>Online</x:v>
      </x:c>
      <x:c r="G28" t="str">
        <x:v>Sports</x:v>
      </x:c>
      <x:c r="H28" t="str">
        <x:v>Fitness Tracker</x:v>
      </x:c>
      <x:c r="I28" t="n">
        <x:v>2</x:v>
      </x:c>
      <x:c r="J28" s="4" t="n">
        <x:v>54.97</x:v>
      </x:c>
      <x:c r="K28" s="4" t="n">
        <x:v>27</x:v>
      </x:c>
      <x:c r="L28" s="5" t="n">
        <x:v>0.15</x:v>
      </x:c>
      <x:c r="M28" s="4" t="n">
        <x:f>ROUND(I28*J28*(1-L28),2)</x:f>
        <x:v>93.45</x:v>
      </x:c>
      <x:c r="N28" s="4" t="n">
        <x:f>ROUND(I28*K28,2)</x:f>
        <x:v>54</x:v>
      </x:c>
      <x:c r="O28" s="4" t="n">
        <x:f>ROUND(M28-N28,2)</x:f>
        <x:v>39.45</x:v>
      </x:c>
      <x:c r="P28" s="6" t="n">
        <x:v>5</x:v>
      </x:c>
      <x:c r="Q28" t="str">
        <x:v>Yes</x:v>
      </x:c>
    </x:row>
    <x:row r="29">
      <x:c r="A29" t="str">
        <x:v>ORD-01317</x:v>
      </x:c>
      <x:c r="B29" s="3" t="n">
        <x:v>45304.01426185185</x:v>
      </x:c>
      <x:c r="C29" t="str">
        <x:v>2024-01</x:v>
      </x:c>
      <x:c r="D29" t="str">
        <x:v>CUS-0176</x:v>
      </x:c>
      <x:c r="E29" t="str">
        <x:v>London</x:v>
      </x:c>
      <x:c r="F29" t="str">
        <x:v>Store</x:v>
      </x:c>
      <x:c r="G29" t="str">
        <x:v>Beauty</x:v>
      </x:c>
      <x:c r="H29" t="str">
        <x:v>Skin Care Set</x:v>
      </x:c>
      <x:c r="I29" t="n">
        <x:v>4</x:v>
      </x:c>
      <x:c r="J29" s="4" t="n">
        <x:v>45.68</x:v>
      </x:c>
      <x:c r="K29" s="4" t="n">
        <x:v>18</x:v>
      </x:c>
      <x:c r="L29" s="5" t="n">
        <x:v>0.05</x:v>
      </x:c>
      <x:c r="M29" s="4" t="n">
        <x:f>ROUND(I29*J29*(1-L29),2)</x:f>
        <x:v>173.58</x:v>
      </x:c>
      <x:c r="N29" s="4" t="n">
        <x:f>ROUND(I29*K29,2)</x:f>
        <x:v>72</x:v>
      </x:c>
      <x:c r="O29" s="4" t="n">
        <x:f>ROUND(M29-N29,2)</x:f>
        <x:v>101.58</x:v>
      </x:c>
      <x:c r="P29" s="6" t="n">
        <x:v>5</x:v>
      </x:c>
      <x:c r="Q29" t="str">
        <x:v>No</x:v>
      </x:c>
    </x:row>
    <x:row r="30">
      <x:c r="A30" t="str">
        <x:v>ORD-01141</x:v>
      </x:c>
      <x:c r="B30" s="3" t="n">
        <x:v>45304.326570300924</x:v>
      </x:c>
      <x:c r="C30" t="str">
        <x:v>2024-01</x:v>
      </x:c>
      <x:c r="D30" t="str">
        <x:v>CUS-0472</x:v>
      </x:c>
      <x:c r="E30" t="str">
        <x:v>Wales</x:v>
      </x:c>
      <x:c r="F30" t="str">
        <x:v>Online</x:v>
      </x:c>
      <x:c r="G30" t="str">
        <x:v>Books</x:v>
      </x:c>
      <x:c r="H30" t="str">
        <x:v>Data Analytics Handbook</x:v>
      </x:c>
      <x:c r="I30" t="n">
        <x:v>3</x:v>
      </x:c>
      <x:c r="J30" s="4" t="n">
        <x:v>38.75</x:v>
      </x:c>
      <x:c r="K30" s="4" t="n">
        <x:v>14</x:v>
      </x:c>
      <x:c r="L30" s="5" t="n">
        <x:v>0.15</x:v>
      </x:c>
      <x:c r="M30" s="4" t="n">
        <x:f>ROUND(I30*J30*(1-L30),2)</x:f>
        <x:v>98.81</x:v>
      </x:c>
      <x:c r="N30" s="4" t="n">
        <x:f>ROUND(I30*K30,2)</x:f>
        <x:v>42</x:v>
      </x:c>
      <x:c r="O30" s="4" t="n">
        <x:f>ROUND(M30-N30,2)</x:f>
        <x:v>56.81</x:v>
      </x:c>
      <x:c r="P30" s="6" t="n">
        <x:v>3.2</x:v>
      </x:c>
      <x:c r="Q30" t="str">
        <x:v>No</x:v>
      </x:c>
    </x:row>
    <x:row r="31">
      <x:c r="A31" t="str">
        <x:v>ORD-01427</x:v>
      </x:c>
      <x:c r="B31" s="3" t="n">
        <x:v>45304.448009907406</x:v>
      </x:c>
      <x:c r="C31" t="str">
        <x:v>2024-01</x:v>
      </x:c>
      <x:c r="D31" t="str">
        <x:v>CUS-0169</x:v>
      </x:c>
      <x:c r="E31" t="str">
        <x:v>Wales</x:v>
      </x:c>
      <x:c r="F31" t="str">
        <x:v>Online</x:v>
      </x:c>
      <x:c r="G31" t="str">
        <x:v>Beauty</x:v>
      </x:c>
      <x:c r="H31" t="str">
        <x:v>Hair Dryer</x:v>
      </x:c>
      <x:c r="I31" t="n">
        <x:v>3</x:v>
      </x:c>
      <x:c r="J31" s="4" t="n">
        <x:v>57.52</x:v>
      </x:c>
      <x:c r="K31" s="4" t="n">
        <x:v>29</x:v>
      </x:c>
      <x:c r="L31" s="5" t="n">
        <x:v>0</x:v>
      </x:c>
      <x:c r="M31" s="4" t="n">
        <x:f>ROUND(I31*J31*(1-L31),2)</x:f>
        <x:v>172.56</x:v>
      </x:c>
      <x:c r="N31" s="4" t="n">
        <x:f>ROUND(I31*K31,2)</x:f>
        <x:v>87</x:v>
      </x:c>
      <x:c r="O31" s="4" t="n">
        <x:f>ROUND(M31-N31,2)</x:f>
        <x:v>85.56</x:v>
      </x:c>
      <x:c r="P31" s="6" t="n">
        <x:v>4.8</x:v>
      </x:c>
      <x:c r="Q31" t="str">
        <x:v>No</x:v>
      </x:c>
    </x:row>
    <x:row r="32">
      <x:c r="A32" t="str">
        <x:v>ORD-01474</x:v>
      </x:c>
      <x:c r="B32" s="3" t="n">
        <x:v>45304.8022453125</x:v>
      </x:c>
      <x:c r="C32" t="str">
        <x:v>2024-01</x:v>
      </x:c>
      <x:c r="D32" t="str">
        <x:v>CUS-0065</x:v>
      </x:c>
      <x:c r="E32" t="str">
        <x:v>Scotland</x:v>
      </x:c>
      <x:c r="F32" t="str">
        <x:v>Marketplace</x:v>
      </x:c>
      <x:c r="G32" t="str">
        <x:v>Sports</x:v>
      </x:c>
      <x:c r="H32" t="str">
        <x:v>Fitness Tracker</x:v>
      </x:c>
      <x:c r="I32" t="n">
        <x:v>4</x:v>
      </x:c>
      <x:c r="J32" s="4" t="n">
        <x:v>56.35</x:v>
      </x:c>
      <x:c r="K32" s="4" t="n">
        <x:v>27</x:v>
      </x:c>
      <x:c r="L32" s="5" t="n">
        <x:v>0</x:v>
      </x:c>
      <x:c r="M32" s="4" t="n">
        <x:f>ROUND(I32*J32*(1-L32),2)</x:f>
        <x:v>225.4</x:v>
      </x:c>
      <x:c r="N32" s="4" t="n">
        <x:f>ROUND(I32*K32,2)</x:f>
        <x:v>108</x:v>
      </x:c>
      <x:c r="O32" s="4" t="n">
        <x:f>ROUND(M32-N32,2)</x:f>
        <x:v>117.4</x:v>
      </x:c>
      <x:c r="P32" s="6" t="n">
        <x:v>4.1</x:v>
      </x:c>
      <x:c r="Q32" t="str">
        <x:v>No</x:v>
      </x:c>
    </x:row>
    <x:row r="33">
      <x:c r="A33" t="str">
        <x:v>ORD-01492</x:v>
      </x:c>
      <x:c r="B33" s="3" t="n">
        <x:v>45305.07746642361</x:v>
      </x:c>
      <x:c r="C33" t="str">
        <x:v>2024-01</x:v>
      </x:c>
      <x:c r="D33" t="str">
        <x:v>CUS-0358</x:v>
      </x:c>
      <x:c r="E33" t="str">
        <x:v>North East</x:v>
      </x:c>
      <x:c r="F33" t="str">
        <x:v>Marketplace</x:v>
      </x:c>
      <x:c r="G33" t="str">
        <x:v>Electronics</x:v>
      </x:c>
      <x:c r="H33" t="str">
        <x:v>Smart Watch</x:v>
      </x:c>
      <x:c r="I33" t="n">
        <x:v>3</x:v>
      </x:c>
      <x:c r="J33" s="4" t="n">
        <x:v>154.61</x:v>
      </x:c>
      <x:c r="K33" s="4" t="n">
        <x:v>92</x:v>
      </x:c>
      <x:c r="L33" s="5" t="n">
        <x:v>0</x:v>
      </x:c>
      <x:c r="M33" s="4" t="n">
        <x:f>ROUND(I33*J33*(1-L33),2)</x:f>
        <x:v>463.83</x:v>
      </x:c>
      <x:c r="N33" s="4" t="n">
        <x:f>ROUND(I33*K33,2)</x:f>
        <x:v>276</x:v>
      </x:c>
      <x:c r="O33" s="4" t="n">
        <x:f>ROUND(M33-N33,2)</x:f>
        <x:v>187.83</x:v>
      </x:c>
      <x:c r="P33" s="6" t="n">
        <x:v>5</x:v>
      </x:c>
      <x:c r="Q33" t="str">
        <x:v>No</x:v>
      </x:c>
    </x:row>
    <x:row r="34">
      <x:c r="A34" t="str">
        <x:v>ORD-00100</x:v>
      </x:c>
      <x:c r="B34" s="3" t="n">
        <x:v>45305.28958989583</x:v>
      </x:c>
      <x:c r="C34" t="str">
        <x:v>2024-01</x:v>
      </x:c>
      <x:c r="D34" t="str">
        <x:v>CUS-0364</x:v>
      </x:c>
      <x:c r="E34" t="str">
        <x:v>Midlands</x:v>
      </x:c>
      <x:c r="F34" t="str">
        <x:v>Store</x:v>
      </x:c>
      <x:c r="G34" t="str">
        <x:v>Beauty</x:v>
      </x:c>
      <x:c r="H34" t="str">
        <x:v>Skin Care Set</x:v>
      </x:c>
      <x:c r="I34" t="n">
        <x:v>4</x:v>
      </x:c>
      <x:c r="J34" s="4" t="n">
        <x:v>46.22</x:v>
      </x:c>
      <x:c r="K34" s="4" t="n">
        <x:v>18</x:v>
      </x:c>
      <x:c r="L34" s="5" t="n">
        <x:v>0</x:v>
      </x:c>
      <x:c r="M34" s="4" t="n">
        <x:f>ROUND(I34*J34*(1-L34),2)</x:f>
        <x:v>184.88</x:v>
      </x:c>
      <x:c r="N34" s="4" t="n">
        <x:f>ROUND(I34*K34,2)</x:f>
        <x:v>72</x:v>
      </x:c>
      <x:c r="O34" s="4" t="n">
        <x:f>ROUND(M34-N34,2)</x:f>
        <x:v>112.88</x:v>
      </x:c>
      <x:c r="P34" s="6" t="n">
        <x:v>3.5</x:v>
      </x:c>
      <x:c r="Q34" t="str">
        <x:v>No</x:v>
      </x:c>
    </x:row>
    <x:row r="35">
      <x:c r="A35" t="str">
        <x:v>ORD-00721</x:v>
      </x:c>
      <x:c r="B35" s="3" t="n">
        <x:v>45305.43782810185</x:v>
      </x:c>
      <x:c r="C35" t="str">
        <x:v>2024-01</x:v>
      </x:c>
      <x:c r="D35" t="str">
        <x:v>CUS-0438</x:v>
      </x:c>
      <x:c r="E35" t="str">
        <x:v>North East</x:v>
      </x:c>
      <x:c r="F35" t="str">
        <x:v>Marketplace</x:v>
      </x:c>
      <x:c r="G35" t="str">
        <x:v>Beauty</x:v>
      </x:c>
      <x:c r="H35" t="str">
        <x:v>Skin Care Set</x:v>
      </x:c>
      <x:c r="I35" t="n">
        <x:v>1</x:v>
      </x:c>
      <x:c r="J35" s="4" t="n">
        <x:v>42.92</x:v>
      </x:c>
      <x:c r="K35" s="4" t="n">
        <x:v>18</x:v>
      </x:c>
      <x:c r="L35" s="5" t="n">
        <x:v>0.1</x:v>
      </x:c>
      <x:c r="M35" s="4" t="n">
        <x:f>ROUND(I35*J35*(1-L35),2)</x:f>
        <x:v>38.63</x:v>
      </x:c>
      <x:c r="N35" s="4" t="n">
        <x:f>ROUND(I35*K35,2)</x:f>
        <x:v>18</x:v>
      </x:c>
      <x:c r="O35" s="4" t="n">
        <x:f>ROUND(M35-N35,2)</x:f>
        <x:v>20.63</x:v>
      </x:c>
      <x:c r="P35" s="6" t="n">
        <x:v>4.6</x:v>
      </x:c>
      <x:c r="Q35" t="str">
        <x:v>No</x:v>
      </x:c>
    </x:row>
    <x:row r="36">
      <x:c r="A36" t="str">
        <x:v>ORD-01446</x:v>
      </x:c>
      <x:c r="B36" s="3" t="n">
        <x:v>45305.80158366898</x:v>
      </x:c>
      <x:c r="C36" t="str">
        <x:v>2024-01</x:v>
      </x:c>
      <x:c r="D36" t="str">
        <x:v>CUS-0486</x:v>
      </x:c>
      <x:c r="E36" t="str">
        <x:v>Scotland</x:v>
      </x:c>
      <x:c r="F36" t="str">
        <x:v>Store</x:v>
      </x:c>
      <x:c r="G36" t="str">
        <x:v>Home</x:v>
      </x:c>
      <x:c r="H36" t="str">
        <x:v>Coffee Maker</x:v>
      </x:c>
      <x:c r="I36" t="n">
        <x:v>5</x:v>
      </x:c>
      <x:c r="J36" s="4" t="n">
        <x:v>71.69</x:v>
      </x:c>
      <x:c r="K36" s="4" t="n">
        <x:v>41</x:v>
      </x:c>
      <x:c r="L36" s="5" t="n">
        <x:v>0</x:v>
      </x:c>
      <x:c r="M36" s="4" t="n">
        <x:f>ROUND(I36*J36*(1-L36),2)</x:f>
        <x:v>358.45</x:v>
      </x:c>
      <x:c r="N36" s="4" t="n">
        <x:f>ROUND(I36*K36,2)</x:f>
        <x:v>205</x:v>
      </x:c>
      <x:c r="O36" s="4" t="n">
        <x:f>ROUND(M36-N36,2)</x:f>
        <x:v>153.45</x:v>
      </x:c>
      <x:c r="P36" s="6" t="n">
        <x:v>4.2</x:v>
      </x:c>
      <x:c r="Q36" t="str">
        <x:v>No</x:v>
      </x:c>
    </x:row>
    <x:row r="37">
      <x:c r="A37" t="str">
        <x:v>ORD-00313</x:v>
      </x:c>
      <x:c r="B37" s="3" t="n">
        <x:v>45305.94962267361</x:v>
      </x:c>
      <x:c r="C37" t="str">
        <x:v>2024-01</x:v>
      </x:c>
      <x:c r="D37" t="str">
        <x:v>CUS-0452</x:v>
      </x:c>
      <x:c r="E37" t="str">
        <x:v>Scotland</x:v>
      </x:c>
      <x:c r="F37" t="str">
        <x:v>Online</x:v>
      </x:c>
      <x:c r="G37" t="str">
        <x:v>Beauty</x:v>
      </x:c>
      <x:c r="H37" t="str">
        <x:v>Skin Care Set</x:v>
      </x:c>
      <x:c r="I37" t="n">
        <x:v>5</x:v>
      </x:c>
      <x:c r="J37" s="4" t="n">
        <x:v>46.99</x:v>
      </x:c>
      <x:c r="K37" s="4" t="n">
        <x:v>18</x:v>
      </x:c>
      <x:c r="L37" s="5" t="n">
        <x:v>0</x:v>
      </x:c>
      <x:c r="M37" s="4" t="n">
        <x:f>ROUND(I37*J37*(1-L37),2)</x:f>
        <x:v>234.95</x:v>
      </x:c>
      <x:c r="N37" s="4" t="n">
        <x:f>ROUND(I37*K37,2)</x:f>
        <x:v>90</x:v>
      </x:c>
      <x:c r="O37" s="4" t="n">
        <x:f>ROUND(M37-N37,2)</x:f>
        <x:v>144.95</x:v>
      </x:c>
      <x:c r="P37" s="6" t="n">
        <x:v>5</x:v>
      </x:c>
      <x:c r="Q37" t="str">
        <x:v>No</x:v>
      </x:c>
    </x:row>
    <x:row r="38">
      <x:c r="A38" t="str">
        <x:v>ORD-00995</x:v>
      </x:c>
      <x:c r="B38" s="3" t="n">
        <x:v>45306.40940005787</x:v>
      </x:c>
      <x:c r="C38" t="str">
        <x:v>2024-01</x:v>
      </x:c>
      <x:c r="D38" t="str">
        <x:v>CUS-0281</x:v>
      </x:c>
      <x:c r="E38" t="str">
        <x:v>South West</x:v>
      </x:c>
      <x:c r="F38" t="str">
        <x:v>Store</x:v>
      </x:c>
      <x:c r="G38" t="str">
        <x:v>Electronics</x:v>
      </x:c>
      <x:c r="H38" t="str">
        <x:v>Bluetooth Speaker</x:v>
      </x:c>
      <x:c r="I38" t="n">
        <x:v>2</x:v>
      </x:c>
      <x:c r="J38" s="4" t="n">
        <x:v>63.12</x:v>
      </x:c>
      <x:c r="K38" s="4" t="n">
        <x:v>34</x:v>
      </x:c>
      <x:c r="L38" s="5" t="n">
        <x:v>0</x:v>
      </x:c>
      <x:c r="M38" s="4" t="n">
        <x:f>ROUND(I38*J38*(1-L38),2)</x:f>
        <x:v>126.24</x:v>
      </x:c>
      <x:c r="N38" s="4" t="n">
        <x:f>ROUND(I38*K38,2)</x:f>
        <x:v>68</x:v>
      </x:c>
      <x:c r="O38" s="4" t="n">
        <x:f>ROUND(M38-N38,2)</x:f>
        <x:v>58.24</x:v>
      </x:c>
      <x:c r="P38" s="6" t="n">
        <x:v>3.5</x:v>
      </x:c>
      <x:c r="Q38" t="str">
        <x:v>No</x:v>
      </x:c>
    </x:row>
    <x:row r="39">
      <x:c r="A39" t="str">
        <x:v>ORD-01484</x:v>
      </x:c>
      <x:c r="B39" s="3" t="n">
        <x:v>45306.413219884256</x:v>
      </x:c>
      <x:c r="C39" t="str">
        <x:v>2024-01</x:v>
      </x:c>
      <x:c r="D39" t="str">
        <x:v>CUS-0359</x:v>
      </x:c>
      <x:c r="E39" t="str">
        <x:v>Midlands</x:v>
      </x:c>
      <x:c r="F39" t="str">
        <x:v>Store</x:v>
      </x:c>
      <x:c r="G39" t="str">
        <x:v>Beauty</x:v>
      </x:c>
      <x:c r="H39" t="str">
        <x:v>Hair Dryer</x:v>
      </x:c>
      <x:c r="I39" t="n">
        <x:v>5</x:v>
      </x:c>
      <x:c r="J39" s="4" t="n">
        <x:v>57.7</x:v>
      </x:c>
      <x:c r="K39" s="4" t="n">
        <x:v>29</x:v>
      </x:c>
      <x:c r="L39" s="5" t="n">
        <x:v>0</x:v>
      </x:c>
      <x:c r="M39" s="4" t="n">
        <x:f>ROUND(I39*J39*(1-L39),2)</x:f>
        <x:v>288.5</x:v>
      </x:c>
      <x:c r="N39" s="4" t="n">
        <x:f>ROUND(I39*K39,2)</x:f>
        <x:v>145</x:v>
      </x:c>
      <x:c r="O39" s="4" t="n">
        <x:f>ROUND(M39-N39,2)</x:f>
        <x:v>143.5</x:v>
      </x:c>
      <x:c r="P39" s="6" t="n">
        <x:v>3.8</x:v>
      </x:c>
      <x:c r="Q39" t="str">
        <x:v>No</x:v>
      </x:c>
    </x:row>
    <x:row r="40">
      <x:c r="A40" t="str">
        <x:v>ORD-01569</x:v>
      </x:c>
      <x:c r="B40" s="3" t="n">
        <x:v>45306.429088287034</x:v>
      </x:c>
      <x:c r="C40" t="str">
        <x:v>2024-01</x:v>
      </x:c>
      <x:c r="D40" t="str">
        <x:v>CUS-0036</x:v>
      </x:c>
      <x:c r="E40" t="str">
        <x:v>North East</x:v>
      </x:c>
      <x:c r="F40" t="str">
        <x:v>Online</x:v>
      </x:c>
      <x:c r="G40" t="str">
        <x:v>Electronics</x:v>
      </x:c>
      <x:c r="H40" t="str">
        <x:v>Wireless Headphones</x:v>
      </x:c>
      <x:c r="I40" t="n">
        <x:v>1</x:v>
      </x:c>
      <x:c r="J40" s="4" t="n">
        <x:v>85.85</x:v>
      </x:c>
      <x:c r="K40" s="4" t="n">
        <x:v>48</x:v>
      </x:c>
      <x:c r="L40" s="5" t="n">
        <x:v>0.2</x:v>
      </x:c>
      <x:c r="M40" s="4" t="n">
        <x:f>ROUND(I40*J40*(1-L40),2)</x:f>
        <x:v>68.68</x:v>
      </x:c>
      <x:c r="N40" s="4" t="n">
        <x:f>ROUND(I40*K40,2)</x:f>
        <x:v>48</x:v>
      </x:c>
      <x:c r="O40" s="4" t="n">
        <x:f>ROUND(M40-N40,2)</x:f>
        <x:v>20.68</x:v>
      </x:c>
      <x:c r="P40" s="6" t="n">
        <x:v>5</x:v>
      </x:c>
      <x:c r="Q40" t="str">
        <x:v>No</x:v>
      </x:c>
    </x:row>
    <x:row r="41">
      <x:c r="A41" t="str">
        <x:v>ORD-00395</x:v>
      </x:c>
      <x:c r="B41" s="3" t="n">
        <x:v>45306.55202224537</x:v>
      </x:c>
      <x:c r="C41" t="str">
        <x:v>2024-01</x:v>
      </x:c>
      <x:c r="D41" t="str">
        <x:v>CUS-0154</x:v>
      </x:c>
      <x:c r="E41" t="str">
        <x:v>Scotland</x:v>
      </x:c>
      <x:c r="F41" t="str">
        <x:v>Marketplace</x:v>
      </x:c>
      <x:c r="G41" t="str">
        <x:v>Home</x:v>
      </x:c>
      <x:c r="H41" t="str">
        <x:v>Desk Lamp</x:v>
      </x:c>
      <x:c r="I41" t="n">
        <x:v>4</x:v>
      </x:c>
      <x:c r="J41" s="4" t="n">
        <x:v>34.59</x:v>
      </x:c>
      <x:c r="K41" s="4" t="n">
        <x:v>17</x:v>
      </x:c>
      <x:c r="L41" s="5" t="n">
        <x:v>0.05</x:v>
      </x:c>
      <x:c r="M41" s="4" t="n">
        <x:f>ROUND(I41*J41*(1-L41),2)</x:f>
        <x:v>131.44</x:v>
      </x:c>
      <x:c r="N41" s="4" t="n">
        <x:f>ROUND(I41*K41,2)</x:f>
        <x:v>68</x:v>
      </x:c>
      <x:c r="O41" s="4" t="n">
        <x:f>ROUND(M41-N41,2)</x:f>
        <x:v>63.44</x:v>
      </x:c>
      <x:c r="P41" s="6" t="n">
        <x:v>3.8</x:v>
      </x:c>
      <x:c r="Q41" t="str">
        <x:v>No</x:v>
      </x:c>
    </x:row>
    <x:row r="42">
      <x:c r="A42" t="str">
        <x:v>ORD-00362</x:v>
      </x:c>
      <x:c r="B42" s="3" t="n">
        <x:v>45306.993274988425</x:v>
      </x:c>
      <x:c r="C42" t="str">
        <x:v>2024-01</x:v>
      </x:c>
      <x:c r="D42" t="str">
        <x:v>CUS-0152</x:v>
      </x:c>
      <x:c r="E42" t="str">
        <x:v>North East</x:v>
      </x:c>
      <x:c r="F42" t="str">
        <x:v>Online</x:v>
      </x:c>
      <x:c r="G42" t="str">
        <x:v>Sports</x:v>
      </x:c>
      <x:c r="H42" t="str">
        <x:v>Yoga Mat</x:v>
      </x:c>
      <x:c r="I42" t="n">
        <x:v>2</x:v>
      </x:c>
      <x:c r="J42" s="4" t="n">
        <x:v>29.21</x:v>
      </x:c>
      <x:c r="K42" s="4" t="n">
        <x:v>12</x:v>
      </x:c>
      <x:c r="L42" s="5" t="n">
        <x:v>0</x:v>
      </x:c>
      <x:c r="M42" s="4" t="n">
        <x:f>ROUND(I42*J42*(1-L42),2)</x:f>
        <x:v>58.42</x:v>
      </x:c>
      <x:c r="N42" s="4" t="n">
        <x:f>ROUND(I42*K42,2)</x:f>
        <x:v>24</x:v>
      </x:c>
      <x:c r="O42" s="4" t="n">
        <x:f>ROUND(M42-N42,2)</x:f>
        <x:v>34.42</x:v>
      </x:c>
      <x:c r="P42" s="6" t="n">
        <x:v>3.9</x:v>
      </x:c>
      <x:c r="Q42" t="str">
        <x:v>No</x:v>
      </x:c>
    </x:row>
    <x:row r="43">
      <x:c r="A43" t="str">
        <x:v>ORD-01359</x:v>
      </x:c>
      <x:c r="B43" s="3" t="n">
        <x:v>45307.963848576386</x:v>
      </x:c>
      <x:c r="C43" t="str">
        <x:v>2024-01</x:v>
      </x:c>
      <x:c r="D43" t="str">
        <x:v>CUS-0050</x:v>
      </x:c>
      <x:c r="E43" t="str">
        <x:v>North East</x:v>
      </x:c>
      <x:c r="F43" t="str">
        <x:v>Marketplace</x:v>
      </x:c>
      <x:c r="G43" t="str">
        <x:v>Sports</x:v>
      </x:c>
      <x:c r="H43" t="str">
        <x:v>Fitness Tracker</x:v>
      </x:c>
      <x:c r="I43" t="n">
        <x:v>5</x:v>
      </x:c>
      <x:c r="J43" s="4" t="n">
        <x:v>57.61</x:v>
      </x:c>
      <x:c r="K43" s="4" t="n">
        <x:v>27</x:v>
      </x:c>
      <x:c r="L43" s="5" t="n">
        <x:v>0.05</x:v>
      </x:c>
      <x:c r="M43" s="4" t="n">
        <x:f>ROUND(I43*J43*(1-L43),2)</x:f>
        <x:v>273.65</x:v>
      </x:c>
      <x:c r="N43" s="4" t="n">
        <x:f>ROUND(I43*K43,2)</x:f>
        <x:v>135</x:v>
      </x:c>
      <x:c r="O43" s="4" t="n">
        <x:f>ROUND(M43-N43,2)</x:f>
        <x:v>138.65</x:v>
      </x:c>
      <x:c r="P43" s="6" t="n">
        <x:v>5</x:v>
      </x:c>
      <x:c r="Q43" t="str">
        <x:v>No</x:v>
      </x:c>
    </x:row>
    <x:row r="44">
      <x:c r="A44" t="str">
        <x:v>ORD-00858</x:v>
      </x:c>
      <x:c r="B44" s="3" t="n">
        <x:v>45309.06719648148</x:v>
      </x:c>
      <x:c r="C44" t="str">
        <x:v>2024-01</x:v>
      </x:c>
      <x:c r="D44" t="str">
        <x:v>CUS-0263</x:v>
      </x:c>
      <x:c r="E44" t="str">
        <x:v>South East</x:v>
      </x:c>
      <x:c r="F44" t="str">
        <x:v>Marketplace</x:v>
      </x:c>
      <x:c r="G44" t="str">
        <x:v>Home</x:v>
      </x:c>
      <x:c r="H44" t="str">
        <x:v>Desk Lamp</x:v>
      </x:c>
      <x:c r="I44" t="n">
        <x:v>2</x:v>
      </x:c>
      <x:c r="J44" s="4" t="n">
        <x:v>33.8</x:v>
      </x:c>
      <x:c r="K44" s="4" t="n">
        <x:v>17</x:v>
      </x:c>
      <x:c r="L44" s="5" t="n">
        <x:v>0.05</x:v>
      </x:c>
      <x:c r="M44" s="4" t="n">
        <x:f>ROUND(I44*J44*(1-L44),2)</x:f>
        <x:v>64.22</x:v>
      </x:c>
      <x:c r="N44" s="4" t="n">
        <x:f>ROUND(I44*K44,2)</x:f>
        <x:v>34</x:v>
      </x:c>
      <x:c r="O44" s="4" t="n">
        <x:f>ROUND(M44-N44,2)</x:f>
        <x:v>30.22</x:v>
      </x:c>
      <x:c r="P44" s="6" t="n">
        <x:v>4.5</x:v>
      </x:c>
      <x:c r="Q44" t="str">
        <x:v>No</x:v>
      </x:c>
    </x:row>
    <x:row r="45">
      <x:c r="A45" t="str">
        <x:v>ORD-01158</x:v>
      </x:c>
      <x:c r="B45" s="3" t="n">
        <x:v>45309.631184328704</x:v>
      </x:c>
      <x:c r="C45" t="str">
        <x:v>2024-01</x:v>
      </x:c>
      <x:c r="D45" t="str">
        <x:v>CUS-0184</x:v>
      </x:c>
      <x:c r="E45" t="str">
        <x:v>South West</x:v>
      </x:c>
      <x:c r="F45" t="str">
        <x:v>Marketplace</x:v>
      </x:c>
      <x:c r="G45" t="str">
        <x:v>Home</x:v>
      </x:c>
      <x:c r="H45" t="str">
        <x:v>Desk Lamp</x:v>
      </x:c>
      <x:c r="I45" t="n">
        <x:v>3</x:v>
      </x:c>
      <x:c r="J45" s="4" t="n">
        <x:v>33.41</x:v>
      </x:c>
      <x:c r="K45" s="4" t="n">
        <x:v>17</x:v>
      </x:c>
      <x:c r="L45" s="5" t="n">
        <x:v>0</x:v>
      </x:c>
      <x:c r="M45" s="4" t="n">
        <x:f>ROUND(I45*J45*(1-L45),2)</x:f>
        <x:v>100.23</x:v>
      </x:c>
      <x:c r="N45" s="4" t="n">
        <x:f>ROUND(I45*K45,2)</x:f>
        <x:v>51</x:v>
      </x:c>
      <x:c r="O45" s="4" t="n">
        <x:f>ROUND(M45-N45,2)</x:f>
        <x:v>49.23</x:v>
      </x:c>
      <x:c r="P45" s="6" t="n">
        <x:v>3.8</x:v>
      </x:c>
      <x:c r="Q45" t="str">
        <x:v>No</x:v>
      </x:c>
    </x:row>
    <x:row r="46">
      <x:c r="A46" t="str">
        <x:v>ORD-01636</x:v>
      </x:c>
      <x:c r="B46" s="3" t="n">
        <x:v>45310.160603055556</x:v>
      </x:c>
      <x:c r="C46" t="str">
        <x:v>2024-01</x:v>
      </x:c>
      <x:c r="D46" t="str">
        <x:v>CUS-0255</x:v>
      </x:c>
      <x:c r="E46" t="str">
        <x:v>North East</x:v>
      </x:c>
      <x:c r="F46" t="str">
        <x:v>Marketplace</x:v>
      </x:c>
      <x:c r="G46" t="str">
        <x:v>Sports</x:v>
      </x:c>
      <x:c r="H46" t="str">
        <x:v>Fitness Tracker</x:v>
      </x:c>
      <x:c r="I46" t="n">
        <x:v>3</x:v>
      </x:c>
      <x:c r="J46" s="4" t="n">
        <x:v>53.64</x:v>
      </x:c>
      <x:c r="K46" s="4" t="n">
        <x:v>27</x:v>
      </x:c>
      <x:c r="L46" s="5" t="n">
        <x:v>0.15</x:v>
      </x:c>
      <x:c r="M46" s="4" t="n">
        <x:f>ROUND(I46*J46*(1-L46),2)</x:f>
        <x:v>136.78</x:v>
      </x:c>
      <x:c r="N46" s="4" t="n">
        <x:f>ROUND(I46*K46,2)</x:f>
        <x:v>81</x:v>
      </x:c>
      <x:c r="O46" s="4" t="n">
        <x:f>ROUND(M46-N46,2)</x:f>
        <x:v>55.78</x:v>
      </x:c>
      <x:c r="P46" s="6" t="n">
        <x:v>4.6</x:v>
      </x:c>
      <x:c r="Q46" t="str">
        <x:v>No</x:v>
      </x:c>
    </x:row>
    <x:row r="47">
      <x:c r="A47" t="str">
        <x:v>ORD-00514</x:v>
      </x:c>
      <x:c r="B47" s="3" t="n">
        <x:v>45310.48624706019</x:v>
      </x:c>
      <x:c r="C47" t="str">
        <x:v>2024-01</x:v>
      </x:c>
      <x:c r="D47" t="str">
        <x:v>CUS-0034</x:v>
      </x:c>
      <x:c r="E47" t="str">
        <x:v>North West</x:v>
      </x:c>
      <x:c r="F47" t="str">
        <x:v>Store</x:v>
      </x:c>
      <x:c r="G47" t="str">
        <x:v>Electronics</x:v>
      </x:c>
      <x:c r="H47" t="str">
        <x:v>Wireless Headphones</x:v>
      </x:c>
      <x:c r="I47" t="n">
        <x:v>5</x:v>
      </x:c>
      <x:c r="J47" s="4" t="n">
        <x:v>86.34</x:v>
      </x:c>
      <x:c r="K47" s="4" t="n">
        <x:v>48</x:v>
      </x:c>
      <x:c r="L47" s="5" t="n">
        <x:v>0</x:v>
      </x:c>
      <x:c r="M47" s="4" t="n">
        <x:f>ROUND(I47*J47*(1-L47),2)</x:f>
        <x:v>431.7</x:v>
      </x:c>
      <x:c r="N47" s="4" t="n">
        <x:f>ROUND(I47*K47,2)</x:f>
        <x:v>240</x:v>
      </x:c>
      <x:c r="O47" s="4" t="n">
        <x:f>ROUND(M47-N47,2)</x:f>
        <x:v>191.7</x:v>
      </x:c>
      <x:c r="P47" s="6" t="n">
        <x:v>4.7</x:v>
      </x:c>
      <x:c r="Q47" t="str">
        <x:v>No</x:v>
      </x:c>
    </x:row>
    <x:row r="48">
      <x:c r="A48" t="str">
        <x:v>ORD-00574</x:v>
      </x:c>
      <x:c r="B48" s="3" t="n">
        <x:v>45311.45385200231</x:v>
      </x:c>
      <x:c r="C48" t="str">
        <x:v>2024-01</x:v>
      </x:c>
      <x:c r="D48" t="str">
        <x:v>CUS-0246</x:v>
      </x:c>
      <x:c r="E48" t="str">
        <x:v>South East</x:v>
      </x:c>
      <x:c r="F48" t="str">
        <x:v>Online</x:v>
      </x:c>
      <x:c r="G48" t="str">
        <x:v>Home</x:v>
      </x:c>
      <x:c r="H48" t="str">
        <x:v>Desk Lamp</x:v>
      </x:c>
      <x:c r="I48" t="n">
        <x:v>1</x:v>
      </x:c>
      <x:c r="J48" s="4" t="n">
        <x:v>34.3</x:v>
      </x:c>
      <x:c r="K48" s="4" t="n">
        <x:v>17</x:v>
      </x:c>
      <x:c r="L48" s="5" t="n">
        <x:v>0.15</x:v>
      </x:c>
      <x:c r="M48" s="4" t="n">
        <x:f>ROUND(I48*J48*(1-L48),2)</x:f>
        <x:v>29.15</x:v>
      </x:c>
      <x:c r="N48" s="4" t="n">
        <x:f>ROUND(I48*K48,2)</x:f>
        <x:v>17</x:v>
      </x:c>
      <x:c r="O48" s="4" t="n">
        <x:f>ROUND(M48-N48,2)</x:f>
        <x:v>12.15</x:v>
      </x:c>
      <x:c r="P48" s="6" t="n">
        <x:v>4.9</x:v>
      </x:c>
      <x:c r="Q48" t="str">
        <x:v>No</x:v>
      </x:c>
    </x:row>
    <x:row r="49">
      <x:c r="A49" t="str">
        <x:v>ORD-01643</x:v>
      </x:c>
      <x:c r="B49" s="3" t="n">
        <x:v>45311.729518761575</x:v>
      </x:c>
      <x:c r="C49" t="str">
        <x:v>2024-01</x:v>
      </x:c>
      <x:c r="D49" t="str">
        <x:v>CUS-0030</x:v>
      </x:c>
      <x:c r="E49" t="str">
        <x:v>Wales</x:v>
      </x:c>
      <x:c r="F49" t="str">
        <x:v>Online</x:v>
      </x:c>
      <x:c r="G49" t="str">
        <x:v>Books</x:v>
      </x:c>
      <x:c r="H49" t="str">
        <x:v>Data Analytics Handbook</x:v>
      </x:c>
      <x:c r="I49" t="n">
        <x:v>4</x:v>
      </x:c>
      <x:c r="J49" s="4" t="n">
        <x:v>41.1</x:v>
      </x:c>
      <x:c r="K49" s="4" t="n">
        <x:v>14</x:v>
      </x:c>
      <x:c r="L49" s="5" t="n">
        <x:v>0</x:v>
      </x:c>
      <x:c r="M49" s="4" t="n">
        <x:f>ROUND(I49*J49*(1-L49),2)</x:f>
        <x:v>164.4</x:v>
      </x:c>
      <x:c r="N49" s="4" t="n">
        <x:f>ROUND(I49*K49,2)</x:f>
        <x:v>56</x:v>
      </x:c>
      <x:c r="O49" s="4" t="n">
        <x:f>ROUND(M49-N49,2)</x:f>
        <x:v>108.4</x:v>
      </x:c>
      <x:c r="P49" s="6" t="n">
        <x:v>4.8</x:v>
      </x:c>
      <x:c r="Q49" t="str">
        <x:v>No</x:v>
      </x:c>
    </x:row>
    <x:row r="50">
      <x:c r="A50" t="str">
        <x:v>ORD-01527</x:v>
      </x:c>
      <x:c r="B50" s="3" t="n">
        <x:v>45311.793974085645</x:v>
      </x:c>
      <x:c r="C50" t="str">
        <x:v>2024-01</x:v>
      </x:c>
      <x:c r="D50" t="str">
        <x:v>CUS-0394</x:v>
      </x:c>
      <x:c r="E50" t="str">
        <x:v>North West</x:v>
      </x:c>
      <x:c r="F50" t="str">
        <x:v>Online</x:v>
      </x:c>
      <x:c r="G50" t="str">
        <x:v>Books</x:v>
      </x:c>
      <x:c r="H50" t="str">
        <x:v>Data Analytics Handbook</x:v>
      </x:c>
      <x:c r="I50" t="n">
        <x:v>4</x:v>
      </x:c>
      <x:c r="J50" s="4" t="n">
        <x:v>39.08</x:v>
      </x:c>
      <x:c r="K50" s="4" t="n">
        <x:v>14</x:v>
      </x:c>
      <x:c r="L50" s="5" t="n">
        <x:v>0</x:v>
      </x:c>
      <x:c r="M50" s="4" t="n">
        <x:f>ROUND(I50*J50*(1-L50),2)</x:f>
        <x:v>156.32</x:v>
      </x:c>
      <x:c r="N50" s="4" t="n">
        <x:f>ROUND(I50*K50,2)</x:f>
        <x:v>56</x:v>
      </x:c>
      <x:c r="O50" s="4" t="n">
        <x:f>ROUND(M50-N50,2)</x:f>
        <x:v>100.32</x:v>
      </x:c>
      <x:c r="P50" s="6" t="n">
        <x:v>4.8</x:v>
      </x:c>
      <x:c r="Q50" t="str">
        <x:v>No</x:v>
      </x:c>
    </x:row>
    <x:row r="51">
      <x:c r="A51" t="str">
        <x:v>ORD-00244</x:v>
      </x:c>
      <x:c r="B51" s="3" t="n">
        <x:v>45312.08046158565</x:v>
      </x:c>
      <x:c r="C51" t="str">
        <x:v>2024-01</x:v>
      </x:c>
      <x:c r="D51" t="str">
        <x:v>CUS-0515</x:v>
      </x:c>
      <x:c r="E51" t="str">
        <x:v>Midlands</x:v>
      </x:c>
      <x:c r="F51" t="str">
        <x:v>Marketplace</x:v>
      </x:c>
      <x:c r="G51" t="str">
        <x:v>Electronics</x:v>
      </x:c>
      <x:c r="H51" t="str">
        <x:v>Bluetooth Speaker</x:v>
      </x:c>
      <x:c r="I51" t="n">
        <x:v>4</x:v>
      </x:c>
      <x:c r="J51" s="4" t="n">
        <x:v>64.05</x:v>
      </x:c>
      <x:c r="K51" s="4" t="n">
        <x:v>34</x:v>
      </x:c>
      <x:c r="L51" s="5" t="n">
        <x:v>0.15</x:v>
      </x:c>
      <x:c r="M51" s="4" t="n">
        <x:f>ROUND(I51*J51*(1-L51),2)</x:f>
        <x:v>217.77</x:v>
      </x:c>
      <x:c r="N51" s="4" t="n">
        <x:f>ROUND(I51*K51,2)</x:f>
        <x:v>136</x:v>
      </x:c>
      <x:c r="O51" s="4" t="n">
        <x:f>ROUND(M51-N51,2)</x:f>
        <x:v>81.77</x:v>
      </x:c>
      <x:c r="P51" s="6" t="n">
        <x:v>4.5</x:v>
      </x:c>
      <x:c r="Q51" t="str">
        <x:v>No</x:v>
      </x:c>
    </x:row>
    <x:row r="52">
      <x:c r="A52" t="str">
        <x:v>ORD-01739</x:v>
      </x:c>
      <x:c r="B52" s="3" t="n">
        <x:v>45312.23210796296</x:v>
      </x:c>
      <x:c r="C52" t="str">
        <x:v>2024-01</x:v>
      </x:c>
      <x:c r="D52" t="str">
        <x:v>CUS-0065</x:v>
      </x:c>
      <x:c r="E52" t="str">
        <x:v>Wales</x:v>
      </x:c>
      <x:c r="F52" t="str">
        <x:v>Marketplace</x:v>
      </x:c>
      <x:c r="G52" t="str">
        <x:v>Books</x:v>
      </x:c>
      <x:c r="H52" t="str">
        <x:v>Data Analytics Handbook</x:v>
      </x:c>
      <x:c r="I52" t="n">
        <x:v>5</x:v>
      </x:c>
      <x:c r="J52" s="4" t="n">
        <x:v>41.49</x:v>
      </x:c>
      <x:c r="K52" s="4" t="n">
        <x:v>14</x:v>
      </x:c>
      <x:c r="L52" s="5" t="n">
        <x:v>0</x:v>
      </x:c>
      <x:c r="M52" s="4" t="n">
        <x:f>ROUND(I52*J52*(1-L52),2)</x:f>
        <x:v>207.45</x:v>
      </x:c>
      <x:c r="N52" s="4" t="n">
        <x:f>ROUND(I52*K52,2)</x:f>
        <x:v>70</x:v>
      </x:c>
      <x:c r="O52" s="4" t="n">
        <x:f>ROUND(M52-N52,2)</x:f>
        <x:v>137.45</x:v>
      </x:c>
      <x:c r="P52" s="6" t="n">
        <x:v>3.6</x:v>
      </x:c>
      <x:c r="Q52" t="str">
        <x:v>No</x:v>
      </x:c>
    </x:row>
    <x:row r="53">
      <x:c r="A53" t="str">
        <x:v>ORD-01052</x:v>
      </x:c>
      <x:c r="B53" s="3" t="n">
        <x:v>45312.3287946875</x:v>
      </x:c>
      <x:c r="C53" t="str">
        <x:v>2024-01</x:v>
      </x:c>
      <x:c r="D53" t="str">
        <x:v>CUS-0601</x:v>
      </x:c>
      <x:c r="E53" t="str">
        <x:v>Wales</x:v>
      </x:c>
      <x:c r="F53" t="str">
        <x:v>Store</x:v>
      </x:c>
      <x:c r="G53" t="str">
        <x:v>Home</x:v>
      </x:c>
      <x:c r="H53" t="str">
        <x:v>Desk Lamp</x:v>
      </x:c>
      <x:c r="I53" t="n">
        <x:v>3</x:v>
      </x:c>
      <x:c r="J53" s="4" t="n">
        <x:v>36.5</x:v>
      </x:c>
      <x:c r="K53" s="4" t="n">
        <x:v>17</x:v>
      </x:c>
      <x:c r="L53" s="5" t="n">
        <x:v>0.2</x:v>
      </x:c>
      <x:c r="M53" s="4" t="n">
        <x:f>ROUND(I53*J53*(1-L53),2)</x:f>
        <x:v>87.6</x:v>
      </x:c>
      <x:c r="N53" s="4" t="n">
        <x:f>ROUND(I53*K53,2)</x:f>
        <x:v>51</x:v>
      </x:c>
      <x:c r="O53" s="4" t="n">
        <x:f>ROUND(M53-N53,2)</x:f>
        <x:v>36.6</x:v>
      </x:c>
      <x:c r="P53" s="6" t="n">
        <x:v>4.9</x:v>
      </x:c>
      <x:c r="Q53" t="str">
        <x:v>No</x:v>
      </x:c>
    </x:row>
    <x:row r="54">
      <x:c r="A54" t="str">
        <x:v>ORD-00415</x:v>
      </x:c>
      <x:c r="B54" s="3" t="n">
        <x:v>45312.96163761574</x:v>
      </x:c>
      <x:c r="C54" t="str">
        <x:v>2024-01</x:v>
      </x:c>
      <x:c r="D54" t="str">
        <x:v>CUS-0158</x:v>
      </x:c>
      <x:c r="E54" t="str">
        <x:v>South East</x:v>
      </x:c>
      <x:c r="F54" t="str">
        <x:v>Marketplace</x:v>
      </x:c>
      <x:c r="G54" t="str">
        <x:v>Home</x:v>
      </x:c>
      <x:c r="H54" t="str">
        <x:v>Desk Lamp</x:v>
      </x:c>
      <x:c r="I54" t="n">
        <x:v>4</x:v>
      </x:c>
      <x:c r="J54" s="4" t="n">
        <x:v>35.06</x:v>
      </x:c>
      <x:c r="K54" s="4" t="n">
        <x:v>17</x:v>
      </x:c>
      <x:c r="L54" s="5" t="n">
        <x:v>0.2</x:v>
      </x:c>
      <x:c r="M54" s="4" t="n">
        <x:f>ROUND(I54*J54*(1-L54),2)</x:f>
        <x:v>112.19</x:v>
      </x:c>
      <x:c r="N54" s="4" t="n">
        <x:f>ROUND(I54*K54,2)</x:f>
        <x:v>68</x:v>
      </x:c>
      <x:c r="O54" s="4" t="n">
        <x:f>ROUND(M54-N54,2)</x:f>
        <x:v>44.19</x:v>
      </x:c>
      <x:c r="P54" s="6" t="n">
        <x:v>4.5</x:v>
      </x:c>
      <x:c r="Q54" t="str">
        <x:v>Yes</x:v>
      </x:c>
    </x:row>
    <x:row r="55">
      <x:c r="A55" t="str">
        <x:v>ORD-00443</x:v>
      </x:c>
      <x:c r="B55" s="3" t="n">
        <x:v>45313.0936715625</x:v>
      </x:c>
      <x:c r="C55" t="str">
        <x:v>2024-01</x:v>
      </x:c>
      <x:c r="D55" t="str">
        <x:v>CUS-0103</x:v>
      </x:c>
      <x:c r="E55" t="str">
        <x:v>North East</x:v>
      </x:c>
      <x:c r="F55" t="str">
        <x:v>Marketplace</x:v>
      </x:c>
      <x:c r="G55" t="str">
        <x:v>Sports</x:v>
      </x:c>
      <x:c r="H55" t="str">
        <x:v>Running Shoes</x:v>
      </x:c>
      <x:c r="I55" t="n">
        <x:v>3</x:v>
      </x:c>
      <x:c r="J55" s="4" t="n">
        <x:v>81.77</x:v>
      </x:c>
      <x:c r="K55" s="4" t="n">
        <x:v>38</x:v>
      </x:c>
      <x:c r="L55" s="5" t="n">
        <x:v>0.15</x:v>
      </x:c>
      <x:c r="M55" s="4" t="n">
        <x:f>ROUND(I55*J55*(1-L55),2)</x:f>
        <x:v>208.51</x:v>
      </x:c>
      <x:c r="N55" s="4" t="n">
        <x:f>ROUND(I55*K55,2)</x:f>
        <x:v>114</x:v>
      </x:c>
      <x:c r="O55" s="4" t="n">
        <x:f>ROUND(M55-N55,2)</x:f>
        <x:v>94.51</x:v>
      </x:c>
      <x:c r="P55" s="6" t="n">
        <x:v>4.5</x:v>
      </x:c>
      <x:c r="Q55" t="str">
        <x:v>No</x:v>
      </x:c>
    </x:row>
    <x:row r="56">
      <x:c r="A56" t="str">
        <x:v>ORD-01457</x:v>
      </x:c>
      <x:c r="B56" s="3" t="n">
        <x:v>45313.439039826386</x:v>
      </x:c>
      <x:c r="C56" t="str">
        <x:v>2024-01</x:v>
      </x:c>
      <x:c r="D56" t="str">
        <x:v>CUS-0493</x:v>
      </x:c>
      <x:c r="E56" t="str">
        <x:v>South West</x:v>
      </x:c>
      <x:c r="F56" t="str">
        <x:v>Marketplace</x:v>
      </x:c>
      <x:c r="G56" t="str">
        <x:v>Books</x:v>
      </x:c>
      <x:c r="H56" t="str">
        <x:v>Data Analytics Handbook</x:v>
      </x:c>
      <x:c r="I56" t="n">
        <x:v>4</x:v>
      </x:c>
      <x:c r="J56" s="4" t="n">
        <x:v>38.94</x:v>
      </x:c>
      <x:c r="K56" s="4" t="n">
        <x:v>14</x:v>
      </x:c>
      <x:c r="L56" s="5" t="n">
        <x:v>0</x:v>
      </x:c>
      <x:c r="M56" s="4" t="n">
        <x:f>ROUND(I56*J56*(1-L56),2)</x:f>
        <x:v>155.76</x:v>
      </x:c>
      <x:c r="N56" s="4" t="n">
        <x:f>ROUND(I56*K56,2)</x:f>
        <x:v>56</x:v>
      </x:c>
      <x:c r="O56" s="4" t="n">
        <x:f>ROUND(M56-N56,2)</x:f>
        <x:v>99.76</x:v>
      </x:c>
      <x:c r="P56" s="6" t="n">
        <x:v>4.7</x:v>
      </x:c>
      <x:c r="Q56" t="str">
        <x:v>No</x:v>
      </x:c>
    </x:row>
    <x:row r="57">
      <x:c r="A57" t="str">
        <x:v>ORD-01342</x:v>
      </x:c>
      <x:c r="B57" s="3" t="n">
        <x:v>45313.481395787036</x:v>
      </x:c>
      <x:c r="C57" t="str">
        <x:v>2024-01</x:v>
      </x:c>
      <x:c r="D57" t="str">
        <x:v>CUS-0053</x:v>
      </x:c>
      <x:c r="E57" t="str">
        <x:v>Wales</x:v>
      </x:c>
      <x:c r="F57" t="str">
        <x:v>Marketplace</x:v>
      </x:c>
      <x:c r="G57" t="str">
        <x:v>Sports</x:v>
      </x:c>
      <x:c r="H57" t="str">
        <x:v>Yoga Mat</x:v>
      </x:c>
      <x:c r="I57" t="n">
        <x:v>2</x:v>
      </x:c>
      <x:c r="J57" s="4" t="n">
        <x:v>30.86</x:v>
      </x:c>
      <x:c r="K57" s="4" t="n">
        <x:v>12</x:v>
      </x:c>
      <x:c r="L57" s="5" t="n">
        <x:v>0.2</x:v>
      </x:c>
      <x:c r="M57" s="4" t="n">
        <x:f>ROUND(I57*J57*(1-L57),2)</x:f>
        <x:v>49.38</x:v>
      </x:c>
      <x:c r="N57" s="4" t="n">
        <x:f>ROUND(I57*K57,2)</x:f>
        <x:v>24</x:v>
      </x:c>
      <x:c r="O57" s="4" t="n">
        <x:f>ROUND(M57-N57,2)</x:f>
        <x:v>25.38</x:v>
      </x:c>
      <x:c r="P57" s="6" t="n">
        <x:v>4.1</x:v>
      </x:c>
      <x:c r="Q57" t="str">
        <x:v>No</x:v>
      </x:c>
    </x:row>
    <x:row r="58">
      <x:c r="A58" t="str">
        <x:v>ORD-00627</x:v>
      </x:c>
      <x:c r="B58" s="3" t="n">
        <x:v>45313.726019884256</x:v>
      </x:c>
      <x:c r="C58" t="str">
        <x:v>2024-01</x:v>
      </x:c>
      <x:c r="D58" t="str">
        <x:v>CUS-0083</x:v>
      </x:c>
      <x:c r="E58" t="str">
        <x:v>Scotland</x:v>
      </x:c>
      <x:c r="F58" t="str">
        <x:v>Marketplace</x:v>
      </x:c>
      <x:c r="G58" t="str">
        <x:v>Home</x:v>
      </x:c>
      <x:c r="H58" t="str">
        <x:v>Air Fryer</x:v>
      </x:c>
      <x:c r="I58" t="n">
        <x:v>4</x:v>
      </x:c>
      <x:c r="J58" s="4" t="n">
        <x:v>121.13</x:v>
      </x:c>
      <x:c r="K58" s="4" t="n">
        <x:v>69</x:v>
      </x:c>
      <x:c r="L58" s="5" t="n">
        <x:v>0</x:v>
      </x:c>
      <x:c r="M58" s="4" t="n">
        <x:f>ROUND(I58*J58*(1-L58),2)</x:f>
        <x:v>484.52</x:v>
      </x:c>
      <x:c r="N58" s="4" t="n">
        <x:f>ROUND(I58*K58,2)</x:f>
        <x:v>276</x:v>
      </x:c>
      <x:c r="O58" s="4" t="n">
        <x:f>ROUND(M58-N58,2)</x:f>
        <x:v>208.52</x:v>
      </x:c>
      <x:c r="P58" s="6" t="n">
        <x:v>3.3</x:v>
      </x:c>
      <x:c r="Q58" t="str">
        <x:v>No</x:v>
      </x:c>
    </x:row>
    <x:row r="59">
      <x:c r="A59" t="str">
        <x:v>ORD-00633</x:v>
      </x:c>
      <x:c r="B59" s="3" t="n">
        <x:v>45313.98210821759</x:v>
      </x:c>
      <x:c r="C59" t="str">
        <x:v>2024-01</x:v>
      </x:c>
      <x:c r="D59" t="str">
        <x:v>CUS-0391</x:v>
      </x:c>
      <x:c r="E59" t="str">
        <x:v>South West</x:v>
      </x:c>
      <x:c r="F59" t="str">
        <x:v>Online</x:v>
      </x:c>
      <x:c r="G59" t="str">
        <x:v>Home</x:v>
      </x:c>
      <x:c r="H59" t="str">
        <x:v>Coffee Maker</x:v>
      </x:c>
      <x:c r="I59" t="n">
        <x:v>1</x:v>
      </x:c>
      <x:c r="J59" s="4" t="n">
        <x:v>72.39</x:v>
      </x:c>
      <x:c r="K59" s="4" t="n">
        <x:v>41</x:v>
      </x:c>
      <x:c r="L59" s="5" t="n">
        <x:v>0</x:v>
      </x:c>
      <x:c r="M59" s="4" t="n">
        <x:f>ROUND(I59*J59*(1-L59),2)</x:f>
        <x:v>72.39</x:v>
      </x:c>
      <x:c r="N59" s="4" t="n">
        <x:f>ROUND(I59*K59,2)</x:f>
        <x:v>41</x:v>
      </x:c>
      <x:c r="O59" s="4" t="n">
        <x:f>ROUND(M59-N59,2)</x:f>
        <x:v>31.39</x:v>
      </x:c>
      <x:c r="P59" s="6" t="n">
        <x:v>4.7</x:v>
      </x:c>
      <x:c r="Q59" t="str">
        <x:v>No</x:v>
      </x:c>
    </x:row>
    <x:row r="60">
      <x:c r="A60" t="str">
        <x:v>ORD-00376</x:v>
      </x:c>
      <x:c r="B60" s="3" t="n">
        <x:v>45314.39226664352</x:v>
      </x:c>
      <x:c r="C60" t="str">
        <x:v>2024-01</x:v>
      </x:c>
      <x:c r="D60" t="str">
        <x:v>CUS-0614</x:v>
      </x:c>
      <x:c r="E60" t="str">
        <x:v>North East</x:v>
      </x:c>
      <x:c r="F60" t="str">
        <x:v>Online</x:v>
      </x:c>
      <x:c r="G60" t="str">
        <x:v>Sports</x:v>
      </x:c>
      <x:c r="H60" t="str">
        <x:v>Yoga Mat</x:v>
      </x:c>
      <x:c r="I60" t="n">
        <x:v>1</x:v>
      </x:c>
      <x:c r="J60" s="4" t="n">
        <x:v>28.75</x:v>
      </x:c>
      <x:c r="K60" s="4" t="n">
        <x:v>12</x:v>
      </x:c>
      <x:c r="L60" s="5" t="n">
        <x:v>0.05</x:v>
      </x:c>
      <x:c r="M60" s="4" t="n">
        <x:f>ROUND(I60*J60*(1-L60),2)</x:f>
        <x:v>27.31</x:v>
      </x:c>
      <x:c r="N60" s="4" t="n">
        <x:f>ROUND(I60*K60,2)</x:f>
        <x:v>12</x:v>
      </x:c>
      <x:c r="O60" s="4" t="n">
        <x:f>ROUND(M60-N60,2)</x:f>
        <x:v>15.31</x:v>
      </x:c>
      <x:c r="P60" s="6" t="n">
        <x:v>4.8</x:v>
      </x:c>
      <x:c r="Q60" t="str">
        <x:v>No</x:v>
      </x:c>
    </x:row>
    <x:row r="61">
      <x:c r="A61" t="str">
        <x:v>ORD-00383</x:v>
      </x:c>
      <x:c r="B61" s="3" t="n">
        <x:v>45314.5453543287</x:v>
      </x:c>
      <x:c r="C61" t="str">
        <x:v>2024-01</x:v>
      </x:c>
      <x:c r="D61" t="str">
        <x:v>CUS-0285</x:v>
      </x:c>
      <x:c r="E61" t="str">
        <x:v>South West</x:v>
      </x:c>
      <x:c r="F61" t="str">
        <x:v>Marketplace</x:v>
      </x:c>
      <x:c r="G61" t="str">
        <x:v>Sports</x:v>
      </x:c>
      <x:c r="H61" t="str">
        <x:v>Fitness Tracker</x:v>
      </x:c>
      <x:c r="I61" t="n">
        <x:v>2</x:v>
      </x:c>
      <x:c r="J61" s="4" t="n">
        <x:v>55.01</x:v>
      </x:c>
      <x:c r="K61" s="4" t="n">
        <x:v>27</x:v>
      </x:c>
      <x:c r="L61" s="5" t="n">
        <x:v>0</x:v>
      </x:c>
      <x:c r="M61" s="4" t="n">
        <x:f>ROUND(I61*J61*(1-L61),2)</x:f>
        <x:v>110.02</x:v>
      </x:c>
      <x:c r="N61" s="4" t="n">
        <x:f>ROUND(I61*K61,2)</x:f>
        <x:v>54</x:v>
      </x:c>
      <x:c r="O61" s="4" t="n">
        <x:f>ROUND(M61-N61,2)</x:f>
        <x:v>56.02</x:v>
      </x:c>
      <x:c r="P61" s="6" t="n">
        <x:v>5</x:v>
      </x:c>
      <x:c r="Q61" t="str">
        <x:v>No</x:v>
      </x:c>
    </x:row>
    <x:row r="62">
      <x:c r="A62" t="str">
        <x:v>ORD-01623</x:v>
      </x:c>
      <x:c r="B62" s="3" t="n">
        <x:v>45314.67646231481</x:v>
      </x:c>
      <x:c r="C62" t="str">
        <x:v>2024-01</x:v>
      </x:c>
      <x:c r="D62" t="str">
        <x:v>CUS-0050</x:v>
      </x:c>
      <x:c r="E62" t="str">
        <x:v>North West</x:v>
      </x:c>
      <x:c r="F62" t="str">
        <x:v>Store</x:v>
      </x:c>
      <x:c r="G62" t="str">
        <x:v>Sports</x:v>
      </x:c>
      <x:c r="H62" t="str">
        <x:v>Yoga Mat</x:v>
      </x:c>
      <x:c r="I62" t="n">
        <x:v>1</x:v>
      </x:c>
      <x:c r="J62" s="4" t="n">
        <x:v>28.61</x:v>
      </x:c>
      <x:c r="K62" s="4" t="n">
        <x:v>12</x:v>
      </x:c>
      <x:c r="L62" s="5" t="n">
        <x:v>0.1</x:v>
      </x:c>
      <x:c r="M62" s="4" t="n">
        <x:f>ROUND(I62*J62*(1-L62),2)</x:f>
        <x:v>25.75</x:v>
      </x:c>
      <x:c r="N62" s="4" t="n">
        <x:f>ROUND(I62*K62,2)</x:f>
        <x:v>12</x:v>
      </x:c>
      <x:c r="O62" s="4" t="n">
        <x:f>ROUND(M62-N62,2)</x:f>
        <x:v>13.75</x:v>
      </x:c>
      <x:c r="P62" s="6" t="n">
        <x:v>3.3</x:v>
      </x:c>
      <x:c r="Q62" t="str">
        <x:v>No</x:v>
      </x:c>
    </x:row>
    <x:row r="63">
      <x:c r="A63" t="str">
        <x:v>ORD-00426</x:v>
      </x:c>
      <x:c r="B63" s="3" t="n">
        <x:v>45315.30780137731</x:v>
      </x:c>
      <x:c r="C63" t="str">
        <x:v>2024-01</x:v>
      </x:c>
      <x:c r="D63" t="str">
        <x:v>CUS-0342</x:v>
      </x:c>
      <x:c r="E63" t="str">
        <x:v>South West</x:v>
      </x:c>
      <x:c r="F63" t="str">
        <x:v>Marketplace</x:v>
      </x:c>
      <x:c r="G63" t="str">
        <x:v>Electronics</x:v>
      </x:c>
      <x:c r="H63" t="str">
        <x:v>Wireless Headphones</x:v>
      </x:c>
      <x:c r="I63" t="n">
        <x:v>4</x:v>
      </x:c>
      <x:c r="J63" s="4" t="n">
        <x:v>86.47</x:v>
      </x:c>
      <x:c r="K63" s="4" t="n">
        <x:v>48</x:v>
      </x:c>
      <x:c r="L63" s="5" t="n">
        <x:v>0.05</x:v>
      </x:c>
      <x:c r="M63" s="4" t="n">
        <x:f>ROUND(I63*J63*(1-L63),2)</x:f>
        <x:v>328.59</x:v>
      </x:c>
      <x:c r="N63" s="4" t="n">
        <x:f>ROUND(I63*K63,2)</x:f>
        <x:v>192</x:v>
      </x:c>
      <x:c r="O63" s="4" t="n">
        <x:f>ROUND(M63-N63,2)</x:f>
        <x:v>136.59</x:v>
      </x:c>
      <x:c r="P63" s="6" t="n">
        <x:v>5</x:v>
      </x:c>
      <x:c r="Q63" t="str">
        <x:v>No</x:v>
      </x:c>
    </x:row>
    <x:row r="64">
      <x:c r="A64" t="str">
        <x:v>ORD-00001</x:v>
      </x:c>
      <x:c r="B64" s="3" t="n">
        <x:v>45315.601191539354</x:v>
      </x:c>
      <x:c r="C64" t="str">
        <x:v>2024-01</x:v>
      </x:c>
      <x:c r="D64" t="str">
        <x:v>CUS-0013</x:v>
      </x:c>
      <x:c r="E64" t="str">
        <x:v>Wales</x:v>
      </x:c>
      <x:c r="F64" t="str">
        <x:v>Store</x:v>
      </x:c>
      <x:c r="G64" t="str">
        <x:v>Books</x:v>
      </x:c>
      <x:c r="H64" t="str">
        <x:v>Business Intelligence Guide</x:v>
      </x:c>
      <x:c r="I64" t="n">
        <x:v>3</x:v>
      </x:c>
      <x:c r="J64" s="4" t="n">
        <x:v>35</x:v>
      </x:c>
      <x:c r="K64" s="4" t="n">
        <x:v>12</x:v>
      </x:c>
      <x:c r="L64" s="5" t="n">
        <x:v>0.1</x:v>
      </x:c>
      <x:c r="M64" s="4" t="n">
        <x:f>ROUND(I64*J64*(1-L64),2)</x:f>
        <x:v>94.5</x:v>
      </x:c>
      <x:c r="N64" s="4" t="n">
        <x:f>ROUND(I64*K64,2)</x:f>
        <x:v>36</x:v>
      </x:c>
      <x:c r="O64" s="4" t="n">
        <x:f>ROUND(M64-N64,2)</x:f>
        <x:v>58.5</x:v>
      </x:c>
      <x:c r="P64" s="6" t="n">
        <x:v>3.9</x:v>
      </x:c>
      <x:c r="Q64" t="str">
        <x:v>No</x:v>
      </x:c>
    </x:row>
    <x:row r="65">
      <x:c r="A65" t="str">
        <x:v>ORD-00696</x:v>
      </x:c>
      <x:c r="B65" s="3" t="n">
        <x:v>45315.77812619213</x:v>
      </x:c>
      <x:c r="C65" t="str">
        <x:v>2024-01</x:v>
      </x:c>
      <x:c r="D65" t="str">
        <x:v>CUS-0440</x:v>
      </x:c>
      <x:c r="E65" t="str">
        <x:v>North East</x:v>
      </x:c>
      <x:c r="F65" t="str">
        <x:v>Online</x:v>
      </x:c>
      <x:c r="G65" t="str">
        <x:v>Sports</x:v>
      </x:c>
      <x:c r="H65" t="str">
        <x:v>Running Shoes</x:v>
      </x:c>
      <x:c r="I65" t="n">
        <x:v>5</x:v>
      </x:c>
      <x:c r="J65" s="4" t="n">
        <x:v>79.71</x:v>
      </x:c>
      <x:c r="K65" s="4" t="n">
        <x:v>38</x:v>
      </x:c>
      <x:c r="L65" s="5" t="n">
        <x:v>0.05</x:v>
      </x:c>
      <x:c r="M65" s="4" t="n">
        <x:f>ROUND(I65*J65*(1-L65),2)</x:f>
        <x:v>378.62</x:v>
      </x:c>
      <x:c r="N65" s="4" t="n">
        <x:f>ROUND(I65*K65,2)</x:f>
        <x:v>190</x:v>
      </x:c>
      <x:c r="O65" s="4" t="n">
        <x:f>ROUND(M65-N65,2)</x:f>
        <x:v>188.62</x:v>
      </x:c>
      <x:c r="P65" s="6" t="n">
        <x:v>4</x:v>
      </x:c>
      <x:c r="Q65" t="str">
        <x:v>No</x:v>
      </x:c>
    </x:row>
    <x:row r="66">
      <x:c r="A66" t="str">
        <x:v>ORD-01538</x:v>
      </x:c>
      <x:c r="B66" s="3" t="n">
        <x:v>45315.79985809028</x:v>
      </x:c>
      <x:c r="C66" t="str">
        <x:v>2024-01</x:v>
      </x:c>
      <x:c r="D66" t="str">
        <x:v>CUS-0065</x:v>
      </x:c>
      <x:c r="E66" t="str">
        <x:v>South East</x:v>
      </x:c>
      <x:c r="F66" t="str">
        <x:v>Online</x:v>
      </x:c>
      <x:c r="G66" t="str">
        <x:v>Books</x:v>
      </x:c>
      <x:c r="H66" t="str">
        <x:v>Business Intelligence Guide</x:v>
      </x:c>
      <x:c r="I66" t="n">
        <x:v>2</x:v>
      </x:c>
      <x:c r="J66" s="4" t="n">
        <x:v>34.56</x:v>
      </x:c>
      <x:c r="K66" s="4" t="n">
        <x:v>12</x:v>
      </x:c>
      <x:c r="L66" s="5" t="n">
        <x:v>0</x:v>
      </x:c>
      <x:c r="M66" s="4" t="n">
        <x:f>ROUND(I66*J66*(1-L66),2)</x:f>
        <x:v>69.12</x:v>
      </x:c>
      <x:c r="N66" s="4" t="n">
        <x:f>ROUND(I66*K66,2)</x:f>
        <x:v>24</x:v>
      </x:c>
      <x:c r="O66" s="4" t="n">
        <x:f>ROUND(M66-N66,2)</x:f>
        <x:v>45.12</x:v>
      </x:c>
      <x:c r="P66" s="6" t="n">
        <x:v>4.7</x:v>
      </x:c>
      <x:c r="Q66" t="str">
        <x:v>Yes</x:v>
      </x:c>
    </x:row>
    <x:row r="67">
      <x:c r="A67" t="str">
        <x:v>ORD-00940</x:v>
      </x:c>
      <x:c r="B67" s="3" t="n">
        <x:v>45316.17855744213</x:v>
      </x:c>
      <x:c r="C67" t="str">
        <x:v>2024-01</x:v>
      </x:c>
      <x:c r="D67" t="str">
        <x:v>CUS-0508</x:v>
      </x:c>
      <x:c r="E67" t="str">
        <x:v>Midlands</x:v>
      </x:c>
      <x:c r="F67" t="str">
        <x:v>Store</x:v>
      </x:c>
      <x:c r="G67" t="str">
        <x:v>Sports</x:v>
      </x:c>
      <x:c r="H67" t="str">
        <x:v>Yoga Mat</x:v>
      </x:c>
      <x:c r="I67" t="n">
        <x:v>5</x:v>
      </x:c>
      <x:c r="J67" s="4" t="n">
        <x:v>31.34</x:v>
      </x:c>
      <x:c r="K67" s="4" t="n">
        <x:v>12</x:v>
      </x:c>
      <x:c r="L67" s="5" t="n">
        <x:v>0.2</x:v>
      </x:c>
      <x:c r="M67" s="4" t="n">
        <x:f>ROUND(I67*J67*(1-L67),2)</x:f>
        <x:v>125.36</x:v>
      </x:c>
      <x:c r="N67" s="4" t="n">
        <x:f>ROUND(I67*K67,2)</x:f>
        <x:v>60</x:v>
      </x:c>
      <x:c r="O67" s="4" t="n">
        <x:f>ROUND(M67-N67,2)</x:f>
        <x:v>65.36</x:v>
      </x:c>
      <x:c r="P67" s="6" t="n">
        <x:v>4.3</x:v>
      </x:c>
      <x:c r="Q67" t="str">
        <x:v>No</x:v>
      </x:c>
    </x:row>
    <x:row r="68">
      <x:c r="A68" t="str">
        <x:v>ORD-01388</x:v>
      </x:c>
      <x:c r="B68" s="3" t="n">
        <x:v>45316.372596493056</x:v>
      </x:c>
      <x:c r="C68" t="str">
        <x:v>2024-01</x:v>
      </x:c>
      <x:c r="D68" t="str">
        <x:v>CUS-0303</x:v>
      </x:c>
      <x:c r="E68" t="str">
        <x:v>Wales</x:v>
      </x:c>
      <x:c r="F68" t="str">
        <x:v>Marketplace</x:v>
      </x:c>
      <x:c r="G68" t="str">
        <x:v>Books</x:v>
      </x:c>
      <x:c r="H68" t="str">
        <x:v>Data Analytics Handbook</x:v>
      </x:c>
      <x:c r="I68" t="n">
        <x:v>1</x:v>
      </x:c>
      <x:c r="J68" s="4" t="n">
        <x:v>38.06</x:v>
      </x:c>
      <x:c r="K68" s="4" t="n">
        <x:v>14</x:v>
      </x:c>
      <x:c r="L68" s="5" t="n">
        <x:v>0.15</x:v>
      </x:c>
      <x:c r="M68" s="4" t="n">
        <x:f>ROUND(I68*J68*(1-L68),2)</x:f>
        <x:v>32.35</x:v>
      </x:c>
      <x:c r="N68" s="4" t="n">
        <x:f>ROUND(I68*K68,2)</x:f>
        <x:v>14</x:v>
      </x:c>
      <x:c r="O68" s="4" t="n">
        <x:f>ROUND(M68-N68,2)</x:f>
        <x:v>18.35</x:v>
      </x:c>
      <x:c r="P68" s="6" t="n">
        <x:v>4.7</x:v>
      </x:c>
      <x:c r="Q68" t="str">
        <x:v>No</x:v>
      </x:c>
    </x:row>
    <x:row r="69">
      <x:c r="A69" t="str">
        <x:v>ORD-00472</x:v>
      </x:c>
      <x:c r="B69" s="3" t="n">
        <x:v>45316.55098638889</x:v>
      </x:c>
      <x:c r="C69" t="str">
        <x:v>2024-01</x:v>
      </x:c>
      <x:c r="D69" t="str">
        <x:v>CUS-0444</x:v>
      </x:c>
      <x:c r="E69" t="str">
        <x:v>Midlands</x:v>
      </x:c>
      <x:c r="F69" t="str">
        <x:v>Marketplace</x:v>
      </x:c>
      <x:c r="G69" t="str">
        <x:v>Fashion</x:v>
      </x:c>
      <x:c r="H69" t="str">
        <x:v>Classic Trainers</x:v>
      </x:c>
      <x:c r="I69" t="n">
        <x:v>2</x:v>
      </x:c>
      <x:c r="J69" s="4" t="n">
        <x:v>72.89</x:v>
      </x:c>
      <x:c r="K69" s="4" t="n">
        <x:v>32</x:v>
      </x:c>
      <x:c r="L69" s="5" t="n">
        <x:v>0</x:v>
      </x:c>
      <x:c r="M69" s="4" t="n">
        <x:f>ROUND(I69*J69*(1-L69),2)</x:f>
        <x:v>145.78</x:v>
      </x:c>
      <x:c r="N69" s="4" t="n">
        <x:f>ROUND(I69*K69,2)</x:f>
        <x:v>64</x:v>
      </x:c>
      <x:c r="O69" s="4" t="n">
        <x:f>ROUND(M69-N69,2)</x:f>
        <x:v>81.78</x:v>
      </x:c>
      <x:c r="P69" s="6" t="n">
        <x:v>3.4</x:v>
      </x:c>
      <x:c r="Q69" t="str">
        <x:v>No</x:v>
      </x:c>
    </x:row>
    <x:row r="70">
      <x:c r="A70" t="str">
        <x:v>ORD-00916</x:v>
      </x:c>
      <x:c r="B70" s="3" t="n">
        <x:v>45317.2830859375</x:v>
      </x:c>
      <x:c r="C70" t="str">
        <x:v>2024-01</x:v>
      </x:c>
      <x:c r="D70" t="str">
        <x:v>CUS-0091</x:v>
      </x:c>
      <x:c r="E70" t="str">
        <x:v>Midlands</x:v>
      </x:c>
      <x:c r="F70" t="str">
        <x:v>Marketplace</x:v>
      </x:c>
      <x:c r="G70" t="str">
        <x:v>Electronics</x:v>
      </x:c>
      <x:c r="H70" t="str">
        <x:v>Wireless Headphones</x:v>
      </x:c>
      <x:c r="I70" t="n">
        <x:v>2</x:v>
      </x:c>
      <x:c r="J70" s="4" t="n">
        <x:v>87.72</x:v>
      </x:c>
      <x:c r="K70" s="4" t="n">
        <x:v>48</x:v>
      </x:c>
      <x:c r="L70" s="5" t="n">
        <x:v>0.15</x:v>
      </x:c>
      <x:c r="M70" s="4" t="n">
        <x:f>ROUND(I70*J70*(1-L70),2)</x:f>
        <x:v>149.12</x:v>
      </x:c>
      <x:c r="N70" s="4" t="n">
        <x:f>ROUND(I70*K70,2)</x:f>
        <x:v>96</x:v>
      </x:c>
      <x:c r="O70" s="4" t="n">
        <x:f>ROUND(M70-N70,2)</x:f>
        <x:v>53.12</x:v>
      </x:c>
      <x:c r="P70" s="6" t="n">
        <x:v>4.3</x:v>
      </x:c>
      <x:c r="Q70" t="str">
        <x:v>No</x:v>
      </x:c>
    </x:row>
    <x:row r="71">
      <x:c r="A71" t="str">
        <x:v>ORD-00771</x:v>
      </x:c>
      <x:c r="B71" s="3" t="n">
        <x:v>45317.683734398146</x:v>
      </x:c>
      <x:c r="C71" t="str">
        <x:v>2024-01</x:v>
      </x:c>
      <x:c r="D71" t="str">
        <x:v>CUS-0075</x:v>
      </x:c>
      <x:c r="E71" t="str">
        <x:v>North East</x:v>
      </x:c>
      <x:c r="F71" t="str">
        <x:v>Online</x:v>
      </x:c>
      <x:c r="G71" t="str">
        <x:v>Sports</x:v>
      </x:c>
      <x:c r="H71" t="str">
        <x:v>Fitness Tracker</x:v>
      </x:c>
      <x:c r="I71" t="n">
        <x:v>2</x:v>
      </x:c>
      <x:c r="J71" s="4" t="n">
        <x:v>52.46</x:v>
      </x:c>
      <x:c r="K71" s="4" t="n">
        <x:v>27</x:v>
      </x:c>
      <x:c r="L71" s="5" t="n">
        <x:v>0</x:v>
      </x:c>
      <x:c r="M71" s="4" t="n">
        <x:f>ROUND(I71*J71*(1-L71),2)</x:f>
        <x:v>104.92</x:v>
      </x:c>
      <x:c r="N71" s="4" t="n">
        <x:f>ROUND(I71*K71,2)</x:f>
        <x:v>54</x:v>
      </x:c>
      <x:c r="O71" s="4" t="n">
        <x:f>ROUND(M71-N71,2)</x:f>
        <x:v>50.92</x:v>
      </x:c>
      <x:c r="P71" s="6" t="n">
        <x:v>4.1</x:v>
      </x:c>
      <x:c r="Q71" t="str">
        <x:v>No</x:v>
      </x:c>
    </x:row>
    <x:row r="72">
      <x:c r="A72" t="str">
        <x:v>ORD-00429</x:v>
      </x:c>
      <x:c r="B72" s="3" t="n">
        <x:v>45317.95490078704</x:v>
      </x:c>
      <x:c r="C72" t="str">
        <x:v>2024-01</x:v>
      </x:c>
      <x:c r="D72" t="str">
        <x:v>CUS-0481</x:v>
      </x:c>
      <x:c r="E72" t="str">
        <x:v>South West</x:v>
      </x:c>
      <x:c r="F72" t="str">
        <x:v>Store</x:v>
      </x:c>
      <x:c r="G72" t="str">
        <x:v>Beauty</x:v>
      </x:c>
      <x:c r="H72" t="str">
        <x:v>Hair Dryer</x:v>
      </x:c>
      <x:c r="I72" t="n">
        <x:v>1</x:v>
      </x:c>
      <x:c r="J72" s="4" t="n">
        <x:v>59.35</x:v>
      </x:c>
      <x:c r="K72" s="4" t="n">
        <x:v>29</x:v>
      </x:c>
      <x:c r="L72" s="5" t="n">
        <x:v>0.2</x:v>
      </x:c>
      <x:c r="M72" s="4" t="n">
        <x:f>ROUND(I72*J72*(1-L72),2)</x:f>
        <x:v>47.48</x:v>
      </x:c>
      <x:c r="N72" s="4" t="n">
        <x:f>ROUND(I72*K72,2)</x:f>
        <x:v>29</x:v>
      </x:c>
      <x:c r="O72" s="4" t="n">
        <x:f>ROUND(M72-N72,2)</x:f>
        <x:v>18.48</x:v>
      </x:c>
      <x:c r="P72" s="6" t="n">
        <x:v>4.6</x:v>
      </x:c>
      <x:c r="Q72" t="str">
        <x:v>Yes</x:v>
      </x:c>
    </x:row>
    <x:row r="73">
      <x:c r="A73" t="str">
        <x:v>ORD-01002</x:v>
      </x:c>
      <x:c r="B73" s="3" t="n">
        <x:v>45317.969501921296</x:v>
      </x:c>
      <x:c r="C73" t="str">
        <x:v>2024-01</x:v>
      </x:c>
      <x:c r="D73" t="str">
        <x:v>CUS-0274</x:v>
      </x:c>
      <x:c r="E73" t="str">
        <x:v>South West</x:v>
      </x:c>
      <x:c r="F73" t="str">
        <x:v>Online</x:v>
      </x:c>
      <x:c r="G73" t="str">
        <x:v>Electronics</x:v>
      </x:c>
      <x:c r="H73" t="str">
        <x:v>Bluetooth Speaker</x:v>
      </x:c>
      <x:c r="I73" t="n">
        <x:v>1</x:v>
      </x:c>
      <x:c r="J73" s="4" t="n">
        <x:v>63.83</x:v>
      </x:c>
      <x:c r="K73" s="4" t="n">
        <x:v>34</x:v>
      </x:c>
      <x:c r="L73" s="5" t="n">
        <x:v>0.05</x:v>
      </x:c>
      <x:c r="M73" s="4" t="n">
        <x:f>ROUND(I73*J73*(1-L73),2)</x:f>
        <x:v>60.64</x:v>
      </x:c>
      <x:c r="N73" s="4" t="n">
        <x:f>ROUND(I73*K73,2)</x:f>
        <x:v>34</x:v>
      </x:c>
      <x:c r="O73" s="4" t="n">
        <x:f>ROUND(M73-N73,2)</x:f>
        <x:v>26.64</x:v>
      </x:c>
      <x:c r="P73" s="6" t="n">
        <x:v>3.5</x:v>
      </x:c>
      <x:c r="Q73" t="str">
        <x:v>No</x:v>
      </x:c>
    </x:row>
    <x:row r="74">
      <x:c r="A74" t="str">
        <x:v>ORD-01616</x:v>
      </x:c>
      <x:c r="B74" s="3" t="n">
        <x:v>45318.445730694446</x:v>
      </x:c>
      <x:c r="C74" t="str">
        <x:v>2024-01</x:v>
      </x:c>
      <x:c r="D74" t="str">
        <x:v>CUS-0064</x:v>
      </x:c>
      <x:c r="E74" t="str">
        <x:v>South West</x:v>
      </x:c>
      <x:c r="F74" t="str">
        <x:v>Online</x:v>
      </x:c>
      <x:c r="G74" t="str">
        <x:v>Electronics</x:v>
      </x:c>
      <x:c r="H74" t="str">
        <x:v>Wireless Headphones</x:v>
      </x:c>
      <x:c r="I74" t="n">
        <x:v>1</x:v>
      </x:c>
      <x:c r="J74" s="4" t="n">
        <x:v>89.79</x:v>
      </x:c>
      <x:c r="K74" s="4" t="n">
        <x:v>48</x:v>
      </x:c>
      <x:c r="L74" s="5" t="n">
        <x:v>0.1</x:v>
      </x:c>
      <x:c r="M74" s="4" t="n">
        <x:f>ROUND(I74*J74*(1-L74),2)</x:f>
        <x:v>80.81</x:v>
      </x:c>
      <x:c r="N74" s="4" t="n">
        <x:f>ROUND(I74*K74,2)</x:f>
        <x:v>48</x:v>
      </x:c>
      <x:c r="O74" s="4" t="n">
        <x:f>ROUND(M74-N74,2)</x:f>
        <x:v>32.81</x:v>
      </x:c>
      <x:c r="P74" s="6" t="n">
        <x:v>5</x:v>
      </x:c>
      <x:c r="Q74" t="str">
        <x:v>No</x:v>
      </x:c>
    </x:row>
    <x:row r="75">
      <x:c r="A75" t="str">
        <x:v>ORD-01207</x:v>
      </x:c>
      <x:c r="B75" s="3" t="n">
        <x:v>45318.662921539355</x:v>
      </x:c>
      <x:c r="C75" t="str">
        <x:v>2024-01</x:v>
      </x:c>
      <x:c r="D75" t="str">
        <x:v>CUS-0031</x:v>
      </x:c>
      <x:c r="E75" t="str">
        <x:v>North West</x:v>
      </x:c>
      <x:c r="F75" t="str">
        <x:v>Marketplace</x:v>
      </x:c>
      <x:c r="G75" t="str">
        <x:v>Home</x:v>
      </x:c>
      <x:c r="H75" t="str">
        <x:v>Air Fryer</x:v>
      </x:c>
      <x:c r="I75" t="n">
        <x:v>3</x:v>
      </x:c>
      <x:c r="J75" s="4" t="n">
        <x:v>122.3</x:v>
      </x:c>
      <x:c r="K75" s="4" t="n">
        <x:v>69</x:v>
      </x:c>
      <x:c r="L75" s="5" t="n">
        <x:v>0</x:v>
      </x:c>
      <x:c r="M75" s="4" t="n">
        <x:f>ROUND(I75*J75*(1-L75),2)</x:f>
        <x:v>366.9</x:v>
      </x:c>
      <x:c r="N75" s="4" t="n">
        <x:f>ROUND(I75*K75,2)</x:f>
        <x:v>207</x:v>
      </x:c>
      <x:c r="O75" s="4" t="n">
        <x:f>ROUND(M75-N75,2)</x:f>
        <x:v>159.9</x:v>
      </x:c>
      <x:c r="P75" s="6" t="n">
        <x:v>3.6</x:v>
      </x:c>
      <x:c r="Q75" t="str">
        <x:v>No</x:v>
      </x:c>
    </x:row>
    <x:row r="76">
      <x:c r="A76" t="str">
        <x:v>ORD-00906</x:v>
      </x:c>
      <x:c r="B76" s="3" t="n">
        <x:v>45320.24981424768</x:v>
      </x:c>
      <x:c r="C76" t="str">
        <x:v>2024-01</x:v>
      </x:c>
      <x:c r="D76" t="str">
        <x:v>CUS-0380</x:v>
      </x:c>
      <x:c r="E76" t="str">
        <x:v>Midlands</x:v>
      </x:c>
      <x:c r="F76" t="str">
        <x:v>Store</x:v>
      </x:c>
      <x:c r="G76" t="str">
        <x:v>Fashion</x:v>
      </x:c>
      <x:c r="H76" t="str">
        <x:v>Backpack</x:v>
      </x:c>
      <x:c r="I76" t="n">
        <x:v>1</x:v>
      </x:c>
      <x:c r="J76" s="4" t="n">
        <x:v>49.31</x:v>
      </x:c>
      <x:c r="K76" s="4" t="n">
        <x:v>21</x:v>
      </x:c>
      <x:c r="L76" s="5" t="n">
        <x:v>0</x:v>
      </x:c>
      <x:c r="M76" s="4" t="n">
        <x:f>ROUND(I76*J76*(1-L76),2)</x:f>
        <x:v>49.31</x:v>
      </x:c>
      <x:c r="N76" s="4" t="n">
        <x:f>ROUND(I76*K76,2)</x:f>
        <x:v>21</x:v>
      </x:c>
      <x:c r="O76" s="4" t="n">
        <x:f>ROUND(M76-N76,2)</x:f>
        <x:v>28.31</x:v>
      </x:c>
      <x:c r="P76" s="6" t="n">
        <x:v>3.4</x:v>
      </x:c>
      <x:c r="Q76" t="str">
        <x:v>No</x:v>
      </x:c>
    </x:row>
    <x:row r="77">
      <x:c r="A77" t="str">
        <x:v>ORD-01061</x:v>
      </x:c>
      <x:c r="B77" s="3" t="n">
        <x:v>45321.12981546296</x:v>
      </x:c>
      <x:c r="C77" t="str">
        <x:v>2024-01</x:v>
      </x:c>
      <x:c r="D77" t="str">
        <x:v>CUS-0440</x:v>
      </x:c>
      <x:c r="E77" t="str">
        <x:v>North East</x:v>
      </x:c>
      <x:c r="F77" t="str">
        <x:v>Online</x:v>
      </x:c>
      <x:c r="G77" t="str">
        <x:v>Home</x:v>
      </x:c>
      <x:c r="H77" t="str">
        <x:v>Coffee Maker</x:v>
      </x:c>
      <x:c r="I77" t="n">
        <x:v>1</x:v>
      </x:c>
      <x:c r="J77" s="4" t="n">
        <x:v>76.28</x:v>
      </x:c>
      <x:c r="K77" s="4" t="n">
        <x:v>41</x:v>
      </x:c>
      <x:c r="L77" s="5" t="n">
        <x:v>0.05</x:v>
      </x:c>
      <x:c r="M77" s="4" t="n">
        <x:f>ROUND(I77*J77*(1-L77),2)</x:f>
        <x:v>72.47</x:v>
      </x:c>
      <x:c r="N77" s="4" t="n">
        <x:f>ROUND(I77*K77,2)</x:f>
        <x:v>41</x:v>
      </x:c>
      <x:c r="O77" s="4" t="n">
        <x:f>ROUND(M77-N77,2)</x:f>
        <x:v>31.47</x:v>
      </x:c>
      <x:c r="P77" s="6" t="n">
        <x:v>4.2</x:v>
      </x:c>
      <x:c r="Q77" t="str">
        <x:v>No</x:v>
      </x:c>
    </x:row>
    <x:row r="78">
      <x:c r="A78" t="str">
        <x:v>ORD-00663</x:v>
      </x:c>
      <x:c r="B78" s="3" t="n">
        <x:v>45321.23156209491</x:v>
      </x:c>
      <x:c r="C78" t="str">
        <x:v>2024-01</x:v>
      </x:c>
      <x:c r="D78" t="str">
        <x:v>CUS-0339</x:v>
      </x:c>
      <x:c r="E78" t="str">
        <x:v>Scotland</x:v>
      </x:c>
      <x:c r="F78" t="str">
        <x:v>Store</x:v>
      </x:c>
      <x:c r="G78" t="str">
        <x:v>Home</x:v>
      </x:c>
      <x:c r="H78" t="str">
        <x:v>Coffee Maker</x:v>
      </x:c>
      <x:c r="I78" t="n">
        <x:v>5</x:v>
      </x:c>
      <x:c r="J78" s="4" t="n">
        <x:v>76.53</x:v>
      </x:c>
      <x:c r="K78" s="4" t="n">
        <x:v>41</x:v>
      </x:c>
      <x:c r="L78" s="5" t="n">
        <x:v>0.2</x:v>
      </x:c>
      <x:c r="M78" s="4" t="n">
        <x:f>ROUND(I78*J78*(1-L78),2)</x:f>
        <x:v>306.12</x:v>
      </x:c>
      <x:c r="N78" s="4" t="n">
        <x:f>ROUND(I78*K78,2)</x:f>
        <x:v>205</x:v>
      </x:c>
      <x:c r="O78" s="4" t="n">
        <x:f>ROUND(M78-N78,2)</x:f>
        <x:v>101.12</x:v>
      </x:c>
      <x:c r="P78" s="6" t="n">
        <x:v>4.9</x:v>
      </x:c>
      <x:c r="Q78" t="str">
        <x:v>No</x:v>
      </x:c>
    </x:row>
    <x:row r="79">
      <x:c r="A79" t="str">
        <x:v>ORD-01038</x:v>
      </x:c>
      <x:c r="B79" s="3" t="n">
        <x:v>45321.52393790509</x:v>
      </x:c>
      <x:c r="C79" t="str">
        <x:v>2024-01</x:v>
      </x:c>
      <x:c r="D79" t="str">
        <x:v>CUS-0364</x:v>
      </x:c>
      <x:c r="E79" t="str">
        <x:v>London</x:v>
      </x:c>
      <x:c r="F79" t="str">
        <x:v>Online</x:v>
      </x:c>
      <x:c r="G79" t="str">
        <x:v>Beauty</x:v>
      </x:c>
      <x:c r="H79" t="str">
        <x:v>Hair Dryer</x:v>
      </x:c>
      <x:c r="I79" t="n">
        <x:v>2</x:v>
      </x:c>
      <x:c r="J79" s="4" t="n">
        <x:v>58.09</x:v>
      </x:c>
      <x:c r="K79" s="4" t="n">
        <x:v>29</x:v>
      </x:c>
      <x:c r="L79" s="5" t="n">
        <x:v>0.15</x:v>
      </x:c>
      <x:c r="M79" s="4" t="n">
        <x:f>ROUND(I79*J79*(1-L79),2)</x:f>
        <x:v>98.75</x:v>
      </x:c>
      <x:c r="N79" s="4" t="n">
        <x:f>ROUND(I79*K79,2)</x:f>
        <x:v>58</x:v>
      </x:c>
      <x:c r="O79" s="4" t="n">
        <x:f>ROUND(M79-N79,2)</x:f>
        <x:v>40.75</x:v>
      </x:c>
      <x:c r="P79" s="6" t="n">
        <x:v>4.7</x:v>
      </x:c>
      <x:c r="Q79" t="str">
        <x:v>No</x:v>
      </x:c>
    </x:row>
    <x:row r="80">
      <x:c r="A80" t="str">
        <x:v>ORD-00895</x:v>
      </x:c>
      <x:c r="B80" s="3" t="n">
        <x:v>45321.70924373843</x:v>
      </x:c>
      <x:c r="C80" t="str">
        <x:v>2024-01</x:v>
      </x:c>
      <x:c r="D80" t="str">
        <x:v>CUS-0441</x:v>
      </x:c>
      <x:c r="E80" t="str">
        <x:v>North East</x:v>
      </x:c>
      <x:c r="F80" t="str">
        <x:v>Marketplace</x:v>
      </x:c>
      <x:c r="G80" t="str">
        <x:v>Sports</x:v>
      </x:c>
      <x:c r="H80" t="str">
        <x:v>Running Shoes</x:v>
      </x:c>
      <x:c r="I80" t="n">
        <x:v>1</x:v>
      </x:c>
      <x:c r="J80" s="4" t="n">
        <x:v>78.2</x:v>
      </x:c>
      <x:c r="K80" s="4" t="n">
        <x:v>38</x:v>
      </x:c>
      <x:c r="L80" s="5" t="n">
        <x:v>0.2</x:v>
      </x:c>
      <x:c r="M80" s="4" t="n">
        <x:f>ROUND(I80*J80*(1-L80),2)</x:f>
        <x:v>62.56</x:v>
      </x:c>
      <x:c r="N80" s="4" t="n">
        <x:f>ROUND(I80*K80,2)</x:f>
        <x:v>38</x:v>
      </x:c>
      <x:c r="O80" s="4" t="n">
        <x:f>ROUND(M80-N80,2)</x:f>
        <x:v>24.56</x:v>
      </x:c>
      <x:c r="P80" s="6" t="n">
        <x:v>4.4</x:v>
      </x:c>
      <x:c r="Q80" t="str">
        <x:v>Yes</x:v>
      </x:c>
    </x:row>
    <x:row r="81">
      <x:c r="A81" t="str">
        <x:v>ORD-00545</x:v>
      </x:c>
      <x:c r="B81" s="3" t="n">
        <x:v>45321.74753444445</x:v>
      </x:c>
      <x:c r="C81" t="str">
        <x:v>2024-01</x:v>
      </x:c>
      <x:c r="D81" t="str">
        <x:v>CUS-0284</x:v>
      </x:c>
      <x:c r="E81" t="str">
        <x:v>Wales</x:v>
      </x:c>
      <x:c r="F81" t="str">
        <x:v>Online</x:v>
      </x:c>
      <x:c r="G81" t="str">
        <x:v>Fashion</x:v>
      </x:c>
      <x:c r="H81" t="str">
        <x:v>Classic Trainers</x:v>
      </x:c>
      <x:c r="I81" t="n">
        <x:v>1</x:v>
      </x:c>
      <x:c r="J81" s="4" t="n">
        <x:v>69.79</x:v>
      </x:c>
      <x:c r="K81" s="4" t="n">
        <x:v>32</x:v>
      </x:c>
      <x:c r="L81" s="5" t="n">
        <x:v>0.15</x:v>
      </x:c>
      <x:c r="M81" s="4" t="n">
        <x:f>ROUND(I81*J81*(1-L81),2)</x:f>
        <x:v>59.32</x:v>
      </x:c>
      <x:c r="N81" s="4" t="n">
        <x:f>ROUND(I81*K81,2)</x:f>
        <x:v>32</x:v>
      </x:c>
      <x:c r="O81" s="4" t="n">
        <x:f>ROUND(M81-N81,2)</x:f>
        <x:v>27.32</x:v>
      </x:c>
      <x:c r="P81" s="6" t="n">
        <x:v>4.8</x:v>
      </x:c>
      <x:c r="Q81" t="str">
        <x:v>No</x:v>
      </x:c>
    </x:row>
    <x:row r="82">
      <x:c r="A82" t="str">
        <x:v>ORD-00489</x:v>
      </x:c>
      <x:c r="B82" s="3" t="n">
        <x:v>45321.858186631944</x:v>
      </x:c>
      <x:c r="C82" t="str">
        <x:v>2024-01</x:v>
      </x:c>
      <x:c r="D82" t="str">
        <x:v>CUS-0565</x:v>
      </x:c>
      <x:c r="E82" t="str">
        <x:v>London</x:v>
      </x:c>
      <x:c r="F82" t="str">
        <x:v>Marketplace</x:v>
      </x:c>
      <x:c r="G82" t="str">
        <x:v>Electronics</x:v>
      </x:c>
      <x:c r="H82" t="str">
        <x:v>Wireless Headphones</x:v>
      </x:c>
      <x:c r="I82" t="n">
        <x:v>3</x:v>
      </x:c>
      <x:c r="J82" s="4" t="n">
        <x:v>85.62</x:v>
      </x:c>
      <x:c r="K82" s="4" t="n">
        <x:v>48</x:v>
      </x:c>
      <x:c r="L82" s="5" t="n">
        <x:v>0</x:v>
      </x:c>
      <x:c r="M82" s="4" t="n">
        <x:f>ROUND(I82*J82*(1-L82),2)</x:f>
        <x:v>256.86</x:v>
      </x:c>
      <x:c r="N82" s="4" t="n">
        <x:f>ROUND(I82*K82,2)</x:f>
        <x:v>144</x:v>
      </x:c>
      <x:c r="O82" s="4" t="n">
        <x:f>ROUND(M82-N82,2)</x:f>
        <x:v>112.86</x:v>
      </x:c>
      <x:c r="P82" s="6" t="n">
        <x:v>3.8</x:v>
      </x:c>
      <x:c r="Q82" t="str">
        <x:v>Yes</x:v>
      </x:c>
    </x:row>
    <x:row r="83">
      <x:c r="A83" t="str">
        <x:v>ORD-00279</x:v>
      </x:c>
      <x:c r="B83" s="3" t="n">
        <x:v>45322.104792199076</x:v>
      </x:c>
      <x:c r="C83" t="str">
        <x:v>2024-01</x:v>
      </x:c>
      <x:c r="D83" t="str">
        <x:v>CUS-0614</x:v>
      </x:c>
      <x:c r="E83" t="str">
        <x:v>North West</x:v>
      </x:c>
      <x:c r="F83" t="str">
        <x:v>Marketplace</x:v>
      </x:c>
      <x:c r="G83" t="str">
        <x:v>Home</x:v>
      </x:c>
      <x:c r="H83" t="str">
        <x:v>Desk Lamp</x:v>
      </x:c>
      <x:c r="I83" t="n">
        <x:v>2</x:v>
      </x:c>
      <x:c r="J83" s="4" t="n">
        <x:v>34.48</x:v>
      </x:c>
      <x:c r="K83" s="4" t="n">
        <x:v>17</x:v>
      </x:c>
      <x:c r="L83" s="5" t="n">
        <x:v>0</x:v>
      </x:c>
      <x:c r="M83" s="4" t="n">
        <x:f>ROUND(I83*J83*(1-L83),2)</x:f>
        <x:v>68.96</x:v>
      </x:c>
      <x:c r="N83" s="4" t="n">
        <x:f>ROUND(I83*K83,2)</x:f>
        <x:v>34</x:v>
      </x:c>
      <x:c r="O83" s="4" t="n">
        <x:f>ROUND(M83-N83,2)</x:f>
        <x:v>34.96</x:v>
      </x:c>
      <x:c r="P83" s="6" t="n">
        <x:v>4.3</x:v>
      </x:c>
      <x:c r="Q83" t="str">
        <x:v>No</x:v>
      </x:c>
    </x:row>
    <x:row r="84">
      <x:c r="A84" t="str">
        <x:v>ORD-00740</x:v>
      </x:c>
      <x:c r="B84" s="3" t="n">
        <x:v>45322.668604976854</x:v>
      </x:c>
      <x:c r="C84" t="str">
        <x:v>2024-01</x:v>
      </x:c>
      <x:c r="D84" t="str">
        <x:v>CUS-0555</x:v>
      </x:c>
      <x:c r="E84" t="str">
        <x:v>London</x:v>
      </x:c>
      <x:c r="F84" t="str">
        <x:v>Marketplace</x:v>
      </x:c>
      <x:c r="G84" t="str">
        <x:v>Books</x:v>
      </x:c>
      <x:c r="H84" t="str">
        <x:v>Data Analytics Handbook</x:v>
      </x:c>
      <x:c r="I84" t="n">
        <x:v>5</x:v>
      </x:c>
      <x:c r="J84" s="4" t="n">
        <x:v>38.46</x:v>
      </x:c>
      <x:c r="K84" s="4" t="n">
        <x:v>14</x:v>
      </x:c>
      <x:c r="L84" s="5" t="n">
        <x:v>0.1</x:v>
      </x:c>
      <x:c r="M84" s="4" t="n">
        <x:f>ROUND(I84*J84*(1-L84),2)</x:f>
        <x:v>173.07</x:v>
      </x:c>
      <x:c r="N84" s="4" t="n">
        <x:f>ROUND(I84*K84,2)</x:f>
        <x:v>70</x:v>
      </x:c>
      <x:c r="O84" s="4" t="n">
        <x:f>ROUND(M84-N84,2)</x:f>
        <x:v>103.07</x:v>
      </x:c>
      <x:c r="P84" s="6" t="n">
        <x:v>4.7</x:v>
      </x:c>
      <x:c r="Q84" t="str">
        <x:v>No</x:v>
      </x:c>
    </x:row>
    <x:row r="85">
      <x:c r="A85" t="str">
        <x:v>ORD-01749</x:v>
      </x:c>
      <x:c r="B85" s="3" t="n">
        <x:v>45322.7356631713</x:v>
      </x:c>
      <x:c r="C85" t="str">
        <x:v>2024-01</x:v>
      </x:c>
      <x:c r="D85" t="str">
        <x:v>CUS-0238</x:v>
      </x:c>
      <x:c r="E85" t="str">
        <x:v>South West</x:v>
      </x:c>
      <x:c r="F85" t="str">
        <x:v>Online</x:v>
      </x:c>
      <x:c r="G85" t="str">
        <x:v>Beauty</x:v>
      </x:c>
      <x:c r="H85" t="str">
        <x:v>Skin Care Set</x:v>
      </x:c>
      <x:c r="I85" t="n">
        <x:v>1</x:v>
      </x:c>
      <x:c r="J85" s="4" t="n">
        <x:v>44.91</x:v>
      </x:c>
      <x:c r="K85" s="4" t="n">
        <x:v>18</x:v>
      </x:c>
      <x:c r="L85" s="5" t="n">
        <x:v>0</x:v>
      </x:c>
      <x:c r="M85" s="4" t="n">
        <x:f>ROUND(I85*J85*(1-L85),2)</x:f>
        <x:v>44.91</x:v>
      </x:c>
      <x:c r="N85" s="4" t="n">
        <x:f>ROUND(I85*K85,2)</x:f>
        <x:v>18</x:v>
      </x:c>
      <x:c r="O85" s="4" t="n">
        <x:f>ROUND(M85-N85,2)</x:f>
        <x:v>26.91</x:v>
      </x:c>
      <x:c r="P85" s="6" t="n">
        <x:v>3.2</x:v>
      </x:c>
      <x:c r="Q85" t="str">
        <x:v>Yes</x:v>
      </x:c>
    </x:row>
    <x:row r="86">
      <x:c r="A86" t="str">
        <x:v>ORD-01744</x:v>
      </x:c>
      <x:c r="B86" s="3" t="n">
        <x:v>45323.00507175926</x:v>
      </x:c>
      <x:c r="C86" t="str">
        <x:v>2024-02</x:v>
      </x:c>
      <x:c r="D86" t="str">
        <x:v>CUS-0157</x:v>
      </x:c>
      <x:c r="E86" t="str">
        <x:v>North East</x:v>
      </x:c>
      <x:c r="F86" t="str">
        <x:v>Online</x:v>
      </x:c>
      <x:c r="G86" t="str">
        <x:v>Electronics</x:v>
      </x:c>
      <x:c r="H86" t="str">
        <x:v>Smart Watch</x:v>
      </x:c>
      <x:c r="I86" t="n">
        <x:v>5</x:v>
      </x:c>
      <x:c r="J86" s="4" t="n">
        <x:v>152.19</x:v>
      </x:c>
      <x:c r="K86" s="4" t="n">
        <x:v>92</x:v>
      </x:c>
      <x:c r="L86" s="5" t="n">
        <x:v>0.1</x:v>
      </x:c>
      <x:c r="M86" s="4" t="n">
        <x:f>ROUND(I86*J86*(1-L86),2)</x:f>
        <x:v>684.86</x:v>
      </x:c>
      <x:c r="N86" s="4" t="n">
        <x:f>ROUND(I86*K86,2)</x:f>
        <x:v>460</x:v>
      </x:c>
      <x:c r="O86" s="4" t="n">
        <x:f>ROUND(M86-N86,2)</x:f>
        <x:v>224.86</x:v>
      </x:c>
      <x:c r="P86" s="6" t="n">
        <x:v>4.6</x:v>
      </x:c>
      <x:c r="Q86" t="str">
        <x:v>No</x:v>
      </x:c>
    </x:row>
    <x:row r="87">
      <x:c r="A87" t="str">
        <x:v>ORD-01476</x:v>
      </x:c>
      <x:c r="B87" s="3" t="n">
        <x:v>45323.439006782406</x:v>
      </x:c>
      <x:c r="C87" t="str">
        <x:v>2024-02</x:v>
      </x:c>
      <x:c r="D87" t="str">
        <x:v>CUS-0237</x:v>
      </x:c>
      <x:c r="E87" t="str">
        <x:v>Midlands</x:v>
      </x:c>
      <x:c r="F87" t="str">
        <x:v>Store</x:v>
      </x:c>
      <x:c r="G87" t="str">
        <x:v>Sports</x:v>
      </x:c>
      <x:c r="H87" t="str">
        <x:v>Fitness Tracker</x:v>
      </x:c>
      <x:c r="I87" t="n">
        <x:v>3</x:v>
      </x:c>
      <x:c r="J87" s="4" t="n">
        <x:v>53.14</x:v>
      </x:c>
      <x:c r="K87" s="4" t="n">
        <x:v>27</x:v>
      </x:c>
      <x:c r="L87" s="5" t="n">
        <x:v>0.1</x:v>
      </x:c>
      <x:c r="M87" s="4" t="n">
        <x:f>ROUND(I87*J87*(1-L87),2)</x:f>
        <x:v>143.48</x:v>
      </x:c>
      <x:c r="N87" s="4" t="n">
        <x:f>ROUND(I87*K87,2)</x:f>
        <x:v>81</x:v>
      </x:c>
      <x:c r="O87" s="4" t="n">
        <x:f>ROUND(M87-N87,2)</x:f>
        <x:v>62.48</x:v>
      </x:c>
      <x:c r="P87" s="6" t="n">
        <x:v>4.6</x:v>
      </x:c>
      <x:c r="Q87" t="str">
        <x:v>No</x:v>
      </x:c>
    </x:row>
    <x:row r="88">
      <x:c r="A88" t="str">
        <x:v>ORD-00105</x:v>
      </x:c>
      <x:c r="B88" s="3" t="n">
        <x:v>45323.48398974537</x:v>
      </x:c>
      <x:c r="C88" t="str">
        <x:v>2024-02</x:v>
      </x:c>
      <x:c r="D88" t="str">
        <x:v>CUS-0484</x:v>
      </x:c>
      <x:c r="E88" t="str">
        <x:v>South East</x:v>
      </x:c>
      <x:c r="F88" t="str">
        <x:v>Online</x:v>
      </x:c>
      <x:c r="G88" t="str">
        <x:v>Electronics</x:v>
      </x:c>
      <x:c r="H88" t="str">
        <x:v>Smart Watch</x:v>
      </x:c>
      <x:c r="I88" t="n">
        <x:v>5</x:v>
      </x:c>
      <x:c r="J88" s="4" t="n">
        <x:v>165.45</x:v>
      </x:c>
      <x:c r="K88" s="4" t="n">
        <x:v>92</x:v>
      </x:c>
      <x:c r="L88" s="5" t="n">
        <x:v>0</x:v>
      </x:c>
      <x:c r="M88" s="4" t="n">
        <x:f>ROUND(I88*J88*(1-L88),2)</x:f>
        <x:v>827.25</x:v>
      </x:c>
      <x:c r="N88" s="4" t="n">
        <x:f>ROUND(I88*K88,2)</x:f>
        <x:v>460</x:v>
      </x:c>
      <x:c r="O88" s="4" t="n">
        <x:f>ROUND(M88-N88,2)</x:f>
        <x:v>367.25</x:v>
      </x:c>
      <x:c r="P88" s="6" t="n">
        <x:v>3.8</x:v>
      </x:c>
      <x:c r="Q88" t="str">
        <x:v>No</x:v>
      </x:c>
    </x:row>
    <x:row r="89">
      <x:c r="A89" t="str">
        <x:v>ORD-00596</x:v>
      </x:c>
      <x:c r="B89" s="3" t="n">
        <x:v>45324.15185934028</x:v>
      </x:c>
      <x:c r="C89" t="str">
        <x:v>2024-02</x:v>
      </x:c>
      <x:c r="D89" t="str">
        <x:v>CUS-0111</x:v>
      </x:c>
      <x:c r="E89" t="str">
        <x:v>North East</x:v>
      </x:c>
      <x:c r="F89" t="str">
        <x:v>Store</x:v>
      </x:c>
      <x:c r="G89" t="str">
        <x:v>Books</x:v>
      </x:c>
      <x:c r="H89" t="str">
        <x:v>Business Intelligence Guide</x:v>
      </x:c>
      <x:c r="I89" t="n">
        <x:v>2</x:v>
      </x:c>
      <x:c r="J89" s="4" t="n">
        <x:v>35.91</x:v>
      </x:c>
      <x:c r="K89" s="4" t="n">
        <x:v>12</x:v>
      </x:c>
      <x:c r="L89" s="5" t="n">
        <x:v>0.2</x:v>
      </x:c>
      <x:c r="M89" s="4" t="n">
        <x:f>ROUND(I89*J89*(1-L89),2)</x:f>
        <x:v>57.46</x:v>
      </x:c>
      <x:c r="N89" s="4" t="n">
        <x:f>ROUND(I89*K89,2)</x:f>
        <x:v>24</x:v>
      </x:c>
      <x:c r="O89" s="4" t="n">
        <x:f>ROUND(M89-N89,2)</x:f>
        <x:v>33.46</x:v>
      </x:c>
      <x:c r="P89" s="6" t="n">
        <x:v>4.2</x:v>
      </x:c>
      <x:c r="Q89" t="str">
        <x:v>No</x:v>
      </x:c>
    </x:row>
    <x:row r="90">
      <x:c r="A90" t="str">
        <x:v>ORD-00648</x:v>
      </x:c>
      <x:c r="B90" s="3" t="n">
        <x:v>45324.78470667824</x:v>
      </x:c>
      <x:c r="C90" t="str">
        <x:v>2024-02</x:v>
      </x:c>
      <x:c r="D90" t="str">
        <x:v>CUS-0416</x:v>
      </x:c>
      <x:c r="E90" t="str">
        <x:v>Wales</x:v>
      </x:c>
      <x:c r="F90" t="str">
        <x:v>Online</x:v>
      </x:c>
      <x:c r="G90" t="str">
        <x:v>Books</x:v>
      </x:c>
      <x:c r="H90" t="str">
        <x:v>Business Intelligence Guide</x:v>
      </x:c>
      <x:c r="I90" t="n">
        <x:v>4</x:v>
      </x:c>
      <x:c r="J90" s="4" t="n">
        <x:v>34.35</x:v>
      </x:c>
      <x:c r="K90" s="4" t="n">
        <x:v>12</x:v>
      </x:c>
      <x:c r="L90" s="5" t="n">
        <x:v>0.15</x:v>
      </x:c>
      <x:c r="M90" s="4" t="n">
        <x:f>ROUND(I90*J90*(1-L90),2)</x:f>
        <x:v>116.79</x:v>
      </x:c>
      <x:c r="N90" s="4" t="n">
        <x:f>ROUND(I90*K90,2)</x:f>
        <x:v>48</x:v>
      </x:c>
      <x:c r="O90" s="4" t="n">
        <x:f>ROUND(M90-N90,2)</x:f>
        <x:v>68.79</x:v>
      </x:c>
      <x:c r="P90" s="6" t="n">
        <x:v>4.5</x:v>
      </x:c>
      <x:c r="Q90" t="str">
        <x:v>No</x:v>
      </x:c>
    </x:row>
    <x:row r="91">
      <x:c r="A91" t="str">
        <x:v>ORD-01316</x:v>
      </x:c>
      <x:c r="B91" s="3" t="n">
        <x:v>45324.8572496875</x:v>
      </x:c>
      <x:c r="C91" t="str">
        <x:v>2024-02</x:v>
      </x:c>
      <x:c r="D91" t="str">
        <x:v>CUS-0450</x:v>
      </x:c>
      <x:c r="E91" t="str">
        <x:v>North East</x:v>
      </x:c>
      <x:c r="F91" t="str">
        <x:v>Marketplace</x:v>
      </x:c>
      <x:c r="G91" t="str">
        <x:v>Sports</x:v>
      </x:c>
      <x:c r="H91" t="str">
        <x:v>Running Shoes</x:v>
      </x:c>
      <x:c r="I91" t="n">
        <x:v>5</x:v>
      </x:c>
      <x:c r="J91" s="4" t="n">
        <x:v>77.57</x:v>
      </x:c>
      <x:c r="K91" s="4" t="n">
        <x:v>38</x:v>
      </x:c>
      <x:c r="L91" s="5" t="n">
        <x:v>0.15</x:v>
      </x:c>
      <x:c r="M91" s="4" t="n">
        <x:f>ROUND(I91*J91*(1-L91),2)</x:f>
        <x:v>329.67</x:v>
      </x:c>
      <x:c r="N91" s="4" t="n">
        <x:f>ROUND(I91*K91,2)</x:f>
        <x:v>190</x:v>
      </x:c>
      <x:c r="O91" s="4" t="n">
        <x:f>ROUND(M91-N91,2)</x:f>
        <x:v>139.67</x:v>
      </x:c>
      <x:c r="P91" s="6" t="n">
        <x:v>4.7</x:v>
      </x:c>
      <x:c r="Q91" t="str">
        <x:v>No</x:v>
      </x:c>
    </x:row>
    <x:row r="92">
      <x:c r="A92" t="str">
        <x:v>ORD-01579</x:v>
      </x:c>
      <x:c r="B92" s="3" t="n">
        <x:v>45325.25405555555</x:v>
      </x:c>
      <x:c r="C92" t="str">
        <x:v>2024-02</x:v>
      </x:c>
      <x:c r="D92" t="str">
        <x:v>CUS-0505</x:v>
      </x:c>
      <x:c r="E92" t="str">
        <x:v>South West</x:v>
      </x:c>
      <x:c r="F92" t="str">
        <x:v>Online</x:v>
      </x:c>
      <x:c r="G92" t="str">
        <x:v>Electronics</x:v>
      </x:c>
      <x:c r="H92" t="str">
        <x:v>Bluetooth Speaker</x:v>
      </x:c>
      <x:c r="I92" t="n">
        <x:v>1</x:v>
      </x:c>
      <x:c r="J92" s="4" t="n">
        <x:v>62.54</x:v>
      </x:c>
      <x:c r="K92" s="4" t="n">
        <x:v>34</x:v>
      </x:c>
      <x:c r="L92" s="5" t="n">
        <x:v>0</x:v>
      </x:c>
      <x:c r="M92" s="4" t="n">
        <x:f>ROUND(I92*J92*(1-L92),2)</x:f>
        <x:v>62.54</x:v>
      </x:c>
      <x:c r="N92" s="4" t="n">
        <x:f>ROUND(I92*K92,2)</x:f>
        <x:v>34</x:v>
      </x:c>
      <x:c r="O92" s="4" t="n">
        <x:f>ROUND(M92-N92,2)</x:f>
        <x:v>28.54</x:v>
      </x:c>
      <x:c r="P92" s="6" t="n">
        <x:v>3.6</x:v>
      </x:c>
      <x:c r="Q92" t="str">
        <x:v>No</x:v>
      </x:c>
    </x:row>
    <x:row r="93">
      <x:c r="A93" t="str">
        <x:v>ORD-01011</x:v>
      </x:c>
      <x:c r="B93" s="3" t="n">
        <x:v>45326.22088137732</x:v>
      </x:c>
      <x:c r="C93" t="str">
        <x:v>2024-02</x:v>
      </x:c>
      <x:c r="D93" t="str">
        <x:v>CUS-0176</x:v>
      </x:c>
      <x:c r="E93" t="str">
        <x:v>South East</x:v>
      </x:c>
      <x:c r="F93" t="str">
        <x:v>Marketplace</x:v>
      </x:c>
      <x:c r="G93" t="str">
        <x:v>Fashion</x:v>
      </x:c>
      <x:c r="H93" t="str">
        <x:v>Classic Trainers</x:v>
      </x:c>
      <x:c r="I93" t="n">
        <x:v>4</x:v>
      </x:c>
      <x:c r="J93" s="4" t="n">
        <x:v>71.04</x:v>
      </x:c>
      <x:c r="K93" s="4" t="n">
        <x:v>32</x:v>
      </x:c>
      <x:c r="L93" s="5" t="n">
        <x:v>0</x:v>
      </x:c>
      <x:c r="M93" s="4" t="n">
        <x:f>ROUND(I93*J93*(1-L93),2)</x:f>
        <x:v>284.16</x:v>
      </x:c>
      <x:c r="N93" s="4" t="n">
        <x:f>ROUND(I93*K93,2)</x:f>
        <x:v>128</x:v>
      </x:c>
      <x:c r="O93" s="4" t="n">
        <x:f>ROUND(M93-N93,2)</x:f>
        <x:v>156.16</x:v>
      </x:c>
      <x:c r="P93" s="6" t="n">
        <x:v>3.7</x:v>
      </x:c>
      <x:c r="Q93" t="str">
        <x:v>No</x:v>
      </x:c>
    </x:row>
    <x:row r="94">
      <x:c r="A94" t="str">
        <x:v>ORD-00139</x:v>
      </x:c>
      <x:c r="B94" s="3" t="n">
        <x:v>45326.47597505787</x:v>
      </x:c>
      <x:c r="C94" t="str">
        <x:v>2024-02</x:v>
      </x:c>
      <x:c r="D94" t="str">
        <x:v>CUS-0218</x:v>
      </x:c>
      <x:c r="E94" t="str">
        <x:v>Scotland</x:v>
      </x:c>
      <x:c r="F94" t="str">
        <x:v>Marketplace</x:v>
      </x:c>
      <x:c r="G94" t="str">
        <x:v>Home</x:v>
      </x:c>
      <x:c r="H94" t="str">
        <x:v>Desk Lamp</x:v>
      </x:c>
      <x:c r="I94" t="n">
        <x:v>1</x:v>
      </x:c>
      <x:c r="J94" s="4" t="n">
        <x:v>35.3</x:v>
      </x:c>
      <x:c r="K94" s="4" t="n">
        <x:v>17</x:v>
      </x:c>
      <x:c r="L94" s="5" t="n">
        <x:v>0</x:v>
      </x:c>
      <x:c r="M94" s="4" t="n">
        <x:f>ROUND(I94*J94*(1-L94),2)</x:f>
        <x:v>35.3</x:v>
      </x:c>
      <x:c r="N94" s="4" t="n">
        <x:f>ROUND(I94*K94,2)</x:f>
        <x:v>17</x:v>
      </x:c>
      <x:c r="O94" s="4" t="n">
        <x:f>ROUND(M94-N94,2)</x:f>
        <x:v>18.3</x:v>
      </x:c>
      <x:c r="P94" s="6" t="n">
        <x:v>4.8</x:v>
      </x:c>
      <x:c r="Q94" t="str">
        <x:v>No</x:v>
      </x:c>
    </x:row>
    <x:row r="95">
      <x:c r="A95" t="str">
        <x:v>ORD-01116</x:v>
      </x:c>
      <x:c r="B95" s="3" t="n">
        <x:v>45326.88842394676</x:v>
      </x:c>
      <x:c r="C95" t="str">
        <x:v>2024-02</x:v>
      </x:c>
      <x:c r="D95" t="str">
        <x:v>CUS-0227</x:v>
      </x:c>
      <x:c r="E95" t="str">
        <x:v>South East</x:v>
      </x:c>
      <x:c r="F95" t="str">
        <x:v>Store</x:v>
      </x:c>
      <x:c r="G95" t="str">
        <x:v>Beauty</x:v>
      </x:c>
      <x:c r="H95" t="str">
        <x:v>Hair Dryer</x:v>
      </x:c>
      <x:c r="I95" t="n">
        <x:v>3</x:v>
      </x:c>
      <x:c r="J95" s="4" t="n">
        <x:v>59.11</x:v>
      </x:c>
      <x:c r="K95" s="4" t="n">
        <x:v>29</x:v>
      </x:c>
      <x:c r="L95" s="5" t="n">
        <x:v>0</x:v>
      </x:c>
      <x:c r="M95" s="4" t="n">
        <x:f>ROUND(I95*J95*(1-L95),2)</x:f>
        <x:v>177.33</x:v>
      </x:c>
      <x:c r="N95" s="4" t="n">
        <x:f>ROUND(I95*K95,2)</x:f>
        <x:v>87</x:v>
      </x:c>
      <x:c r="O95" s="4" t="n">
        <x:f>ROUND(M95-N95,2)</x:f>
        <x:v>90.33</x:v>
      </x:c>
      <x:c r="P95" s="6" t="n">
        <x:v>3.4</x:v>
      </x:c>
      <x:c r="Q95" t="str">
        <x:v>No</x:v>
      </x:c>
    </x:row>
    <x:row r="96">
      <x:c r="A96" t="str">
        <x:v>ORD-01041</x:v>
      </x:c>
      <x:c r="B96" s="3" t="n">
        <x:v>45327.08624611111</x:v>
      </x:c>
      <x:c r="C96" t="str">
        <x:v>2024-02</x:v>
      </x:c>
      <x:c r="D96" t="str">
        <x:v>CUS-0035</x:v>
      </x:c>
      <x:c r="E96" t="str">
        <x:v>Wales</x:v>
      </x:c>
      <x:c r="F96" t="str">
        <x:v>Online</x:v>
      </x:c>
      <x:c r="G96" t="str">
        <x:v>Books</x:v>
      </x:c>
      <x:c r="H96" t="str">
        <x:v>Data Analytics Handbook</x:v>
      </x:c>
      <x:c r="I96" t="n">
        <x:v>4</x:v>
      </x:c>
      <x:c r="J96" s="4" t="n">
        <x:v>39.31</x:v>
      </x:c>
      <x:c r="K96" s="4" t="n">
        <x:v>14</x:v>
      </x:c>
      <x:c r="L96" s="5" t="n">
        <x:v>0.05</x:v>
      </x:c>
      <x:c r="M96" s="4" t="n">
        <x:f>ROUND(I96*J96*(1-L96),2)</x:f>
        <x:v>149.38</x:v>
      </x:c>
      <x:c r="N96" s="4" t="n">
        <x:f>ROUND(I96*K96,2)</x:f>
        <x:v>56</x:v>
      </x:c>
      <x:c r="O96" s="4" t="n">
        <x:f>ROUND(M96-N96,2)</x:f>
        <x:v>93.38</x:v>
      </x:c>
      <x:c r="P96" s="6" t="n">
        <x:v>4.3</x:v>
      </x:c>
      <x:c r="Q96" t="str">
        <x:v>No</x:v>
      </x:c>
    </x:row>
    <x:row r="97">
      <x:c r="A97" t="str">
        <x:v>ORD-00454</x:v>
      </x:c>
      <x:c r="B97" s="3" t="n">
        <x:v>45327.39890842592</x:v>
      </x:c>
      <x:c r="C97" t="str">
        <x:v>2024-02</x:v>
      </x:c>
      <x:c r="D97" t="str">
        <x:v>CUS-0591</x:v>
      </x:c>
      <x:c r="E97" t="str">
        <x:v>South West</x:v>
      </x:c>
      <x:c r="F97" t="str">
        <x:v>Marketplace</x:v>
      </x:c>
      <x:c r="G97" t="str">
        <x:v>Beauty</x:v>
      </x:c>
      <x:c r="H97" t="str">
        <x:v>Skin Care Set</x:v>
      </x:c>
      <x:c r="I97" t="n">
        <x:v>1</x:v>
      </x:c>
      <x:c r="J97" s="4" t="n">
        <x:v>46.95</x:v>
      </x:c>
      <x:c r="K97" s="4" t="n">
        <x:v>18</x:v>
      </x:c>
      <x:c r="L97" s="5" t="n">
        <x:v>0</x:v>
      </x:c>
      <x:c r="M97" s="4" t="n">
        <x:f>ROUND(I97*J97*(1-L97),2)</x:f>
        <x:v>46.95</x:v>
      </x:c>
      <x:c r="N97" s="4" t="n">
        <x:f>ROUND(I97*K97,2)</x:f>
        <x:v>18</x:v>
      </x:c>
      <x:c r="O97" s="4" t="n">
        <x:f>ROUND(M97-N97,2)</x:f>
        <x:v>28.95</x:v>
      </x:c>
      <x:c r="P97" s="6" t="n">
        <x:v>3.6</x:v>
      </x:c>
      <x:c r="Q97" t="str">
        <x:v>No</x:v>
      </x:c>
    </x:row>
    <x:row r="98">
      <x:c r="A98" t="str">
        <x:v>ORD-00562</x:v>
      </x:c>
      <x:c r="B98" s="3" t="n">
        <x:v>45327.42037450231</x:v>
      </x:c>
      <x:c r="C98" t="str">
        <x:v>2024-02</x:v>
      </x:c>
      <x:c r="D98" t="str">
        <x:v>CUS-0128</x:v>
      </x:c>
      <x:c r="E98" t="str">
        <x:v>North West</x:v>
      </x:c>
      <x:c r="F98" t="str">
        <x:v>Marketplace</x:v>
      </x:c>
      <x:c r="G98" t="str">
        <x:v>Beauty</x:v>
      </x:c>
      <x:c r="H98" t="str">
        <x:v>Skin Care Set</x:v>
      </x:c>
      <x:c r="I98" t="n">
        <x:v>4</x:v>
      </x:c>
      <x:c r="J98" s="4" t="n">
        <x:v>47.03</x:v>
      </x:c>
      <x:c r="K98" s="4" t="n">
        <x:v>18</x:v>
      </x:c>
      <x:c r="L98" s="5" t="n">
        <x:v>0</x:v>
      </x:c>
      <x:c r="M98" s="4" t="n">
        <x:f>ROUND(I98*J98*(1-L98),2)</x:f>
        <x:v>188.12</x:v>
      </x:c>
      <x:c r="N98" s="4" t="n">
        <x:f>ROUND(I98*K98,2)</x:f>
        <x:v>72</x:v>
      </x:c>
      <x:c r="O98" s="4" t="n">
        <x:f>ROUND(M98-N98,2)</x:f>
        <x:v>116.12</x:v>
      </x:c>
      <x:c r="P98" s="6" t="n">
        <x:v>3.7</x:v>
      </x:c>
      <x:c r="Q98" t="str">
        <x:v>No</x:v>
      </x:c>
    </x:row>
    <x:row r="99">
      <x:c r="A99" t="str">
        <x:v>ORD-01639</x:v>
      </x:c>
      <x:c r="B99" s="3" t="n">
        <x:v>45327.85907027778</x:v>
      </x:c>
      <x:c r="C99" t="str">
        <x:v>2024-02</x:v>
      </x:c>
      <x:c r="D99" t="str">
        <x:v>CUS-0424</x:v>
      </x:c>
      <x:c r="E99" t="str">
        <x:v>South West</x:v>
      </x:c>
      <x:c r="F99" t="str">
        <x:v>Online</x:v>
      </x:c>
      <x:c r="G99" t="str">
        <x:v>Electronics</x:v>
      </x:c>
      <x:c r="H99" t="str">
        <x:v>Wireless Headphones</x:v>
      </x:c>
      <x:c r="I99" t="n">
        <x:v>5</x:v>
      </x:c>
      <x:c r="J99" s="4" t="n">
        <x:v>93.89</x:v>
      </x:c>
      <x:c r="K99" s="4" t="n">
        <x:v>48</x:v>
      </x:c>
      <x:c r="L99" s="5" t="n">
        <x:v>0</x:v>
      </x:c>
      <x:c r="M99" s="4" t="n">
        <x:f>ROUND(I99*J99*(1-L99),2)</x:f>
        <x:v>469.45</x:v>
      </x:c>
      <x:c r="N99" s="4" t="n">
        <x:f>ROUND(I99*K99,2)</x:f>
        <x:v>240</x:v>
      </x:c>
      <x:c r="O99" s="4" t="n">
        <x:f>ROUND(M99-N99,2)</x:f>
        <x:v>229.45</x:v>
      </x:c>
      <x:c r="P99" s="6" t="n">
        <x:v>5</x:v>
      </x:c>
      <x:c r="Q99" t="str">
        <x:v>No</x:v>
      </x:c>
    </x:row>
    <x:row r="100">
      <x:c r="A100" t="str">
        <x:v>ORD-01307</x:v>
      </x:c>
      <x:c r="B100" s="3" t="n">
        <x:v>45327.91350982639</x:v>
      </x:c>
      <x:c r="C100" t="str">
        <x:v>2024-02</x:v>
      </x:c>
      <x:c r="D100" t="str">
        <x:v>CUS-0075</x:v>
      </x:c>
      <x:c r="E100" t="str">
        <x:v>Wales</x:v>
      </x:c>
      <x:c r="F100" t="str">
        <x:v>Store</x:v>
      </x:c>
      <x:c r="G100" t="str">
        <x:v>Home</x:v>
      </x:c>
      <x:c r="H100" t="str">
        <x:v>Coffee Maker</x:v>
      </x:c>
      <x:c r="I100" t="n">
        <x:v>5</x:v>
      </x:c>
      <x:c r="J100" s="4" t="n">
        <x:v>72.2</x:v>
      </x:c>
      <x:c r="K100" s="4" t="n">
        <x:v>41</x:v>
      </x:c>
      <x:c r="L100" s="5" t="n">
        <x:v>0</x:v>
      </x:c>
      <x:c r="M100" s="4" t="n">
        <x:f>ROUND(I100*J100*(1-L100),2)</x:f>
        <x:v>361</x:v>
      </x:c>
      <x:c r="N100" s="4" t="n">
        <x:f>ROUND(I100*K100,2)</x:f>
        <x:v>205</x:v>
      </x:c>
      <x:c r="O100" s="4" t="n">
        <x:f>ROUND(M100-N100,2)</x:f>
        <x:v>156</x:v>
      </x:c>
      <x:c r="P100" s="6" t="n">
        <x:v>4.1</x:v>
      </x:c>
      <x:c r="Q100" t="str">
        <x:v>Yes</x:v>
      </x:c>
    </x:row>
    <x:row r="101">
      <x:c r="A101" t="str">
        <x:v>ORD-00520</x:v>
      </x:c>
      <x:c r="B101" s="3" t="n">
        <x:v>45327.9251412963</x:v>
      </x:c>
      <x:c r="C101" t="str">
        <x:v>2024-02</x:v>
      </x:c>
      <x:c r="D101" t="str">
        <x:v>CUS-0440</x:v>
      </x:c>
      <x:c r="E101" t="str">
        <x:v>Wales</x:v>
      </x:c>
      <x:c r="F101" t="str">
        <x:v>Marketplace</x:v>
      </x:c>
      <x:c r="G101" t="str">
        <x:v>Fashion</x:v>
      </x:c>
      <x:c r="H101" t="str">
        <x:v>Classic Trainers</x:v>
      </x:c>
      <x:c r="I101" t="n">
        <x:v>1</x:v>
      </x:c>
      <x:c r="J101" s="4" t="n">
        <x:v>68.63</x:v>
      </x:c>
      <x:c r="K101" s="4" t="n">
        <x:v>32</x:v>
      </x:c>
      <x:c r="L101" s="5" t="n">
        <x:v>0.1</x:v>
      </x:c>
      <x:c r="M101" s="4" t="n">
        <x:f>ROUND(I101*J101*(1-L101),2)</x:f>
        <x:v>61.77</x:v>
      </x:c>
      <x:c r="N101" s="4" t="n">
        <x:f>ROUND(I101*K101,2)</x:f>
        <x:v>32</x:v>
      </x:c>
      <x:c r="O101" s="4" t="n">
        <x:f>ROUND(M101-N101,2)</x:f>
        <x:v>29.77</x:v>
      </x:c>
      <x:c r="P101" s="6" t="n">
        <x:v>4</x:v>
      </x:c>
      <x:c r="Q101" t="str">
        <x:v>No</x:v>
      </x:c>
    </x:row>
    <x:row r="102">
      <x:c r="A102" t="str">
        <x:v>ORD-00445</x:v>
      </x:c>
      <x:c r="B102" s="3" t="n">
        <x:v>45327.988589409724</x:v>
      </x:c>
      <x:c r="C102" t="str">
        <x:v>2024-02</x:v>
      </x:c>
      <x:c r="D102" t="str">
        <x:v>CUS-0602</x:v>
      </x:c>
      <x:c r="E102" t="str">
        <x:v>Scotland</x:v>
      </x:c>
      <x:c r="F102" t="str">
        <x:v>Online</x:v>
      </x:c>
      <x:c r="G102" t="str">
        <x:v>Sports</x:v>
      </x:c>
      <x:c r="H102" t="str">
        <x:v>Running Shoes</x:v>
      </x:c>
      <x:c r="I102" t="n">
        <x:v>4</x:v>
      </x:c>
      <x:c r="J102" s="4" t="n">
        <x:v>79.52</x:v>
      </x:c>
      <x:c r="K102" s="4" t="n">
        <x:v>38</x:v>
      </x:c>
      <x:c r="L102" s="5" t="n">
        <x:v>0.2</x:v>
      </x:c>
      <x:c r="M102" s="4" t="n">
        <x:f>ROUND(I102*J102*(1-L102),2)</x:f>
        <x:v>254.46</x:v>
      </x:c>
      <x:c r="N102" s="4" t="n">
        <x:f>ROUND(I102*K102,2)</x:f>
        <x:v>152</x:v>
      </x:c>
      <x:c r="O102" s="4" t="n">
        <x:f>ROUND(M102-N102,2)</x:f>
        <x:v>102.46</x:v>
      </x:c>
      <x:c r="P102" s="6" t="n">
        <x:v>5</x:v>
      </x:c>
      <x:c r="Q102" t="str">
        <x:v>No</x:v>
      </x:c>
    </x:row>
    <x:row r="103">
      <x:c r="A103" t="str">
        <x:v>ORD-01776</x:v>
      </x:c>
      <x:c r="B103" s="3" t="n">
        <x:v>45328.18972591435</x:v>
      </x:c>
      <x:c r="C103" t="str">
        <x:v>2024-02</x:v>
      </x:c>
      <x:c r="D103" t="str">
        <x:v>CUS-0549</x:v>
      </x:c>
      <x:c r="E103" t="str">
        <x:v>North East</x:v>
      </x:c>
      <x:c r="F103" t="str">
        <x:v>Store</x:v>
      </x:c>
      <x:c r="G103" t="str">
        <x:v>Electronics</x:v>
      </x:c>
      <x:c r="H103" t="str">
        <x:v>Wireless Headphones</x:v>
      </x:c>
      <x:c r="I103" t="n">
        <x:v>3</x:v>
      </x:c>
      <x:c r="J103" s="4" t="n">
        <x:v>87.63</x:v>
      </x:c>
      <x:c r="K103" s="4" t="n">
        <x:v>48</x:v>
      </x:c>
      <x:c r="L103" s="5" t="n">
        <x:v>0.15</x:v>
      </x:c>
      <x:c r="M103" s="4" t="n">
        <x:f>ROUND(I103*J103*(1-L103),2)</x:f>
        <x:v>223.46</x:v>
      </x:c>
      <x:c r="N103" s="4" t="n">
        <x:f>ROUND(I103*K103,2)</x:f>
        <x:v>144</x:v>
      </x:c>
      <x:c r="O103" s="4" t="n">
        <x:f>ROUND(M103-N103,2)</x:f>
        <x:v>79.46</x:v>
      </x:c>
      <x:c r="P103" s="6" t="n">
        <x:v>4</x:v>
      </x:c>
      <x:c r="Q103" t="str">
        <x:v>No</x:v>
      </x:c>
    </x:row>
    <x:row r="104">
      <x:c r="A104" t="str">
        <x:v>ORD-01026</x:v>
      </x:c>
      <x:c r="B104" s="3" t="n">
        <x:v>45328.47020101852</x:v>
      </x:c>
      <x:c r="C104" t="str">
        <x:v>2024-02</x:v>
      </x:c>
      <x:c r="D104" t="str">
        <x:v>CUS-0357</x:v>
      </x:c>
      <x:c r="E104" t="str">
        <x:v>London</x:v>
      </x:c>
      <x:c r="F104" t="str">
        <x:v>Online</x:v>
      </x:c>
      <x:c r="G104" t="str">
        <x:v>Sports</x:v>
      </x:c>
      <x:c r="H104" t="str">
        <x:v>Fitness Tracker</x:v>
      </x:c>
      <x:c r="I104" t="n">
        <x:v>1</x:v>
      </x:c>
      <x:c r="J104" s="4" t="n">
        <x:v>57.22</x:v>
      </x:c>
      <x:c r="K104" s="4" t="n">
        <x:v>27</x:v>
      </x:c>
      <x:c r="L104" s="5" t="n">
        <x:v>0.1</x:v>
      </x:c>
      <x:c r="M104" s="4" t="n">
        <x:f>ROUND(I104*J104*(1-L104),2)</x:f>
        <x:v>51.5</x:v>
      </x:c>
      <x:c r="N104" s="4" t="n">
        <x:f>ROUND(I104*K104,2)</x:f>
        <x:v>27</x:v>
      </x:c>
      <x:c r="O104" s="4" t="n">
        <x:f>ROUND(M104-N104,2)</x:f>
        <x:v>24.5</x:v>
      </x:c>
      <x:c r="P104" s="6" t="n">
        <x:v>4.6</x:v>
      </x:c>
      <x:c r="Q104" t="str">
        <x:v>No</x:v>
      </x:c>
    </x:row>
    <x:row r="105">
      <x:c r="A105" t="str">
        <x:v>ORD-00291</x:v>
      </x:c>
      <x:c r="B105" s="3" t="n">
        <x:v>45328.82918800926</x:v>
      </x:c>
      <x:c r="C105" t="str">
        <x:v>2024-02</x:v>
      </x:c>
      <x:c r="D105" t="str">
        <x:v>CUS-0296</x:v>
      </x:c>
      <x:c r="E105" t="str">
        <x:v>South West</x:v>
      </x:c>
      <x:c r="F105" t="str">
        <x:v>Store</x:v>
      </x:c>
      <x:c r="G105" t="str">
        <x:v>Electronics</x:v>
      </x:c>
      <x:c r="H105" t="str">
        <x:v>Smart Watch</x:v>
      </x:c>
      <x:c r="I105" t="n">
        <x:v>1</x:v>
      </x:c>
      <x:c r="J105" s="4" t="n">
        <x:v>158.29</x:v>
      </x:c>
      <x:c r="K105" s="4" t="n">
        <x:v>92</x:v>
      </x:c>
      <x:c r="L105" s="5" t="n">
        <x:v>0</x:v>
      </x:c>
      <x:c r="M105" s="4" t="n">
        <x:f>ROUND(I105*J105*(1-L105),2)</x:f>
        <x:v>158.29</x:v>
      </x:c>
      <x:c r="N105" s="4" t="n">
        <x:f>ROUND(I105*K105,2)</x:f>
        <x:v>92</x:v>
      </x:c>
      <x:c r="O105" s="4" t="n">
        <x:f>ROUND(M105-N105,2)</x:f>
        <x:v>66.29</x:v>
      </x:c>
      <x:c r="P105" s="6" t="n">
        <x:v>3.4</x:v>
      </x:c>
      <x:c r="Q105" t="str">
        <x:v>No</x:v>
      </x:c>
    </x:row>
    <x:row r="106">
      <x:c r="A106" t="str">
        <x:v>ORD-01047</x:v>
      </x:c>
      <x:c r="B106" s="3" t="n">
        <x:v>45329.1357978125</x:v>
      </x:c>
      <x:c r="C106" t="str">
        <x:v>2024-02</x:v>
      </x:c>
      <x:c r="D106" t="str">
        <x:v>CUS-0090</x:v>
      </x:c>
      <x:c r="E106" t="str">
        <x:v>Midlands</x:v>
      </x:c>
      <x:c r="F106" t="str">
        <x:v>Online</x:v>
      </x:c>
      <x:c r="G106" t="str">
        <x:v>Home</x:v>
      </x:c>
      <x:c r="H106" t="str">
        <x:v>Coffee Maker</x:v>
      </x:c>
      <x:c r="I106" t="n">
        <x:v>3</x:v>
      </x:c>
      <x:c r="J106" s="4" t="n">
        <x:v>77.57</x:v>
      </x:c>
      <x:c r="K106" s="4" t="n">
        <x:v>41</x:v>
      </x:c>
      <x:c r="L106" s="5" t="n">
        <x:v>0.05</x:v>
      </x:c>
      <x:c r="M106" s="4" t="n">
        <x:f>ROUND(I106*J106*(1-L106),2)</x:f>
        <x:v>221.07</x:v>
      </x:c>
      <x:c r="N106" s="4" t="n">
        <x:f>ROUND(I106*K106,2)</x:f>
        <x:v>123</x:v>
      </x:c>
      <x:c r="O106" s="4" t="n">
        <x:f>ROUND(M106-N106,2)</x:f>
        <x:v>98.07</x:v>
      </x:c>
      <x:c r="P106" s="6" t="n">
        <x:v>5</x:v>
      </x:c>
      <x:c r="Q106" t="str">
        <x:v>Yes</x:v>
      </x:c>
    </x:row>
    <x:row r="107">
      <x:c r="A107" t="str">
        <x:v>ORD-00934</x:v>
      </x:c>
      <x:c r="B107" s="3" t="n">
        <x:v>45329.271105659725</x:v>
      </x:c>
      <x:c r="C107" t="str">
        <x:v>2024-02</x:v>
      </x:c>
      <x:c r="D107" t="str">
        <x:v>CUS-0429</x:v>
      </x:c>
      <x:c r="E107" t="str">
        <x:v>Wales</x:v>
      </x:c>
      <x:c r="F107" t="str">
        <x:v>Online</x:v>
      </x:c>
      <x:c r="G107" t="str">
        <x:v>Fashion</x:v>
      </x:c>
      <x:c r="H107" t="str">
        <x:v>Classic Trainers</x:v>
      </x:c>
      <x:c r="I107" t="n">
        <x:v>3</x:v>
      </x:c>
      <x:c r="J107" s="4" t="n">
        <x:v>66.88</x:v>
      </x:c>
      <x:c r="K107" s="4" t="n">
        <x:v>32</x:v>
      </x:c>
      <x:c r="L107" s="5" t="n">
        <x:v>0</x:v>
      </x:c>
      <x:c r="M107" s="4" t="n">
        <x:f>ROUND(I107*J107*(1-L107),2)</x:f>
        <x:v>200.64</x:v>
      </x:c>
      <x:c r="N107" s="4" t="n">
        <x:f>ROUND(I107*K107,2)</x:f>
        <x:v>96</x:v>
      </x:c>
      <x:c r="O107" s="4" t="n">
        <x:f>ROUND(M107-N107,2)</x:f>
        <x:v>104.64</x:v>
      </x:c>
      <x:c r="P107" s="6" t="n">
        <x:v>3.9</x:v>
      </x:c>
      <x:c r="Q107" t="str">
        <x:v>No</x:v>
      </x:c>
    </x:row>
    <x:row r="108">
      <x:c r="A108" t="str">
        <x:v>ORD-00028</x:v>
      </x:c>
      <x:c r="B108" s="3" t="n">
        <x:v>45329.33200189815</x:v>
      </x:c>
      <x:c r="C108" t="str">
        <x:v>2024-02</x:v>
      </x:c>
      <x:c r="D108" t="str">
        <x:v>CUS-0226</x:v>
      </x:c>
      <x:c r="E108" t="str">
        <x:v>Wales</x:v>
      </x:c>
      <x:c r="F108" t="str">
        <x:v>Store</x:v>
      </x:c>
      <x:c r="G108" t="str">
        <x:v>Fashion</x:v>
      </x:c>
      <x:c r="H108" t="str">
        <x:v>Winter Jacket</x:v>
      </x:c>
      <x:c r="I108" t="n">
        <x:v>2</x:v>
      </x:c>
      <x:c r="J108" s="4" t="n">
        <x:v>94.3</x:v>
      </x:c>
      <x:c r="K108" s="4" t="n">
        <x:v>46</x:v>
      </x:c>
      <x:c r="L108" s="5" t="n">
        <x:v>0</x:v>
      </x:c>
      <x:c r="M108" s="4" t="n">
        <x:f>ROUND(I108*J108*(1-L108),2)</x:f>
        <x:v>188.6</x:v>
      </x:c>
      <x:c r="N108" s="4" t="n">
        <x:f>ROUND(I108*K108,2)</x:f>
        <x:v>92</x:v>
      </x:c>
      <x:c r="O108" s="4" t="n">
        <x:f>ROUND(M108-N108,2)</x:f>
        <x:v>96.6</x:v>
      </x:c>
      <x:c r="P108" s="6" t="n">
        <x:v>4.3</x:v>
      </x:c>
      <x:c r="Q108" t="str">
        <x:v>Yes</x:v>
      </x:c>
    </x:row>
    <x:row r="109">
      <x:c r="A109" t="str">
        <x:v>ORD-01762</x:v>
      </x:c>
      <x:c r="B109" s="3" t="n">
        <x:v>45329.48931392361</x:v>
      </x:c>
      <x:c r="C109" t="str">
        <x:v>2024-02</x:v>
      </x:c>
      <x:c r="D109" t="str">
        <x:v>CUS-0513</x:v>
      </x:c>
      <x:c r="E109" t="str">
        <x:v>Midlands</x:v>
      </x:c>
      <x:c r="F109" t="str">
        <x:v>Marketplace</x:v>
      </x:c>
      <x:c r="G109" t="str">
        <x:v>Home</x:v>
      </x:c>
      <x:c r="H109" t="str">
        <x:v>Air Fryer</x:v>
      </x:c>
      <x:c r="I109" t="n">
        <x:v>5</x:v>
      </x:c>
      <x:c r="J109" s="4" t="n">
        <x:v>124.19</x:v>
      </x:c>
      <x:c r="K109" s="4" t="n">
        <x:v>69</x:v>
      </x:c>
      <x:c r="L109" s="5" t="n">
        <x:v>0.1</x:v>
      </x:c>
      <x:c r="M109" s="4" t="n">
        <x:f>ROUND(I109*J109*(1-L109),2)</x:f>
        <x:v>558.86</x:v>
      </x:c>
      <x:c r="N109" s="4" t="n">
        <x:f>ROUND(I109*K109,2)</x:f>
        <x:v>345</x:v>
      </x:c>
      <x:c r="O109" s="4" t="n">
        <x:f>ROUND(M109-N109,2)</x:f>
        <x:v>213.86</x:v>
      </x:c>
      <x:c r="P109" s="6" t="n">
        <x:v>3.3</x:v>
      </x:c>
      <x:c r="Q109" t="str">
        <x:v>No</x:v>
      </x:c>
    </x:row>
    <x:row r="110">
      <x:c r="A110" t="str">
        <x:v>ORD-01249</x:v>
      </x:c>
      <x:c r="B110" s="3" t="n">
        <x:v>45329.51177226852</x:v>
      </x:c>
      <x:c r="C110" t="str">
        <x:v>2024-02</x:v>
      </x:c>
      <x:c r="D110" t="str">
        <x:v>CUS-0294</x:v>
      </x:c>
      <x:c r="E110" t="str">
        <x:v>Midlands</x:v>
      </x:c>
      <x:c r="F110" t="str">
        <x:v>Store</x:v>
      </x:c>
      <x:c r="G110" t="str">
        <x:v>Sports</x:v>
      </x:c>
      <x:c r="H110" t="str">
        <x:v>Fitness Tracker</x:v>
      </x:c>
      <x:c r="I110" t="n">
        <x:v>1</x:v>
      </x:c>
      <x:c r="J110" s="4" t="n">
        <x:v>57.58</x:v>
      </x:c>
      <x:c r="K110" s="4" t="n">
        <x:v>27</x:v>
      </x:c>
      <x:c r="L110" s="5" t="n">
        <x:v>0.15</x:v>
      </x:c>
      <x:c r="M110" s="4" t="n">
        <x:f>ROUND(I110*J110*(1-L110),2)</x:f>
        <x:v>48.94</x:v>
      </x:c>
      <x:c r="N110" s="4" t="n">
        <x:f>ROUND(I110*K110,2)</x:f>
        <x:v>27</x:v>
      </x:c>
      <x:c r="O110" s="4" t="n">
        <x:f>ROUND(M110-N110,2)</x:f>
        <x:v>21.94</x:v>
      </x:c>
      <x:c r="P110" s="6" t="n">
        <x:v>5</x:v>
      </x:c>
      <x:c r="Q110" t="str">
        <x:v>No</x:v>
      </x:c>
    </x:row>
    <x:row r="111">
      <x:c r="A111" t="str">
        <x:v>ORD-00954</x:v>
      </x:c>
      <x:c r="B111" s="3" t="n">
        <x:v>45329.781783900464</x:v>
      </x:c>
      <x:c r="C111" t="str">
        <x:v>2024-02</x:v>
      </x:c>
      <x:c r="D111" t="str">
        <x:v>CUS-0411</x:v>
      </x:c>
      <x:c r="E111" t="str">
        <x:v>Midlands</x:v>
      </x:c>
      <x:c r="F111" t="str">
        <x:v>Store</x:v>
      </x:c>
      <x:c r="G111" t="str">
        <x:v>Electronics</x:v>
      </x:c>
      <x:c r="H111" t="str">
        <x:v>Bluetooth Speaker</x:v>
      </x:c>
      <x:c r="I111" t="n">
        <x:v>4</x:v>
      </x:c>
      <x:c r="J111" s="4" t="n">
        <x:v>67.17</x:v>
      </x:c>
      <x:c r="K111" s="4" t="n">
        <x:v>34</x:v>
      </x:c>
      <x:c r="L111" s="5" t="n">
        <x:v>0.15</x:v>
      </x:c>
      <x:c r="M111" s="4" t="n">
        <x:f>ROUND(I111*J111*(1-L111),2)</x:f>
        <x:v>228.38</x:v>
      </x:c>
      <x:c r="N111" s="4" t="n">
        <x:f>ROUND(I111*K111,2)</x:f>
        <x:v>136</x:v>
      </x:c>
      <x:c r="O111" s="4" t="n">
        <x:f>ROUND(M111-N111,2)</x:f>
        <x:v>92.38</x:v>
      </x:c>
      <x:c r="P111" s="6" t="n">
        <x:v>3.6</x:v>
      </x:c>
      <x:c r="Q111" t="str">
        <x:v>No</x:v>
      </x:c>
    </x:row>
    <x:row r="112">
      <x:c r="A112" t="str">
        <x:v>ORD-00003</x:v>
      </x:c>
      <x:c r="B112" s="3" t="n">
        <x:v>45329.909129837964</x:v>
      </x:c>
      <x:c r="C112" t="str">
        <x:v>2024-02</x:v>
      </x:c>
      <x:c r="D112" t="str">
        <x:v>CUS-0441</x:v>
      </x:c>
      <x:c r="E112" t="str">
        <x:v>South East</x:v>
      </x:c>
      <x:c r="F112" t="str">
        <x:v>Online</x:v>
      </x:c>
      <x:c r="G112" t="str">
        <x:v>Sports</x:v>
      </x:c>
      <x:c r="H112" t="str">
        <x:v>Fitness Tracker</x:v>
      </x:c>
      <x:c r="I112" t="n">
        <x:v>4</x:v>
      </x:c>
      <x:c r="J112" s="4" t="n">
        <x:v>52.53</x:v>
      </x:c>
      <x:c r="K112" s="4" t="n">
        <x:v>27</x:v>
      </x:c>
      <x:c r="L112" s="5" t="n">
        <x:v>0.2</x:v>
      </x:c>
      <x:c r="M112" s="4" t="n">
        <x:f>ROUND(I112*J112*(1-L112),2)</x:f>
        <x:v>168.1</x:v>
      </x:c>
      <x:c r="N112" s="4" t="n">
        <x:f>ROUND(I112*K112,2)</x:f>
        <x:v>108</x:v>
      </x:c>
      <x:c r="O112" s="4" t="n">
        <x:f>ROUND(M112-N112,2)</x:f>
        <x:v>60.1</x:v>
      </x:c>
      <x:c r="P112" s="6" t="n">
        <x:v>4.6</x:v>
      </x:c>
      <x:c r="Q112" t="str">
        <x:v>No</x:v>
      </x:c>
    </x:row>
    <x:row r="113">
      <x:c r="A113" t="str">
        <x:v>ORD-01465</x:v>
      </x:c>
      <x:c r="B113" s="3" t="n">
        <x:v>45330.35085408565</x:v>
      </x:c>
      <x:c r="C113" t="str">
        <x:v>2024-02</x:v>
      </x:c>
      <x:c r="D113" t="str">
        <x:v>CUS-0252</x:v>
      </x:c>
      <x:c r="E113" t="str">
        <x:v>North East</x:v>
      </x:c>
      <x:c r="F113" t="str">
        <x:v>Marketplace</x:v>
      </x:c>
      <x:c r="G113" t="str">
        <x:v>Beauty</x:v>
      </x:c>
      <x:c r="H113" t="str">
        <x:v>Skin Care Set</x:v>
      </x:c>
      <x:c r="I113" t="n">
        <x:v>1</x:v>
      </x:c>
      <x:c r="J113" s="4" t="n">
        <x:v>45.39</x:v>
      </x:c>
      <x:c r="K113" s="4" t="n">
        <x:v>18</x:v>
      </x:c>
      <x:c r="L113" s="5" t="n">
        <x:v>0.15</x:v>
      </x:c>
      <x:c r="M113" s="4" t="n">
        <x:f>ROUND(I113*J113*(1-L113),2)</x:f>
        <x:v>38.58</x:v>
      </x:c>
      <x:c r="N113" s="4" t="n">
        <x:f>ROUND(I113*K113,2)</x:f>
        <x:v>18</x:v>
      </x:c>
      <x:c r="O113" s="4" t="n">
        <x:f>ROUND(M113-N113,2)</x:f>
        <x:v>20.58</x:v>
      </x:c>
      <x:c r="P113" s="6" t="n">
        <x:v>4.3</x:v>
      </x:c>
      <x:c r="Q113" t="str">
        <x:v>No</x:v>
      </x:c>
    </x:row>
    <x:row r="114">
      <x:c r="A114" t="str">
        <x:v>ORD-01001</x:v>
      </x:c>
      <x:c r="B114" s="3" t="n">
        <x:v>45330.6511425</x:v>
      </x:c>
      <x:c r="C114" t="str">
        <x:v>2024-02</x:v>
      </x:c>
      <x:c r="D114" t="str">
        <x:v>CUS-0586</x:v>
      </x:c>
      <x:c r="E114" t="str">
        <x:v>Midlands</x:v>
      </x:c>
      <x:c r="F114" t="str">
        <x:v>Store</x:v>
      </x:c>
      <x:c r="G114" t="str">
        <x:v>Sports</x:v>
      </x:c>
      <x:c r="H114" t="str">
        <x:v>Yoga Mat</x:v>
      </x:c>
      <x:c r="I114" t="n">
        <x:v>1</x:v>
      </x:c>
      <x:c r="J114" s="4" t="n">
        <x:v>29.47</x:v>
      </x:c>
      <x:c r="K114" s="4" t="n">
        <x:v>12</x:v>
      </x:c>
      <x:c r="L114" s="5" t="n">
        <x:v>0.05</x:v>
      </x:c>
      <x:c r="M114" s="4" t="n">
        <x:f>ROUND(I114*J114*(1-L114),2)</x:f>
        <x:v>28</x:v>
      </x:c>
      <x:c r="N114" s="4" t="n">
        <x:f>ROUND(I114*K114,2)</x:f>
        <x:v>12</x:v>
      </x:c>
      <x:c r="O114" s="4" t="n">
        <x:f>ROUND(M114-N114,2)</x:f>
        <x:v>16</x:v>
      </x:c>
      <x:c r="P114" s="6" t="n">
        <x:v>3.5</x:v>
      </x:c>
      <x:c r="Q114" t="str">
        <x:v>No</x:v>
      </x:c>
    </x:row>
    <x:row r="115">
      <x:c r="A115" t="str">
        <x:v>ORD-00327</x:v>
      </x:c>
      <x:c r="B115" s="3" t="n">
        <x:v>45330.82775456019</x:v>
      </x:c>
      <x:c r="C115" t="str">
        <x:v>2024-02</x:v>
      </x:c>
      <x:c r="D115" t="str">
        <x:v>CUS-0325</x:v>
      </x:c>
      <x:c r="E115" t="str">
        <x:v>Wales</x:v>
      </x:c>
      <x:c r="F115" t="str">
        <x:v>Online</x:v>
      </x:c>
      <x:c r="G115" t="str">
        <x:v>Electronics</x:v>
      </x:c>
      <x:c r="H115" t="str">
        <x:v>Bluetooth Speaker</x:v>
      </x:c>
      <x:c r="I115" t="n">
        <x:v>2</x:v>
      </x:c>
      <x:c r="J115" s="4" t="n">
        <x:v>61.96</x:v>
      </x:c>
      <x:c r="K115" s="4" t="n">
        <x:v>34</x:v>
      </x:c>
      <x:c r="L115" s="5" t="n">
        <x:v>0.15</x:v>
      </x:c>
      <x:c r="M115" s="4" t="n">
        <x:f>ROUND(I115*J115*(1-L115),2)</x:f>
        <x:v>105.33</x:v>
      </x:c>
      <x:c r="N115" s="4" t="n">
        <x:f>ROUND(I115*K115,2)</x:f>
        <x:v>68</x:v>
      </x:c>
      <x:c r="O115" s="4" t="n">
        <x:f>ROUND(M115-N115,2)</x:f>
        <x:v>37.33</x:v>
      </x:c>
      <x:c r="P115" s="6" t="n">
        <x:v>3.6</x:v>
      </x:c>
      <x:c r="Q115" t="str">
        <x:v>No</x:v>
      </x:c>
    </x:row>
    <x:row r="116">
      <x:c r="A116" t="str">
        <x:v>ORD-01510</x:v>
      </x:c>
      <x:c r="B116" s="3" t="n">
        <x:v>45330.83214207176</x:v>
      </x:c>
      <x:c r="C116" t="str">
        <x:v>2024-02</x:v>
      </x:c>
      <x:c r="D116" t="str">
        <x:v>CUS-0195</x:v>
      </x:c>
      <x:c r="E116" t="str">
        <x:v>London</x:v>
      </x:c>
      <x:c r="F116" t="str">
        <x:v>Online</x:v>
      </x:c>
      <x:c r="G116" t="str">
        <x:v>Electronics</x:v>
      </x:c>
      <x:c r="H116" t="str">
        <x:v>Bluetooth Speaker</x:v>
      </x:c>
      <x:c r="I116" t="n">
        <x:v>4</x:v>
      </x:c>
      <x:c r="J116" s="4" t="n">
        <x:v>65.47</x:v>
      </x:c>
      <x:c r="K116" s="4" t="n">
        <x:v>34</x:v>
      </x:c>
      <x:c r="L116" s="5" t="n">
        <x:v>0.2</x:v>
      </x:c>
      <x:c r="M116" s="4" t="n">
        <x:f>ROUND(I116*J116*(1-L116),2)</x:f>
        <x:v>209.5</x:v>
      </x:c>
      <x:c r="N116" s="4" t="n">
        <x:f>ROUND(I116*K116,2)</x:f>
        <x:v>136</x:v>
      </x:c>
      <x:c r="O116" s="4" t="n">
        <x:f>ROUND(M116-N116,2)</x:f>
        <x:v>73.5</x:v>
      </x:c>
      <x:c r="P116" s="6" t="n">
        <x:v>4</x:v>
      </x:c>
      <x:c r="Q116" t="str">
        <x:v>No</x:v>
      </x:c>
    </x:row>
    <x:row r="117">
      <x:c r="A117" t="str">
        <x:v>ORD-00547</x:v>
      </x:c>
      <x:c r="B117" s="3" t="n">
        <x:v>45330.865608113425</x:v>
      </x:c>
      <x:c r="C117" t="str">
        <x:v>2024-02</x:v>
      </x:c>
      <x:c r="D117" t="str">
        <x:v>CUS-0400</x:v>
      </x:c>
      <x:c r="E117" t="str">
        <x:v>North West</x:v>
      </x:c>
      <x:c r="F117" t="str">
        <x:v>Online</x:v>
      </x:c>
      <x:c r="G117" t="str">
        <x:v>Sports</x:v>
      </x:c>
      <x:c r="H117" t="str">
        <x:v>Yoga Mat</x:v>
      </x:c>
      <x:c r="I117" t="n">
        <x:v>1</x:v>
      </x:c>
      <x:c r="J117" s="4" t="n">
        <x:v>28.56</x:v>
      </x:c>
      <x:c r="K117" s="4" t="n">
        <x:v>12</x:v>
      </x:c>
      <x:c r="L117" s="5" t="n">
        <x:v>0.1</x:v>
      </x:c>
      <x:c r="M117" s="4" t="n">
        <x:f>ROUND(I117*J117*(1-L117),2)</x:f>
        <x:v>25.7</x:v>
      </x:c>
      <x:c r="N117" s="4" t="n">
        <x:f>ROUND(I117*K117,2)</x:f>
        <x:v>12</x:v>
      </x:c>
      <x:c r="O117" s="4" t="n">
        <x:f>ROUND(M117-N117,2)</x:f>
        <x:v>13.7</x:v>
      </x:c>
      <x:c r="P117" s="6" t="n">
        <x:v>3.7</x:v>
      </x:c>
      <x:c r="Q117" t="str">
        <x:v>No</x:v>
      </x:c>
    </x:row>
    <x:row r="118">
      <x:c r="A118" t="str">
        <x:v>ORD-00241</x:v>
      </x:c>
      <x:c r="B118" s="3" t="n">
        <x:v>45331.036547372685</x:v>
      </x:c>
      <x:c r="C118" t="str">
        <x:v>2024-02</x:v>
      </x:c>
      <x:c r="D118" t="str">
        <x:v>CUS-0578</x:v>
      </x:c>
      <x:c r="E118" t="str">
        <x:v>North East</x:v>
      </x:c>
      <x:c r="F118" t="str">
        <x:v>Online</x:v>
      </x:c>
      <x:c r="G118" t="str">
        <x:v>Home</x:v>
      </x:c>
      <x:c r="H118" t="str">
        <x:v>Coffee Maker</x:v>
      </x:c>
      <x:c r="I118" t="n">
        <x:v>1</x:v>
      </x:c>
      <x:c r="J118" s="4" t="n">
        <x:v>73.27</x:v>
      </x:c>
      <x:c r="K118" s="4" t="n">
        <x:v>41</x:v>
      </x:c>
      <x:c r="L118" s="5" t="n">
        <x:v>0</x:v>
      </x:c>
      <x:c r="M118" s="4" t="n">
        <x:f>ROUND(I118*J118*(1-L118),2)</x:f>
        <x:v>73.27</x:v>
      </x:c>
      <x:c r="N118" s="4" t="n">
        <x:f>ROUND(I118*K118,2)</x:f>
        <x:v>41</x:v>
      </x:c>
      <x:c r="O118" s="4" t="n">
        <x:f>ROUND(M118-N118,2)</x:f>
        <x:v>32.27</x:v>
      </x:c>
      <x:c r="P118" s="6" t="n">
        <x:v>3.9</x:v>
      </x:c>
      <x:c r="Q118" t="str">
        <x:v>No</x:v>
      </x:c>
    </x:row>
    <x:row r="119">
      <x:c r="A119" t="str">
        <x:v>ORD-01265</x:v>
      </x:c>
      <x:c r="B119" s="3" t="n">
        <x:v>45331.8026959375</x:v>
      </x:c>
      <x:c r="C119" t="str">
        <x:v>2024-02</x:v>
      </x:c>
      <x:c r="D119" t="str">
        <x:v>CUS-0093</x:v>
      </x:c>
      <x:c r="E119" t="str">
        <x:v>North East</x:v>
      </x:c>
      <x:c r="F119" t="str">
        <x:v>Marketplace</x:v>
      </x:c>
      <x:c r="G119" t="str">
        <x:v>Home</x:v>
      </x:c>
      <x:c r="H119" t="str">
        <x:v>Coffee Maker</x:v>
      </x:c>
      <x:c r="I119" t="n">
        <x:v>4</x:v>
      </x:c>
      <x:c r="J119" s="4" t="n">
        <x:v>71.37</x:v>
      </x:c>
      <x:c r="K119" s="4" t="n">
        <x:v>41</x:v>
      </x:c>
      <x:c r="L119" s="5" t="n">
        <x:v>0</x:v>
      </x:c>
      <x:c r="M119" s="4" t="n">
        <x:f>ROUND(I119*J119*(1-L119),2)</x:f>
        <x:v>285.48</x:v>
      </x:c>
      <x:c r="N119" s="4" t="n">
        <x:f>ROUND(I119*K119,2)</x:f>
        <x:v>164</x:v>
      </x:c>
      <x:c r="O119" s="4" t="n">
        <x:f>ROUND(M119-N119,2)</x:f>
        <x:v>121.48</x:v>
      </x:c>
      <x:c r="P119" s="6" t="n">
        <x:v>4.5</x:v>
      </x:c>
      <x:c r="Q119" t="str">
        <x:v>No</x:v>
      </x:c>
    </x:row>
    <x:row r="120">
      <x:c r="A120" t="str">
        <x:v>ORD-00847</x:v>
      </x:c>
      <x:c r="B120" s="3" t="n">
        <x:v>45331.966646180554</x:v>
      </x:c>
      <x:c r="C120" t="str">
        <x:v>2024-02</x:v>
      </x:c>
      <x:c r="D120" t="str">
        <x:v>CUS-0121</x:v>
      </x:c>
      <x:c r="E120" t="str">
        <x:v>North West</x:v>
      </x:c>
      <x:c r="F120" t="str">
        <x:v>Store</x:v>
      </x:c>
      <x:c r="G120" t="str">
        <x:v>Electronics</x:v>
      </x:c>
      <x:c r="H120" t="str">
        <x:v>Wireless Headphones</x:v>
      </x:c>
      <x:c r="I120" t="n">
        <x:v>5</x:v>
      </x:c>
      <x:c r="J120" s="4" t="n">
        <x:v>86.86</x:v>
      </x:c>
      <x:c r="K120" s="4" t="n">
        <x:v>48</x:v>
      </x:c>
      <x:c r="L120" s="5" t="n">
        <x:v>0</x:v>
      </x:c>
      <x:c r="M120" s="4" t="n">
        <x:f>ROUND(I120*J120*(1-L120),2)</x:f>
        <x:v>434.3</x:v>
      </x:c>
      <x:c r="N120" s="4" t="n">
        <x:f>ROUND(I120*K120,2)</x:f>
        <x:v>240</x:v>
      </x:c>
      <x:c r="O120" s="4" t="n">
        <x:f>ROUND(M120-N120,2)</x:f>
        <x:v>194.3</x:v>
      </x:c>
      <x:c r="P120" s="6" t="n">
        <x:v>4.6</x:v>
      </x:c>
      <x:c r="Q120" t="str">
        <x:v>No</x:v>
      </x:c>
    </x:row>
    <x:row r="121">
      <x:c r="A121" t="str">
        <x:v>ORD-01683</x:v>
      </x:c>
      <x:c r="B121" s="3" t="n">
        <x:v>45332.62746590278</x:v>
      </x:c>
      <x:c r="C121" t="str">
        <x:v>2024-02</x:v>
      </x:c>
      <x:c r="D121" t="str">
        <x:v>CUS-0024</x:v>
      </x:c>
      <x:c r="E121" t="str">
        <x:v>London</x:v>
      </x:c>
      <x:c r="F121" t="str">
        <x:v>Store</x:v>
      </x:c>
      <x:c r="G121" t="str">
        <x:v>Beauty</x:v>
      </x:c>
      <x:c r="H121" t="str">
        <x:v>Hair Dryer</x:v>
      </x:c>
      <x:c r="I121" t="n">
        <x:v>1</x:v>
      </x:c>
      <x:c r="J121" s="4" t="n">
        <x:v>61.25</x:v>
      </x:c>
      <x:c r="K121" s="4" t="n">
        <x:v>29</x:v>
      </x:c>
      <x:c r="L121" s="5" t="n">
        <x:v>0.15</x:v>
      </x:c>
      <x:c r="M121" s="4" t="n">
        <x:f>ROUND(I121*J121*(1-L121),2)</x:f>
        <x:v>52.06</x:v>
      </x:c>
      <x:c r="N121" s="4" t="n">
        <x:f>ROUND(I121*K121,2)</x:f>
        <x:v>29</x:v>
      </x:c>
      <x:c r="O121" s="4" t="n">
        <x:f>ROUND(M121-N121,2)</x:f>
        <x:v>23.06</x:v>
      </x:c>
      <x:c r="P121" s="6" t="n">
        <x:v>3.5</x:v>
      </x:c>
      <x:c r="Q121" t="str">
        <x:v>No</x:v>
      </x:c>
    </x:row>
    <x:row r="122">
      <x:c r="A122" t="str">
        <x:v>ORD-00811</x:v>
      </x:c>
      <x:c r="B122" s="3" t="n">
        <x:v>45333.809178171294</x:v>
      </x:c>
      <x:c r="C122" t="str">
        <x:v>2024-02</x:v>
      </x:c>
      <x:c r="D122" t="str">
        <x:v>CUS-0281</x:v>
      </x:c>
      <x:c r="E122" t="str">
        <x:v>London</x:v>
      </x:c>
      <x:c r="F122" t="str">
        <x:v>Store</x:v>
      </x:c>
      <x:c r="G122" t="str">
        <x:v>Home</x:v>
      </x:c>
      <x:c r="H122" t="str">
        <x:v>Desk Lamp</x:v>
      </x:c>
      <x:c r="I122" t="n">
        <x:v>2</x:v>
      </x:c>
      <x:c r="J122" s="4" t="n">
        <x:v>35.28</x:v>
      </x:c>
      <x:c r="K122" s="4" t="n">
        <x:v>17</x:v>
      </x:c>
      <x:c r="L122" s="5" t="n">
        <x:v>0.2</x:v>
      </x:c>
      <x:c r="M122" s="4" t="n">
        <x:f>ROUND(I122*J122*(1-L122),2)</x:f>
        <x:v>56.45</x:v>
      </x:c>
      <x:c r="N122" s="4" t="n">
        <x:f>ROUND(I122*K122,2)</x:f>
        <x:v>34</x:v>
      </x:c>
      <x:c r="O122" s="4" t="n">
        <x:f>ROUND(M122-N122,2)</x:f>
        <x:v>22.45</x:v>
      </x:c>
      <x:c r="P122" s="6" t="n">
        <x:v>4.1</x:v>
      </x:c>
      <x:c r="Q122" t="str">
        <x:v>No</x:v>
      </x:c>
    </x:row>
    <x:row r="123">
      <x:c r="A123" t="str">
        <x:v>ORD-00239</x:v>
      </x:c>
      <x:c r="B123" s="3" t="n">
        <x:v>45334.03314353009</x:v>
      </x:c>
      <x:c r="C123" t="str">
        <x:v>2024-02</x:v>
      </x:c>
      <x:c r="D123" t="str">
        <x:v>CUS-0419</x:v>
      </x:c>
      <x:c r="E123" t="str">
        <x:v>Scotland</x:v>
      </x:c>
      <x:c r="F123" t="str">
        <x:v>Store</x:v>
      </x:c>
      <x:c r="G123" t="str">
        <x:v>Electronics</x:v>
      </x:c>
      <x:c r="H123" t="str">
        <x:v>Wireless Headphones</x:v>
      </x:c>
      <x:c r="I123" t="n">
        <x:v>1</x:v>
      </x:c>
      <x:c r="J123" s="4" t="n">
        <x:v>87.27</x:v>
      </x:c>
      <x:c r="K123" s="4" t="n">
        <x:v>48</x:v>
      </x:c>
      <x:c r="L123" s="5" t="n">
        <x:v>0.15</x:v>
      </x:c>
      <x:c r="M123" s="4" t="n">
        <x:f>ROUND(I123*J123*(1-L123),2)</x:f>
        <x:v>74.18</x:v>
      </x:c>
      <x:c r="N123" s="4" t="n">
        <x:f>ROUND(I123*K123,2)</x:f>
        <x:v>48</x:v>
      </x:c>
      <x:c r="O123" s="4" t="n">
        <x:f>ROUND(M123-N123,2)</x:f>
        <x:v>26.18</x:v>
      </x:c>
      <x:c r="P123" s="6" t="n">
        <x:v>4.6</x:v>
      </x:c>
      <x:c r="Q123" t="str">
        <x:v>No</x:v>
      </x:c>
    </x:row>
    <x:row r="124">
      <x:c r="A124" t="str">
        <x:v>ORD-01520</x:v>
      </x:c>
      <x:c r="B124" s="3" t="n">
        <x:v>45334.86602667824</x:v>
      </x:c>
      <x:c r="C124" t="str">
        <x:v>2024-02</x:v>
      </x:c>
      <x:c r="D124" t="str">
        <x:v>CUS-0425</x:v>
      </x:c>
      <x:c r="E124" t="str">
        <x:v>Wales</x:v>
      </x:c>
      <x:c r="F124" t="str">
        <x:v>Online</x:v>
      </x:c>
      <x:c r="G124" t="str">
        <x:v>Electronics</x:v>
      </x:c>
      <x:c r="H124" t="str">
        <x:v>Smart Watch</x:v>
      </x:c>
      <x:c r="I124" t="n">
        <x:v>1</x:v>
      </x:c>
      <x:c r="J124" s="4" t="n">
        <x:v>165.26</x:v>
      </x:c>
      <x:c r="K124" s="4" t="n">
        <x:v>92</x:v>
      </x:c>
      <x:c r="L124" s="5" t="n">
        <x:v>0</x:v>
      </x:c>
      <x:c r="M124" s="4" t="n">
        <x:f>ROUND(I124*J124*(1-L124),2)</x:f>
        <x:v>165.26</x:v>
      </x:c>
      <x:c r="N124" s="4" t="n">
        <x:f>ROUND(I124*K124,2)</x:f>
        <x:v>92</x:v>
      </x:c>
      <x:c r="O124" s="4" t="n">
        <x:f>ROUND(M124-N124,2)</x:f>
        <x:v>73.26</x:v>
      </x:c>
      <x:c r="P124" s="6" t="n">
        <x:v>3.9</x:v>
      </x:c>
      <x:c r="Q124" t="str">
        <x:v>No</x:v>
      </x:c>
    </x:row>
    <x:row r="125">
      <x:c r="A125" t="str">
        <x:v>ORD-01584</x:v>
      </x:c>
      <x:c r="B125" s="3" t="n">
        <x:v>45334.895636180554</x:v>
      </x:c>
      <x:c r="C125" t="str">
        <x:v>2024-02</x:v>
      </x:c>
      <x:c r="D125" t="str">
        <x:v>CUS-0487</x:v>
      </x:c>
      <x:c r="E125" t="str">
        <x:v>Scotland</x:v>
      </x:c>
      <x:c r="F125" t="str">
        <x:v>Store</x:v>
      </x:c>
      <x:c r="G125" t="str">
        <x:v>Fashion</x:v>
      </x:c>
      <x:c r="H125" t="str">
        <x:v>Backpack</x:v>
      </x:c>
      <x:c r="I125" t="n">
        <x:v>2</x:v>
      </x:c>
      <x:c r="J125" s="4" t="n">
        <x:v>49.37</x:v>
      </x:c>
      <x:c r="K125" s="4" t="n">
        <x:v>21</x:v>
      </x:c>
      <x:c r="L125" s="5" t="n">
        <x:v>0</x:v>
      </x:c>
      <x:c r="M125" s="4" t="n">
        <x:f>ROUND(I125*J125*(1-L125),2)</x:f>
        <x:v>98.74</x:v>
      </x:c>
      <x:c r="N125" s="4" t="n">
        <x:f>ROUND(I125*K125,2)</x:f>
        <x:v>42</x:v>
      </x:c>
      <x:c r="O125" s="4" t="n">
        <x:f>ROUND(M125-N125,2)</x:f>
        <x:v>56.74</x:v>
      </x:c>
      <x:c r="P125" s="6" t="n">
        <x:v>3.4</x:v>
      </x:c>
      <x:c r="Q125" t="str">
        <x:v>No</x:v>
      </x:c>
    </x:row>
    <x:row r="126">
      <x:c r="A126" t="str">
        <x:v>ORD-00360</x:v>
      </x:c>
      <x:c r="B126" s="3" t="n">
        <x:v>45335.015529097225</x:v>
      </x:c>
      <x:c r="C126" t="str">
        <x:v>2024-02</x:v>
      </x:c>
      <x:c r="D126" t="str">
        <x:v>CUS-0533</x:v>
      </x:c>
      <x:c r="E126" t="str">
        <x:v>Scotland</x:v>
      </x:c>
      <x:c r="F126" t="str">
        <x:v>Online</x:v>
      </x:c>
      <x:c r="G126" t="str">
        <x:v>Electronics</x:v>
      </x:c>
      <x:c r="H126" t="str">
        <x:v>Wireless Headphones</x:v>
      </x:c>
      <x:c r="I126" t="n">
        <x:v>1</x:v>
      </x:c>
      <x:c r="J126" s="4" t="n">
        <x:v>89.31</x:v>
      </x:c>
      <x:c r="K126" s="4" t="n">
        <x:v>48</x:v>
      </x:c>
      <x:c r="L126" s="5" t="n">
        <x:v>0.15</x:v>
      </x:c>
      <x:c r="M126" s="4" t="n">
        <x:f>ROUND(I126*J126*(1-L126),2)</x:f>
        <x:v>75.91</x:v>
      </x:c>
      <x:c r="N126" s="4" t="n">
        <x:f>ROUND(I126*K126,2)</x:f>
        <x:v>48</x:v>
      </x:c>
      <x:c r="O126" s="4" t="n">
        <x:f>ROUND(M126-N126,2)</x:f>
        <x:v>27.91</x:v>
      </x:c>
      <x:c r="P126" s="6" t="n">
        <x:v>3.3</x:v>
      </x:c>
      <x:c r="Q126" t="str">
        <x:v>No</x:v>
      </x:c>
    </x:row>
    <x:row r="127">
      <x:c r="A127" t="str">
        <x:v>ORD-00713</x:v>
      </x:c>
      <x:c r="B127" s="3" t="n">
        <x:v>45335.92645263889</x:v>
      </x:c>
      <x:c r="C127" t="str">
        <x:v>2024-02</x:v>
      </x:c>
      <x:c r="D127" t="str">
        <x:v>CUS-0239</x:v>
      </x:c>
      <x:c r="E127" t="str">
        <x:v>Midlands</x:v>
      </x:c>
      <x:c r="F127" t="str">
        <x:v>Online</x:v>
      </x:c>
      <x:c r="G127" t="str">
        <x:v>Electronics</x:v>
      </x:c>
      <x:c r="H127" t="str">
        <x:v>Smart Watch</x:v>
      </x:c>
      <x:c r="I127" t="n">
        <x:v>5</x:v>
      </x:c>
      <x:c r="J127" s="4" t="n">
        <x:v>155.11</x:v>
      </x:c>
      <x:c r="K127" s="4" t="n">
        <x:v>92</x:v>
      </x:c>
      <x:c r="L127" s="5" t="n">
        <x:v>0.1</x:v>
      </x:c>
      <x:c r="M127" s="4" t="n">
        <x:f>ROUND(I127*J127*(1-L127),2)</x:f>
        <x:v>698</x:v>
      </x:c>
      <x:c r="N127" s="4" t="n">
        <x:f>ROUND(I127*K127,2)</x:f>
        <x:v>460</x:v>
      </x:c>
      <x:c r="O127" s="4" t="n">
        <x:f>ROUND(M127-N127,2)</x:f>
        <x:v>238</x:v>
      </x:c>
      <x:c r="P127" s="6" t="n">
        <x:v>5</x:v>
      </x:c>
      <x:c r="Q127" t="str">
        <x:v>No</x:v>
      </x:c>
    </x:row>
    <x:row r="128">
      <x:c r="A128" t="str">
        <x:v>ORD-01094</x:v>
      </x:c>
      <x:c r="B128" s="3" t="n">
        <x:v>45335.96773712963</x:v>
      </x:c>
      <x:c r="C128" t="str">
        <x:v>2024-02</x:v>
      </x:c>
      <x:c r="D128" t="str">
        <x:v>CUS-0259</x:v>
      </x:c>
      <x:c r="E128" t="str">
        <x:v>Scotland</x:v>
      </x:c>
      <x:c r="F128" t="str">
        <x:v>Online</x:v>
      </x:c>
      <x:c r="G128" t="str">
        <x:v>Home</x:v>
      </x:c>
      <x:c r="H128" t="str">
        <x:v>Coffee Maker</x:v>
      </x:c>
      <x:c r="I128" t="n">
        <x:v>4</x:v>
      </x:c>
      <x:c r="J128" s="4" t="n">
        <x:v>74.21</x:v>
      </x:c>
      <x:c r="K128" s="4" t="n">
        <x:v>41</x:v>
      </x:c>
      <x:c r="L128" s="5" t="n">
        <x:v>0.15</x:v>
      </x:c>
      <x:c r="M128" s="4" t="n">
        <x:f>ROUND(I128*J128*(1-L128),2)</x:f>
        <x:v>252.31</x:v>
      </x:c>
      <x:c r="N128" s="4" t="n">
        <x:f>ROUND(I128*K128,2)</x:f>
        <x:v>164</x:v>
      </x:c>
      <x:c r="O128" s="4" t="n">
        <x:f>ROUND(M128-N128,2)</x:f>
        <x:v>88.31</x:v>
      </x:c>
      <x:c r="P128" s="6" t="n">
        <x:v>3.8</x:v>
      </x:c>
      <x:c r="Q128" t="str">
        <x:v>No</x:v>
      </x:c>
    </x:row>
    <x:row r="129">
      <x:c r="A129" t="str">
        <x:v>ORD-01702</x:v>
      </x:c>
      <x:c r="B129" s="3" t="n">
        <x:v>45336.751148842595</x:v>
      </x:c>
      <x:c r="C129" t="str">
        <x:v>2024-02</x:v>
      </x:c>
      <x:c r="D129" t="str">
        <x:v>CUS-0127</x:v>
      </x:c>
      <x:c r="E129" t="str">
        <x:v>Wales</x:v>
      </x:c>
      <x:c r="F129" t="str">
        <x:v>Online</x:v>
      </x:c>
      <x:c r="G129" t="str">
        <x:v>Sports</x:v>
      </x:c>
      <x:c r="H129" t="str">
        <x:v>Fitness Tracker</x:v>
      </x:c>
      <x:c r="I129" t="n">
        <x:v>5</x:v>
      </x:c>
      <x:c r="J129" s="4" t="n">
        <x:v>56.76</x:v>
      </x:c>
      <x:c r="K129" s="4" t="n">
        <x:v>27</x:v>
      </x:c>
      <x:c r="L129" s="5" t="n">
        <x:v>0</x:v>
      </x:c>
      <x:c r="M129" s="4" t="n">
        <x:f>ROUND(I129*J129*(1-L129),2)</x:f>
        <x:v>283.8</x:v>
      </x:c>
      <x:c r="N129" s="4" t="n">
        <x:f>ROUND(I129*K129,2)</x:f>
        <x:v>135</x:v>
      </x:c>
      <x:c r="O129" s="4" t="n">
        <x:f>ROUND(M129-N129,2)</x:f>
        <x:v>148.8</x:v>
      </x:c>
      <x:c r="P129" s="6" t="n">
        <x:v>3.7</x:v>
      </x:c>
      <x:c r="Q129" t="str">
        <x:v>No</x:v>
      </x:c>
    </x:row>
    <x:row r="130">
      <x:c r="A130" t="str">
        <x:v>ORD-00101</x:v>
      </x:c>
      <x:c r="B130" s="3" t="n">
        <x:v>45337.15403813658</x:v>
      </x:c>
      <x:c r="C130" t="str">
        <x:v>2024-02</x:v>
      </x:c>
      <x:c r="D130" t="str">
        <x:v>CUS-0603</x:v>
      </x:c>
      <x:c r="E130" t="str">
        <x:v>Midlands</x:v>
      </x:c>
      <x:c r="F130" t="str">
        <x:v>Store</x:v>
      </x:c>
      <x:c r="G130" t="str">
        <x:v>Electronics</x:v>
      </x:c>
      <x:c r="H130" t="str">
        <x:v>Bluetooth Speaker</x:v>
      </x:c>
      <x:c r="I130" t="n">
        <x:v>4</x:v>
      </x:c>
      <x:c r="J130" s="4" t="n">
        <x:v>65.89</x:v>
      </x:c>
      <x:c r="K130" s="4" t="n">
        <x:v>34</x:v>
      </x:c>
      <x:c r="L130" s="5" t="n">
        <x:v>0.15</x:v>
      </x:c>
      <x:c r="M130" s="4" t="n">
        <x:f>ROUND(I130*J130*(1-L130),2)</x:f>
        <x:v>224.03</x:v>
      </x:c>
      <x:c r="N130" s="4" t="n">
        <x:f>ROUND(I130*K130,2)</x:f>
        <x:v>136</x:v>
      </x:c>
      <x:c r="O130" s="4" t="n">
        <x:f>ROUND(M130-N130,2)</x:f>
        <x:v>88.03</x:v>
      </x:c>
      <x:c r="P130" s="6" t="n">
        <x:v>4.9</x:v>
      </x:c>
      <x:c r="Q130" t="str">
        <x:v>No</x:v>
      </x:c>
    </x:row>
    <x:row r="131">
      <x:c r="A131" t="str">
        <x:v>ORD-00703</x:v>
      </x:c>
      <x:c r="B131" s="3" t="n">
        <x:v>45337.9867897338</x:v>
      </x:c>
      <x:c r="C131" t="str">
        <x:v>2024-02</x:v>
      </x:c>
      <x:c r="D131" t="str">
        <x:v>CUS-0223</x:v>
      </x:c>
      <x:c r="E131" t="str">
        <x:v>North West</x:v>
      </x:c>
      <x:c r="F131" t="str">
        <x:v>Online</x:v>
      </x:c>
      <x:c r="G131" t="str">
        <x:v>Books</x:v>
      </x:c>
      <x:c r="H131" t="str">
        <x:v>Business Intelligence Guide</x:v>
      </x:c>
      <x:c r="I131" t="n">
        <x:v>3</x:v>
      </x:c>
      <x:c r="J131" s="4" t="n">
        <x:v>35.41</x:v>
      </x:c>
      <x:c r="K131" s="4" t="n">
        <x:v>12</x:v>
      </x:c>
      <x:c r="L131" s="5" t="n">
        <x:v>0</x:v>
      </x:c>
      <x:c r="M131" s="4" t="n">
        <x:f>ROUND(I131*J131*(1-L131),2)</x:f>
        <x:v>106.23</x:v>
      </x:c>
      <x:c r="N131" s="4" t="n">
        <x:f>ROUND(I131*K131,2)</x:f>
        <x:v>36</x:v>
      </x:c>
      <x:c r="O131" s="4" t="n">
        <x:f>ROUND(M131-N131,2)</x:f>
        <x:v>70.23</x:v>
      </x:c>
      <x:c r="P131" s="6" t="n">
        <x:v>4.4</x:v>
      </x:c>
      <x:c r="Q131" t="str">
        <x:v>No</x:v>
      </x:c>
    </x:row>
    <x:row r="132">
      <x:c r="A132" t="str">
        <x:v>ORD-01502</x:v>
      </x:c>
      <x:c r="B132" s="3" t="n">
        <x:v>45338.20845136574</x:v>
      </x:c>
      <x:c r="C132" t="str">
        <x:v>2024-02</x:v>
      </x:c>
      <x:c r="D132" t="str">
        <x:v>CUS-0189</x:v>
      </x:c>
      <x:c r="E132" t="str">
        <x:v>Scotland</x:v>
      </x:c>
      <x:c r="F132" t="str">
        <x:v>Online</x:v>
      </x:c>
      <x:c r="G132" t="str">
        <x:v>Sports</x:v>
      </x:c>
      <x:c r="H132" t="str">
        <x:v>Running Shoes</x:v>
      </x:c>
      <x:c r="I132" t="n">
        <x:v>5</x:v>
      </x:c>
      <x:c r="J132" s="4" t="n">
        <x:v>80.09</x:v>
      </x:c>
      <x:c r="K132" s="4" t="n">
        <x:v>38</x:v>
      </x:c>
      <x:c r="L132" s="5" t="n">
        <x:v>0.15</x:v>
      </x:c>
      <x:c r="M132" s="4" t="n">
        <x:f>ROUND(I132*J132*(1-L132),2)</x:f>
        <x:v>340.38</x:v>
      </x:c>
      <x:c r="N132" s="4" t="n">
        <x:f>ROUND(I132*K132,2)</x:f>
        <x:v>190</x:v>
      </x:c>
      <x:c r="O132" s="4" t="n">
        <x:f>ROUND(M132-N132,2)</x:f>
        <x:v>150.38</x:v>
      </x:c>
      <x:c r="P132" s="6" t="n">
        <x:v>4.4</x:v>
      </x:c>
      <x:c r="Q132" t="str">
        <x:v>No</x:v>
      </x:c>
    </x:row>
    <x:row r="133">
      <x:c r="A133" t="str">
        <x:v>ORD-00790</x:v>
      </x:c>
      <x:c r="B133" s="3" t="n">
        <x:v>45338.78090626157</x:v>
      </x:c>
      <x:c r="C133" t="str">
        <x:v>2024-02</x:v>
      </x:c>
      <x:c r="D133" t="str">
        <x:v>CUS-0446</x:v>
      </x:c>
      <x:c r="E133" t="str">
        <x:v>North East</x:v>
      </x:c>
      <x:c r="F133" t="str">
        <x:v>Online</x:v>
      </x:c>
      <x:c r="G133" t="str">
        <x:v>Fashion</x:v>
      </x:c>
      <x:c r="H133" t="str">
        <x:v>Classic Trainers</x:v>
      </x:c>
      <x:c r="I133" t="n">
        <x:v>3</x:v>
      </x:c>
      <x:c r="J133" s="4" t="n">
        <x:v>69.36</x:v>
      </x:c>
      <x:c r="K133" s="4" t="n">
        <x:v>32</x:v>
      </x:c>
      <x:c r="L133" s="5" t="n">
        <x:v>0</x:v>
      </x:c>
      <x:c r="M133" s="4" t="n">
        <x:f>ROUND(I133*J133*(1-L133),2)</x:f>
        <x:v>208.08</x:v>
      </x:c>
      <x:c r="N133" s="4" t="n">
        <x:f>ROUND(I133*K133,2)</x:f>
        <x:v>96</x:v>
      </x:c>
      <x:c r="O133" s="4" t="n">
        <x:f>ROUND(M133-N133,2)</x:f>
        <x:v>112.08</x:v>
      </x:c>
      <x:c r="P133" s="6" t="n">
        <x:v>5</x:v>
      </x:c>
      <x:c r="Q133" t="str">
        <x:v>No</x:v>
      </x:c>
    </x:row>
    <x:row r="134">
      <x:c r="A134" t="str">
        <x:v>ORD-01328</x:v>
      </x:c>
      <x:c r="B134" s="3" t="n">
        <x:v>45339.38870939815</x:v>
      </x:c>
      <x:c r="C134" t="str">
        <x:v>2024-02</x:v>
      </x:c>
      <x:c r="D134" t="str">
        <x:v>CUS-0476</x:v>
      </x:c>
      <x:c r="E134" t="str">
        <x:v>London</x:v>
      </x:c>
      <x:c r="F134" t="str">
        <x:v>Store</x:v>
      </x:c>
      <x:c r="G134" t="str">
        <x:v>Fashion</x:v>
      </x:c>
      <x:c r="H134" t="str">
        <x:v>Winter Jacket</x:v>
      </x:c>
      <x:c r="I134" t="n">
        <x:v>5</x:v>
      </x:c>
      <x:c r="J134" s="4" t="n">
        <x:v>96.65</x:v>
      </x:c>
      <x:c r="K134" s="4" t="n">
        <x:v>46</x:v>
      </x:c>
      <x:c r="L134" s="5" t="n">
        <x:v>0.05</x:v>
      </x:c>
      <x:c r="M134" s="4" t="n">
        <x:f>ROUND(I134*J134*(1-L134),2)</x:f>
        <x:v>459.09</x:v>
      </x:c>
      <x:c r="N134" s="4" t="n">
        <x:f>ROUND(I134*K134,2)</x:f>
        <x:v>230</x:v>
      </x:c>
      <x:c r="O134" s="4" t="n">
        <x:f>ROUND(M134-N134,2)</x:f>
        <x:v>229.09</x:v>
      </x:c>
      <x:c r="P134" s="6" t="n">
        <x:v>4.4</x:v>
      </x:c>
      <x:c r="Q134" t="str">
        <x:v>No</x:v>
      </x:c>
    </x:row>
    <x:row r="135">
      <x:c r="A135" t="str">
        <x:v>ORD-00480</x:v>
      </x:c>
      <x:c r="B135" s="3" t="n">
        <x:v>45339.67342075231</x:v>
      </x:c>
      <x:c r="C135" t="str">
        <x:v>2024-02</x:v>
      </x:c>
      <x:c r="D135" t="str">
        <x:v>CUS-0388</x:v>
      </x:c>
      <x:c r="E135" t="str">
        <x:v>Scotland</x:v>
      </x:c>
      <x:c r="F135" t="str">
        <x:v>Store</x:v>
      </x:c>
      <x:c r="G135" t="str">
        <x:v>Beauty</x:v>
      </x:c>
      <x:c r="H135" t="str">
        <x:v>Skin Care Set</x:v>
      </x:c>
      <x:c r="I135" t="n">
        <x:v>1</x:v>
      </x:c>
      <x:c r="J135" s="4" t="n">
        <x:v>46.96</x:v>
      </x:c>
      <x:c r="K135" s="4" t="n">
        <x:v>18</x:v>
      </x:c>
      <x:c r="L135" s="5" t="n">
        <x:v>0</x:v>
      </x:c>
      <x:c r="M135" s="4" t="n">
        <x:f>ROUND(I135*J135*(1-L135),2)</x:f>
        <x:v>46.96</x:v>
      </x:c>
      <x:c r="N135" s="4" t="n">
        <x:f>ROUND(I135*K135,2)</x:f>
        <x:v>18</x:v>
      </x:c>
      <x:c r="O135" s="4" t="n">
        <x:f>ROUND(M135-N135,2)</x:f>
        <x:v>28.96</x:v>
      </x:c>
      <x:c r="P135" s="6" t="n">
        <x:v>5</x:v>
      </x:c>
      <x:c r="Q135" t="str">
        <x:v>No</x:v>
      </x:c>
    </x:row>
    <x:row r="136">
      <x:c r="A136" t="str">
        <x:v>ORD-01270</x:v>
      </x:c>
      <x:c r="B136" s="3" t="n">
        <x:v>45339.838570266205</x:v>
      </x:c>
      <x:c r="C136" t="str">
        <x:v>2024-02</x:v>
      </x:c>
      <x:c r="D136" t="str">
        <x:v>CUS-0042</x:v>
      </x:c>
      <x:c r="E136" t="str">
        <x:v>North East</x:v>
      </x:c>
      <x:c r="F136" t="str">
        <x:v>Store</x:v>
      </x:c>
      <x:c r="G136" t="str">
        <x:v>Home</x:v>
      </x:c>
      <x:c r="H136" t="str">
        <x:v>Desk Lamp</x:v>
      </x:c>
      <x:c r="I136" t="n">
        <x:v>3</x:v>
      </x:c>
      <x:c r="J136" s="4" t="n">
        <x:v>34.15</x:v>
      </x:c>
      <x:c r="K136" s="4" t="n">
        <x:v>17</x:v>
      </x:c>
      <x:c r="L136" s="5" t="n">
        <x:v>0.15</x:v>
      </x:c>
      <x:c r="M136" s="4" t="n">
        <x:f>ROUND(I136*J136*(1-L136),2)</x:f>
        <x:v>87.08</x:v>
      </x:c>
      <x:c r="N136" s="4" t="n">
        <x:f>ROUND(I136*K136,2)</x:f>
        <x:v>51</x:v>
      </x:c>
      <x:c r="O136" s="4" t="n">
        <x:f>ROUND(M136-N136,2)</x:f>
        <x:v>36.08</x:v>
      </x:c>
      <x:c r="P136" s="6" t="n">
        <x:v>4.2</x:v>
      </x:c>
      <x:c r="Q136" t="str">
        <x:v>No</x:v>
      </x:c>
    </x:row>
    <x:row r="137">
      <x:c r="A137" t="str">
        <x:v>ORD-01010</x:v>
      </x:c>
      <x:c r="B137" s="3" t="n">
        <x:v>45340.00123623843</x:v>
      </x:c>
      <x:c r="C137" t="str">
        <x:v>2024-02</x:v>
      </x:c>
      <x:c r="D137" t="str">
        <x:v>CUS-0122</x:v>
      </x:c>
      <x:c r="E137" t="str">
        <x:v>London</x:v>
      </x:c>
      <x:c r="F137" t="str">
        <x:v>Store</x:v>
      </x:c>
      <x:c r="G137" t="str">
        <x:v>Home</x:v>
      </x:c>
      <x:c r="H137" t="str">
        <x:v>Air Fryer</x:v>
      </x:c>
      <x:c r="I137" t="n">
        <x:v>2</x:v>
      </x:c>
      <x:c r="J137" s="4" t="n">
        <x:v>122.37</x:v>
      </x:c>
      <x:c r="K137" s="4" t="n">
        <x:v>69</x:v>
      </x:c>
      <x:c r="L137" s="5" t="n">
        <x:v>0</x:v>
      </x:c>
      <x:c r="M137" s="4" t="n">
        <x:f>ROUND(I137*J137*(1-L137),2)</x:f>
        <x:v>244.74</x:v>
      </x:c>
      <x:c r="N137" s="4" t="n">
        <x:f>ROUND(I137*K137,2)</x:f>
        <x:v>138</x:v>
      </x:c>
      <x:c r="O137" s="4" t="n">
        <x:f>ROUND(M137-N137,2)</x:f>
        <x:v>106.74</x:v>
      </x:c>
      <x:c r="P137" s="6" t="n">
        <x:v>4.6</x:v>
      </x:c>
      <x:c r="Q137" t="str">
        <x:v>No</x:v>
      </x:c>
    </x:row>
    <x:row r="138">
      <x:c r="A138" t="str">
        <x:v>ORD-00503</x:v>
      </x:c>
      <x:c r="B138" s="3" t="n">
        <x:v>45340.52924459491</x:v>
      </x:c>
      <x:c r="C138" t="str">
        <x:v>2024-02</x:v>
      </x:c>
      <x:c r="D138" t="str">
        <x:v>CUS-0351</x:v>
      </x:c>
      <x:c r="E138" t="str">
        <x:v>Wales</x:v>
      </x:c>
      <x:c r="F138" t="str">
        <x:v>Online</x:v>
      </x:c>
      <x:c r="G138" t="str">
        <x:v>Home</x:v>
      </x:c>
      <x:c r="H138" t="str">
        <x:v>Coffee Maker</x:v>
      </x:c>
      <x:c r="I138" t="n">
        <x:v>4</x:v>
      </x:c>
      <x:c r="J138" s="4" t="n">
        <x:v>76.8</x:v>
      </x:c>
      <x:c r="K138" s="4" t="n">
        <x:v>41</x:v>
      </x:c>
      <x:c r="L138" s="5" t="n">
        <x:v>0</x:v>
      </x:c>
      <x:c r="M138" s="4" t="n">
        <x:f>ROUND(I138*J138*(1-L138),2)</x:f>
        <x:v>307.2</x:v>
      </x:c>
      <x:c r="N138" s="4" t="n">
        <x:f>ROUND(I138*K138,2)</x:f>
        <x:v>164</x:v>
      </x:c>
      <x:c r="O138" s="4" t="n">
        <x:f>ROUND(M138-N138,2)</x:f>
        <x:v>143.2</x:v>
      </x:c>
      <x:c r="P138" s="6" t="n">
        <x:v>4.8</x:v>
      </x:c>
      <x:c r="Q138" t="str">
        <x:v>No</x:v>
      </x:c>
    </x:row>
    <x:row r="139">
      <x:c r="A139" t="str">
        <x:v>ORD-00830</x:v>
      </x:c>
      <x:c r="B139" s="3" t="n">
        <x:v>45340.704732488426</x:v>
      </x:c>
      <x:c r="C139" t="str">
        <x:v>2024-02</x:v>
      </x:c>
      <x:c r="D139" t="str">
        <x:v>CUS-0166</x:v>
      </x:c>
      <x:c r="E139" t="str">
        <x:v>Scotland</x:v>
      </x:c>
      <x:c r="F139" t="str">
        <x:v>Store</x:v>
      </x:c>
      <x:c r="G139" t="str">
        <x:v>Home</x:v>
      </x:c>
      <x:c r="H139" t="str">
        <x:v>Desk Lamp</x:v>
      </x:c>
      <x:c r="I139" t="n">
        <x:v>1</x:v>
      </x:c>
      <x:c r="J139" s="4" t="n">
        <x:v>35.41</x:v>
      </x:c>
      <x:c r="K139" s="4" t="n">
        <x:v>17</x:v>
      </x:c>
      <x:c r="L139" s="5" t="n">
        <x:v>0.15</x:v>
      </x:c>
      <x:c r="M139" s="4" t="n">
        <x:f>ROUND(I139*J139*(1-L139),2)</x:f>
        <x:v>30.1</x:v>
      </x:c>
      <x:c r="N139" s="4" t="n">
        <x:f>ROUND(I139*K139,2)</x:f>
        <x:v>17</x:v>
      </x:c>
      <x:c r="O139" s="4" t="n">
        <x:f>ROUND(M139-N139,2)</x:f>
        <x:v>13.1</x:v>
      </x:c>
      <x:c r="P139" s="6" t="n">
        <x:v>4.9</x:v>
      </x:c>
      <x:c r="Q139" t="str">
        <x:v>No</x:v>
      </x:c>
    </x:row>
    <x:row r="140">
      <x:c r="A140" t="str">
        <x:v>ORD-01800</x:v>
      </x:c>
      <x:c r="B140" s="3" t="n">
        <x:v>45340.76456949074</x:v>
      </x:c>
      <x:c r="C140" t="str">
        <x:v>2024-02</x:v>
      </x:c>
      <x:c r="D140" t="str">
        <x:v>CUS-0444</x:v>
      </x:c>
      <x:c r="E140" t="str">
        <x:v>London</x:v>
      </x:c>
      <x:c r="F140" t="str">
        <x:v>Marketplace</x:v>
      </x:c>
      <x:c r="G140" t="str">
        <x:v>Beauty</x:v>
      </x:c>
      <x:c r="H140" t="str">
        <x:v>Skin Care Set</x:v>
      </x:c>
      <x:c r="I140" t="n">
        <x:v>3</x:v>
      </x:c>
      <x:c r="J140" s="4" t="n">
        <x:v>44.12</x:v>
      </x:c>
      <x:c r="K140" s="4" t="n">
        <x:v>18</x:v>
      </x:c>
      <x:c r="L140" s="5" t="n">
        <x:v>0.15</x:v>
      </x:c>
      <x:c r="M140" s="4" t="n">
        <x:f>ROUND(I140*J140*(1-L140),2)</x:f>
        <x:v>112.51</x:v>
      </x:c>
      <x:c r="N140" s="4" t="n">
        <x:f>ROUND(I140*K140,2)</x:f>
        <x:v>54</x:v>
      </x:c>
      <x:c r="O140" s="4" t="n">
        <x:f>ROUND(M140-N140,2)</x:f>
        <x:v>58.51</x:v>
      </x:c>
      <x:c r="P140" s="6" t="n">
        <x:v>4.5</x:v>
      </x:c>
      <x:c r="Q140" t="str">
        <x:v>No</x:v>
      </x:c>
    </x:row>
    <x:row r="141">
      <x:c r="A141" t="str">
        <x:v>ORD-00229</x:v>
      </x:c>
      <x:c r="B141" s="3" t="n">
        <x:v>45341.07184726852</x:v>
      </x:c>
      <x:c r="C141" t="str">
        <x:v>2024-02</x:v>
      </x:c>
      <x:c r="D141" t="str">
        <x:v>CUS-0223</x:v>
      </x:c>
      <x:c r="E141" t="str">
        <x:v>South East</x:v>
      </x:c>
      <x:c r="F141" t="str">
        <x:v>Store</x:v>
      </x:c>
      <x:c r="G141" t="str">
        <x:v>Sports</x:v>
      </x:c>
      <x:c r="H141" t="str">
        <x:v>Yoga Mat</x:v>
      </x:c>
      <x:c r="I141" t="n">
        <x:v>3</x:v>
      </x:c>
      <x:c r="J141" s="4" t="n">
        <x:v>29.19</x:v>
      </x:c>
      <x:c r="K141" s="4" t="n">
        <x:v>12</x:v>
      </x:c>
      <x:c r="L141" s="5" t="n">
        <x:v>0</x:v>
      </x:c>
      <x:c r="M141" s="4" t="n">
        <x:f>ROUND(I141*J141*(1-L141),2)</x:f>
        <x:v>87.57</x:v>
      </x:c>
      <x:c r="N141" s="4" t="n">
        <x:f>ROUND(I141*K141,2)</x:f>
        <x:v>36</x:v>
      </x:c>
      <x:c r="O141" s="4" t="n">
        <x:f>ROUND(M141-N141,2)</x:f>
        <x:v>51.57</x:v>
      </x:c>
      <x:c r="P141" s="6" t="n">
        <x:v>4.5</x:v>
      </x:c>
      <x:c r="Q141" t="str">
        <x:v>No</x:v>
      </x:c>
    </x:row>
    <x:row r="142">
      <x:c r="A142" t="str">
        <x:v>ORD-01627</x:v>
      </x:c>
      <x:c r="B142" s="3" t="n">
        <x:v>45341.75807289352</x:v>
      </x:c>
      <x:c r="C142" t="str">
        <x:v>2024-02</x:v>
      </x:c>
      <x:c r="D142" t="str">
        <x:v>CUS-0555</x:v>
      </x:c>
      <x:c r="E142" t="str">
        <x:v>Wales</x:v>
      </x:c>
      <x:c r="F142" t="str">
        <x:v>Online</x:v>
      </x:c>
      <x:c r="G142" t="str">
        <x:v>Electronics</x:v>
      </x:c>
      <x:c r="H142" t="str">
        <x:v>Bluetooth Speaker</x:v>
      </x:c>
      <x:c r="I142" t="n">
        <x:v>4</x:v>
      </x:c>
      <x:c r="J142" s="4" t="n">
        <x:v>67.25</x:v>
      </x:c>
      <x:c r="K142" s="4" t="n">
        <x:v>34</x:v>
      </x:c>
      <x:c r="L142" s="5" t="n">
        <x:v>0.2</x:v>
      </x:c>
      <x:c r="M142" s="4" t="n">
        <x:f>ROUND(I142*J142*(1-L142),2)</x:f>
        <x:v>215.2</x:v>
      </x:c>
      <x:c r="N142" s="4" t="n">
        <x:f>ROUND(I142*K142,2)</x:f>
        <x:v>136</x:v>
      </x:c>
      <x:c r="O142" s="4" t="n">
        <x:f>ROUND(M142-N142,2)</x:f>
        <x:v>79.2</x:v>
      </x:c>
      <x:c r="P142" s="6" t="n">
        <x:v>4.9</x:v>
      </x:c>
      <x:c r="Q142" t="str">
        <x:v>No</x:v>
      </x:c>
    </x:row>
    <x:row r="143">
      <x:c r="A143" t="str">
        <x:v>ORD-01674</x:v>
      </x:c>
      <x:c r="B143" s="3" t="n">
        <x:v>45342.40816400463</x:v>
      </x:c>
      <x:c r="C143" t="str">
        <x:v>2024-02</x:v>
      </x:c>
      <x:c r="D143" t="str">
        <x:v>CUS-0508</x:v>
      </x:c>
      <x:c r="E143" t="str">
        <x:v>Wales</x:v>
      </x:c>
      <x:c r="F143" t="str">
        <x:v>Online</x:v>
      </x:c>
      <x:c r="G143" t="str">
        <x:v>Sports</x:v>
      </x:c>
      <x:c r="H143" t="str">
        <x:v>Yoga Mat</x:v>
      </x:c>
      <x:c r="I143" t="n">
        <x:v>3</x:v>
      </x:c>
      <x:c r="J143" s="4" t="n">
        <x:v>31.07</x:v>
      </x:c>
      <x:c r="K143" s="4" t="n">
        <x:v>12</x:v>
      </x:c>
      <x:c r="L143" s="5" t="n">
        <x:v>0</x:v>
      </x:c>
      <x:c r="M143" s="4" t="n">
        <x:f>ROUND(I143*J143*(1-L143),2)</x:f>
        <x:v>93.21</x:v>
      </x:c>
      <x:c r="N143" s="4" t="n">
        <x:f>ROUND(I143*K143,2)</x:f>
        <x:v>36</x:v>
      </x:c>
      <x:c r="O143" s="4" t="n">
        <x:f>ROUND(M143-N143,2)</x:f>
        <x:v>57.21</x:v>
      </x:c>
      <x:c r="P143" s="6" t="n">
        <x:v>4.5</x:v>
      </x:c>
      <x:c r="Q143" t="str">
        <x:v>No</x:v>
      </x:c>
    </x:row>
    <x:row r="144">
      <x:c r="A144" t="str">
        <x:v>ORD-01096</x:v>
      </x:c>
      <x:c r="B144" s="3" t="n">
        <x:v>45342.637408518516</x:v>
      </x:c>
      <x:c r="C144" t="str">
        <x:v>2024-02</x:v>
      </x:c>
      <x:c r="D144" t="str">
        <x:v>CUS-0031</x:v>
      </x:c>
      <x:c r="E144" t="str">
        <x:v>Scotland</x:v>
      </x:c>
      <x:c r="F144" t="str">
        <x:v>Marketplace</x:v>
      </x:c>
      <x:c r="G144" t="str">
        <x:v>Home</x:v>
      </x:c>
      <x:c r="H144" t="str">
        <x:v>Coffee Maker</x:v>
      </x:c>
      <x:c r="I144" t="n">
        <x:v>2</x:v>
      </x:c>
      <x:c r="J144" s="4" t="n">
        <x:v>72.75</x:v>
      </x:c>
      <x:c r="K144" s="4" t="n">
        <x:v>41</x:v>
      </x:c>
      <x:c r="L144" s="5" t="n">
        <x:v>0</x:v>
      </x:c>
      <x:c r="M144" s="4" t="n">
        <x:f>ROUND(I144*J144*(1-L144),2)</x:f>
        <x:v>145.5</x:v>
      </x:c>
      <x:c r="N144" s="4" t="n">
        <x:f>ROUND(I144*K144,2)</x:f>
        <x:v>82</x:v>
      </x:c>
      <x:c r="O144" s="4" t="n">
        <x:f>ROUND(M144-N144,2)</x:f>
        <x:v>63.5</x:v>
      </x:c>
      <x:c r="P144" s="6" t="n">
        <x:v>3.9</x:v>
      </x:c>
      <x:c r="Q144" t="str">
        <x:v>No</x:v>
      </x:c>
    </x:row>
    <x:row r="145">
      <x:c r="A145" t="str">
        <x:v>ORD-00803</x:v>
      </x:c>
      <x:c r="B145" s="3" t="n">
        <x:v>45343.77361025463</x:v>
      </x:c>
      <x:c r="C145" t="str">
        <x:v>2024-02</x:v>
      </x:c>
      <x:c r="D145" t="str">
        <x:v>CUS-0080</x:v>
      </x:c>
      <x:c r="E145" t="str">
        <x:v>North West</x:v>
      </x:c>
      <x:c r="F145" t="str">
        <x:v>Online</x:v>
      </x:c>
      <x:c r="G145" t="str">
        <x:v>Books</x:v>
      </x:c>
      <x:c r="H145" t="str">
        <x:v>Data Analytics Handbook</x:v>
      </x:c>
      <x:c r="I145" t="n">
        <x:v>3</x:v>
      </x:c>
      <x:c r="J145" s="4" t="n">
        <x:v>39.98</x:v>
      </x:c>
      <x:c r="K145" s="4" t="n">
        <x:v>14</x:v>
      </x:c>
      <x:c r="L145" s="5" t="n">
        <x:v>0</x:v>
      </x:c>
      <x:c r="M145" s="4" t="n">
        <x:f>ROUND(I145*J145*(1-L145),2)</x:f>
        <x:v>119.94</x:v>
      </x:c>
      <x:c r="N145" s="4" t="n">
        <x:f>ROUND(I145*K145,2)</x:f>
        <x:v>42</x:v>
      </x:c>
      <x:c r="O145" s="4" t="n">
        <x:f>ROUND(M145-N145,2)</x:f>
        <x:v>77.94</x:v>
      </x:c>
      <x:c r="P145" s="6" t="n">
        <x:v>3.8</x:v>
      </x:c>
      <x:c r="Q145" t="str">
        <x:v>No</x:v>
      </x:c>
    </x:row>
    <x:row r="146">
      <x:c r="A146" t="str">
        <x:v>ORD-00077</x:v>
      </x:c>
      <x:c r="B146" s="3" t="n">
        <x:v>45345.36164887731</x:v>
      </x:c>
      <x:c r="C146" t="str">
        <x:v>2024-02</x:v>
      </x:c>
      <x:c r="D146" t="str">
        <x:v>CUS-0460</x:v>
      </x:c>
      <x:c r="E146" t="str">
        <x:v>North West</x:v>
      </x:c>
      <x:c r="F146" t="str">
        <x:v>Marketplace</x:v>
      </x:c>
      <x:c r="G146" t="str">
        <x:v>Books</x:v>
      </x:c>
      <x:c r="H146" t="str">
        <x:v>Data Analytics Handbook</x:v>
      </x:c>
      <x:c r="I146" t="n">
        <x:v>4</x:v>
      </x:c>
      <x:c r="J146" s="4" t="n">
        <x:v>40.92</x:v>
      </x:c>
      <x:c r="K146" s="4" t="n">
        <x:v>14</x:v>
      </x:c>
      <x:c r="L146" s="5" t="n">
        <x:v>0</x:v>
      </x:c>
      <x:c r="M146" s="4" t="n">
        <x:f>ROUND(I146*J146*(1-L146),2)</x:f>
        <x:v>163.68</x:v>
      </x:c>
      <x:c r="N146" s="4" t="n">
        <x:f>ROUND(I146*K146,2)</x:f>
        <x:v>56</x:v>
      </x:c>
      <x:c r="O146" s="4" t="n">
        <x:f>ROUND(M146-N146,2)</x:f>
        <x:v>107.68</x:v>
      </x:c>
      <x:c r="P146" s="6" t="n">
        <x:v>4.2</x:v>
      </x:c>
      <x:c r="Q146" t="str">
        <x:v>No</x:v>
      </x:c>
    </x:row>
    <x:row r="147">
      <x:c r="A147" t="str">
        <x:v>ORD-00959</x:v>
      </x:c>
      <x:c r="B147" s="3" t="n">
        <x:v>45345.44507721065</x:v>
      </x:c>
      <x:c r="C147" t="str">
        <x:v>2024-02</x:v>
      </x:c>
      <x:c r="D147" t="str">
        <x:v>CUS-0082</x:v>
      </x:c>
      <x:c r="E147" t="str">
        <x:v>South East</x:v>
      </x:c>
      <x:c r="F147" t="str">
        <x:v>Marketplace</x:v>
      </x:c>
      <x:c r="G147" t="str">
        <x:v>Electronics</x:v>
      </x:c>
      <x:c r="H147" t="str">
        <x:v>Bluetooth Speaker</x:v>
      </x:c>
      <x:c r="I147" t="n">
        <x:v>5</x:v>
      </x:c>
      <x:c r="J147" s="4" t="n">
        <x:v>63.63</x:v>
      </x:c>
      <x:c r="K147" s="4" t="n">
        <x:v>34</x:v>
      </x:c>
      <x:c r="L147" s="5" t="n">
        <x:v>0.15</x:v>
      </x:c>
      <x:c r="M147" s="4" t="n">
        <x:f>ROUND(I147*J147*(1-L147),2)</x:f>
        <x:v>270.43</x:v>
      </x:c>
      <x:c r="N147" s="4" t="n">
        <x:f>ROUND(I147*K147,2)</x:f>
        <x:v>170</x:v>
      </x:c>
      <x:c r="O147" s="4" t="n">
        <x:f>ROUND(M147-N147,2)</x:f>
        <x:v>100.43</x:v>
      </x:c>
      <x:c r="P147" s="6" t="n">
        <x:v>4.8</x:v>
      </x:c>
      <x:c r="Q147" t="str">
        <x:v>No</x:v>
      </x:c>
    </x:row>
    <x:row r="148">
      <x:c r="A148" t="str">
        <x:v>ORD-00684</x:v>
      </x:c>
      <x:c r="B148" s="3" t="n">
        <x:v>45345.50305918982</x:v>
      </x:c>
      <x:c r="C148" t="str">
        <x:v>2024-02</x:v>
      </x:c>
      <x:c r="D148" t="str">
        <x:v>CUS-0151</x:v>
      </x:c>
      <x:c r="E148" t="str">
        <x:v>North East</x:v>
      </x:c>
      <x:c r="F148" t="str">
        <x:v>Marketplace</x:v>
      </x:c>
      <x:c r="G148" t="str">
        <x:v>Home</x:v>
      </x:c>
      <x:c r="H148" t="str">
        <x:v>Desk Lamp</x:v>
      </x:c>
      <x:c r="I148" t="n">
        <x:v>2</x:v>
      </x:c>
      <x:c r="J148" s="4" t="n">
        <x:v>36.67</x:v>
      </x:c>
      <x:c r="K148" s="4" t="n">
        <x:v>17</x:v>
      </x:c>
      <x:c r="L148" s="5" t="n">
        <x:v>0.15</x:v>
      </x:c>
      <x:c r="M148" s="4" t="n">
        <x:f>ROUND(I148*J148*(1-L148),2)</x:f>
        <x:v>62.34</x:v>
      </x:c>
      <x:c r="N148" s="4" t="n">
        <x:f>ROUND(I148*K148,2)</x:f>
        <x:v>34</x:v>
      </x:c>
      <x:c r="O148" s="4" t="n">
        <x:f>ROUND(M148-N148,2)</x:f>
        <x:v>28.34</x:v>
      </x:c>
      <x:c r="P148" s="6" t="n">
        <x:v>4.7</x:v>
      </x:c>
      <x:c r="Q148" t="str">
        <x:v>No</x:v>
      </x:c>
    </x:row>
    <x:row r="149">
      <x:c r="A149" t="str">
        <x:v>ORD-01580</x:v>
      </x:c>
      <x:c r="B149" s="3" t="n">
        <x:v>45345.85772054398</x:v>
      </x:c>
      <x:c r="C149" t="str">
        <x:v>2024-02</x:v>
      </x:c>
      <x:c r="D149" t="str">
        <x:v>CUS-0157</x:v>
      </x:c>
      <x:c r="E149" t="str">
        <x:v>North East</x:v>
      </x:c>
      <x:c r="F149" t="str">
        <x:v>Online</x:v>
      </x:c>
      <x:c r="G149" t="str">
        <x:v>Electronics</x:v>
      </x:c>
      <x:c r="H149" t="str">
        <x:v>Wireless Headphones</x:v>
      </x:c>
      <x:c r="I149" t="n">
        <x:v>5</x:v>
      </x:c>
      <x:c r="J149" s="4" t="n">
        <x:v>89.11</x:v>
      </x:c>
      <x:c r="K149" s="4" t="n">
        <x:v>48</x:v>
      </x:c>
      <x:c r="L149" s="5" t="n">
        <x:v>0</x:v>
      </x:c>
      <x:c r="M149" s="4" t="n">
        <x:f>ROUND(I149*J149*(1-L149),2)</x:f>
        <x:v>445.55</x:v>
      </x:c>
      <x:c r="N149" s="4" t="n">
        <x:f>ROUND(I149*K149,2)</x:f>
        <x:v>240</x:v>
      </x:c>
      <x:c r="O149" s="4" t="n">
        <x:f>ROUND(M149-N149,2)</x:f>
        <x:v>205.55</x:v>
      </x:c>
      <x:c r="P149" s="6" t="n">
        <x:v>4.4</x:v>
      </x:c>
      <x:c r="Q149" t="str">
        <x:v>No</x:v>
      </x:c>
    </x:row>
    <x:row r="150">
      <x:c r="A150" t="str">
        <x:v>ORD-01372</x:v>
      </x:c>
      <x:c r="B150" s="3" t="n">
        <x:v>45346.47490241898</x:v>
      </x:c>
      <x:c r="C150" t="str">
        <x:v>2024-02</x:v>
      </x:c>
      <x:c r="D150" t="str">
        <x:v>CUS-0573</x:v>
      </x:c>
      <x:c r="E150" t="str">
        <x:v>Scotland</x:v>
      </x:c>
      <x:c r="F150" t="str">
        <x:v>Marketplace</x:v>
      </x:c>
      <x:c r="G150" t="str">
        <x:v>Home</x:v>
      </x:c>
      <x:c r="H150" t="str">
        <x:v>Desk Lamp</x:v>
      </x:c>
      <x:c r="I150" t="n">
        <x:v>2</x:v>
      </x:c>
      <x:c r="J150" s="4" t="n">
        <x:v>34.04</x:v>
      </x:c>
      <x:c r="K150" s="4" t="n">
        <x:v>17</x:v>
      </x:c>
      <x:c r="L150" s="5" t="n">
        <x:v>0</x:v>
      </x:c>
      <x:c r="M150" s="4" t="n">
        <x:f>ROUND(I150*J150*(1-L150),2)</x:f>
        <x:v>68.08</x:v>
      </x:c>
      <x:c r="N150" s="4" t="n">
        <x:f>ROUND(I150*K150,2)</x:f>
        <x:v>34</x:v>
      </x:c>
      <x:c r="O150" s="4" t="n">
        <x:f>ROUND(M150-N150,2)</x:f>
        <x:v>34.08</x:v>
      </x:c>
      <x:c r="P150" s="6" t="n">
        <x:v>4.9</x:v>
      </x:c>
      <x:c r="Q150" t="str">
        <x:v>No</x:v>
      </x:c>
    </x:row>
    <x:row r="151">
      <x:c r="A151" t="str">
        <x:v>ORD-00656</x:v>
      </x:c>
      <x:c r="B151" s="3" t="n">
        <x:v>45346.60075503472</x:v>
      </x:c>
      <x:c r="C151" t="str">
        <x:v>2024-02</x:v>
      </x:c>
      <x:c r="D151" t="str">
        <x:v>CUS-0546</x:v>
      </x:c>
      <x:c r="E151" t="str">
        <x:v>Wales</x:v>
      </x:c>
      <x:c r="F151" t="str">
        <x:v>Marketplace</x:v>
      </x:c>
      <x:c r="G151" t="str">
        <x:v>Home</x:v>
      </x:c>
      <x:c r="H151" t="str">
        <x:v>Air Fryer</x:v>
      </x:c>
      <x:c r="I151" t="n">
        <x:v>3</x:v>
      </x:c>
      <x:c r="J151" s="4" t="n">
        <x:v>116.63</x:v>
      </x:c>
      <x:c r="K151" s="4" t="n">
        <x:v>69</x:v>
      </x:c>
      <x:c r="L151" s="5" t="n">
        <x:v>0</x:v>
      </x:c>
      <x:c r="M151" s="4" t="n">
        <x:f>ROUND(I151*J151*(1-L151),2)</x:f>
        <x:v>349.89</x:v>
      </x:c>
      <x:c r="N151" s="4" t="n">
        <x:f>ROUND(I151*K151,2)</x:f>
        <x:v>207</x:v>
      </x:c>
      <x:c r="O151" s="4" t="n">
        <x:f>ROUND(M151-N151,2)</x:f>
        <x:v>142.89</x:v>
      </x:c>
      <x:c r="P151" s="6" t="n">
        <x:v>4.8</x:v>
      </x:c>
      <x:c r="Q151" t="str">
        <x:v>No</x:v>
      </x:c>
    </x:row>
    <x:row r="152">
      <x:c r="A152" t="str">
        <x:v>ORD-00873</x:v>
      </x:c>
      <x:c r="B152" s="3" t="n">
        <x:v>45346.83211496528</x:v>
      </x:c>
      <x:c r="C152" t="str">
        <x:v>2024-02</x:v>
      </x:c>
      <x:c r="D152" t="str">
        <x:v>CUS-0496</x:v>
      </x:c>
      <x:c r="E152" t="str">
        <x:v>London</x:v>
      </x:c>
      <x:c r="F152" t="str">
        <x:v>Marketplace</x:v>
      </x:c>
      <x:c r="G152" t="str">
        <x:v>Beauty</x:v>
      </x:c>
      <x:c r="H152" t="str">
        <x:v>Hair Dryer</x:v>
      </x:c>
      <x:c r="I152" t="n">
        <x:v>2</x:v>
      </x:c>
      <x:c r="J152" s="4" t="n">
        <x:v>58.59</x:v>
      </x:c>
      <x:c r="K152" s="4" t="n">
        <x:v>29</x:v>
      </x:c>
      <x:c r="L152" s="5" t="n">
        <x:v>0</x:v>
      </x:c>
      <x:c r="M152" s="4" t="n">
        <x:f>ROUND(I152*J152*(1-L152),2)</x:f>
        <x:v>117.18</x:v>
      </x:c>
      <x:c r="N152" s="4" t="n">
        <x:f>ROUND(I152*K152,2)</x:f>
        <x:v>58</x:v>
      </x:c>
      <x:c r="O152" s="4" t="n">
        <x:f>ROUND(M152-N152,2)</x:f>
        <x:v>59.18</x:v>
      </x:c>
      <x:c r="P152" s="6" t="n">
        <x:v>3.9</x:v>
      </x:c>
      <x:c r="Q152" t="str">
        <x:v>No</x:v>
      </x:c>
    </x:row>
    <x:row r="153">
      <x:c r="A153" t="str">
        <x:v>ORD-00095</x:v>
      </x:c>
      <x:c r="B153" s="3" t="n">
        <x:v>45347.40357929398</x:v>
      </x:c>
      <x:c r="C153" t="str">
        <x:v>2024-02</x:v>
      </x:c>
      <x:c r="D153" t="str">
        <x:v>CUS-0081</x:v>
      </x:c>
      <x:c r="E153" t="str">
        <x:v>North East</x:v>
      </x:c>
      <x:c r="F153" t="str">
        <x:v>Online</x:v>
      </x:c>
      <x:c r="G153" t="str">
        <x:v>Books</x:v>
      </x:c>
      <x:c r="H153" t="str">
        <x:v>Data Analytics Handbook</x:v>
      </x:c>
      <x:c r="I153" t="n">
        <x:v>3</x:v>
      </x:c>
      <x:c r="J153" s="4" t="n">
        <x:v>39.72</x:v>
      </x:c>
      <x:c r="K153" s="4" t="n">
        <x:v>14</x:v>
      </x:c>
      <x:c r="L153" s="5" t="n">
        <x:v>0.2</x:v>
      </x:c>
      <x:c r="M153" s="4" t="n">
        <x:f>ROUND(I153*J153*(1-L153),2)</x:f>
        <x:v>95.33</x:v>
      </x:c>
      <x:c r="N153" s="4" t="n">
        <x:f>ROUND(I153*K153,2)</x:f>
        <x:v>42</x:v>
      </x:c>
      <x:c r="O153" s="4" t="n">
        <x:f>ROUND(M153-N153,2)</x:f>
        <x:v>53.33</x:v>
      </x:c>
      <x:c r="P153" s="6" t="n">
        <x:v>4.2</x:v>
      </x:c>
      <x:c r="Q153" t="str">
        <x:v>No</x:v>
      </x:c>
    </x:row>
    <x:row r="154">
      <x:c r="A154" t="str">
        <x:v>ORD-01600</x:v>
      </x:c>
      <x:c r="B154" s="3" t="n">
        <x:v>45347.81060557871</x:v>
      </x:c>
      <x:c r="C154" t="str">
        <x:v>2024-02</x:v>
      </x:c>
      <x:c r="D154" t="str">
        <x:v>CUS-0210</x:v>
      </x:c>
      <x:c r="E154" t="str">
        <x:v>Wales</x:v>
      </x:c>
      <x:c r="F154" t="str">
        <x:v>Marketplace</x:v>
      </x:c>
      <x:c r="G154" t="str">
        <x:v>Books</x:v>
      </x:c>
      <x:c r="H154" t="str">
        <x:v>Business Intelligence Guide</x:v>
      </x:c>
      <x:c r="I154" t="n">
        <x:v>5</x:v>
      </x:c>
      <x:c r="J154" s="4" t="n">
        <x:v>34.04</x:v>
      </x:c>
      <x:c r="K154" s="4" t="n">
        <x:v>12</x:v>
      </x:c>
      <x:c r="L154" s="5" t="n">
        <x:v>0</x:v>
      </x:c>
      <x:c r="M154" s="4" t="n">
        <x:f>ROUND(I154*J154*(1-L154),2)</x:f>
        <x:v>170.2</x:v>
      </x:c>
      <x:c r="N154" s="4" t="n">
        <x:f>ROUND(I154*K154,2)</x:f>
        <x:v>60</x:v>
      </x:c>
      <x:c r="O154" s="4" t="n">
        <x:f>ROUND(M154-N154,2)</x:f>
        <x:v>110.2</x:v>
      </x:c>
      <x:c r="P154" s="6" t="n">
        <x:v>5</x:v>
      </x:c>
      <x:c r="Q154" t="str">
        <x:v>No</x:v>
      </x:c>
    </x:row>
    <x:row r="155">
      <x:c r="A155" t="str">
        <x:v>ORD-00246</x:v>
      </x:c>
      <x:c r="B155" s="3" t="n">
        <x:v>45347.88051953704</x:v>
      </x:c>
      <x:c r="C155" t="str">
        <x:v>2024-02</x:v>
      </x:c>
      <x:c r="D155" t="str">
        <x:v>CUS-0069</x:v>
      </x:c>
      <x:c r="E155" t="str">
        <x:v>North East</x:v>
      </x:c>
      <x:c r="F155" t="str">
        <x:v>Store</x:v>
      </x:c>
      <x:c r="G155" t="str">
        <x:v>Sports</x:v>
      </x:c>
      <x:c r="H155" t="str">
        <x:v>Running Shoes</x:v>
      </x:c>
      <x:c r="I155" t="n">
        <x:v>5</x:v>
      </x:c>
      <x:c r="J155" s="4" t="n">
        <x:v>80.3</x:v>
      </x:c>
      <x:c r="K155" s="4" t="n">
        <x:v>38</x:v>
      </x:c>
      <x:c r="L155" s="5" t="n">
        <x:v>0</x:v>
      </x:c>
      <x:c r="M155" s="4" t="n">
        <x:f>ROUND(I155*J155*(1-L155),2)</x:f>
        <x:v>401.5</x:v>
      </x:c>
      <x:c r="N155" s="4" t="n">
        <x:f>ROUND(I155*K155,2)</x:f>
        <x:v>190</x:v>
      </x:c>
      <x:c r="O155" s="4" t="n">
        <x:f>ROUND(M155-N155,2)</x:f>
        <x:v>211.5</x:v>
      </x:c>
      <x:c r="P155" s="6" t="n">
        <x:v>3.5</x:v>
      </x:c>
      <x:c r="Q155" t="str">
        <x:v>No</x:v>
      </x:c>
    </x:row>
    <x:row r="156">
      <x:c r="A156" t="str">
        <x:v>ORD-00616</x:v>
      </x:c>
      <x:c r="B156" s="3" t="n">
        <x:v>45348.36142987268</x:v>
      </x:c>
      <x:c r="C156" t="str">
        <x:v>2024-02</x:v>
      </x:c>
      <x:c r="D156" t="str">
        <x:v>CUS-0159</x:v>
      </x:c>
      <x:c r="E156" t="str">
        <x:v>South West</x:v>
      </x:c>
      <x:c r="F156" t="str">
        <x:v>Store</x:v>
      </x:c>
      <x:c r="G156" t="str">
        <x:v>Books</x:v>
      </x:c>
      <x:c r="H156" t="str">
        <x:v>Business Intelligence Guide</x:v>
      </x:c>
      <x:c r="I156" t="n">
        <x:v>1</x:v>
      </x:c>
      <x:c r="J156" s="4" t="n">
        <x:v>34.2</x:v>
      </x:c>
      <x:c r="K156" s="4" t="n">
        <x:v>12</x:v>
      </x:c>
      <x:c r="L156" s="5" t="n">
        <x:v>0.2</x:v>
      </x:c>
      <x:c r="M156" s="4" t="n">
        <x:f>ROUND(I156*J156*(1-L156),2)</x:f>
        <x:v>27.36</x:v>
      </x:c>
      <x:c r="N156" s="4" t="n">
        <x:f>ROUND(I156*K156,2)</x:f>
        <x:v>12</x:v>
      </x:c>
      <x:c r="O156" s="4" t="n">
        <x:f>ROUND(M156-N156,2)</x:f>
        <x:v>15.36</x:v>
      </x:c>
      <x:c r="P156" s="6" t="n">
        <x:v>3.4</x:v>
      </x:c>
      <x:c r="Q156" t="str">
        <x:v>No</x:v>
      </x:c>
    </x:row>
    <x:row r="157">
      <x:c r="A157" t="str">
        <x:v>ORD-00050</x:v>
      </x:c>
      <x:c r="B157" s="3" t="n">
        <x:v>45348.66768275463</x:v>
      </x:c>
      <x:c r="C157" t="str">
        <x:v>2024-02</x:v>
      </x:c>
      <x:c r="D157" t="str">
        <x:v>CUS-0463</x:v>
      </x:c>
      <x:c r="E157" t="str">
        <x:v>London</x:v>
      </x:c>
      <x:c r="F157" t="str">
        <x:v>Marketplace</x:v>
      </x:c>
      <x:c r="G157" t="str">
        <x:v>Home</x:v>
      </x:c>
      <x:c r="H157" t="str">
        <x:v>Air Fryer</x:v>
      </x:c>
      <x:c r="I157" t="n">
        <x:v>2</x:v>
      </x:c>
      <x:c r="J157" s="4" t="n">
        <x:v>125.87</x:v>
      </x:c>
      <x:c r="K157" s="4" t="n">
        <x:v>69</x:v>
      </x:c>
      <x:c r="L157" s="5" t="n">
        <x:v>0.05</x:v>
      </x:c>
      <x:c r="M157" s="4" t="n">
        <x:f>ROUND(I157*J157*(1-L157),2)</x:f>
        <x:v>239.15</x:v>
      </x:c>
      <x:c r="N157" s="4" t="n">
        <x:f>ROUND(I157*K157,2)</x:f>
        <x:v>138</x:v>
      </x:c>
      <x:c r="O157" s="4" t="n">
        <x:f>ROUND(M157-N157,2)</x:f>
        <x:v>101.15</x:v>
      </x:c>
      <x:c r="P157" s="6" t="n">
        <x:v>3.9</x:v>
      </x:c>
      <x:c r="Q157" t="str">
        <x:v>No</x:v>
      </x:c>
    </x:row>
    <x:row r="158">
      <x:c r="A158" t="str">
        <x:v>ORD-01485</x:v>
      </x:c>
      <x:c r="B158" s="3" t="n">
        <x:v>45348.98958511574</x:v>
      </x:c>
      <x:c r="C158" t="str">
        <x:v>2024-02</x:v>
      </x:c>
      <x:c r="D158" t="str">
        <x:v>CUS-0336</x:v>
      </x:c>
      <x:c r="E158" t="str">
        <x:v>North West</x:v>
      </x:c>
      <x:c r="F158" t="str">
        <x:v>Store</x:v>
      </x:c>
      <x:c r="G158" t="str">
        <x:v>Home</x:v>
      </x:c>
      <x:c r="H158" t="str">
        <x:v>Coffee Maker</x:v>
      </x:c>
      <x:c r="I158" t="n">
        <x:v>4</x:v>
      </x:c>
      <x:c r="J158" s="4" t="n">
        <x:v>78.38</x:v>
      </x:c>
      <x:c r="K158" s="4" t="n">
        <x:v>41</x:v>
      </x:c>
      <x:c r="L158" s="5" t="n">
        <x:v>0.15</x:v>
      </x:c>
      <x:c r="M158" s="4" t="n">
        <x:f>ROUND(I158*J158*(1-L158),2)</x:f>
        <x:v>266.49</x:v>
      </x:c>
      <x:c r="N158" s="4" t="n">
        <x:f>ROUND(I158*K158,2)</x:f>
        <x:v>164</x:v>
      </x:c>
      <x:c r="O158" s="4" t="n">
        <x:f>ROUND(M158-N158,2)</x:f>
        <x:v>102.49</x:v>
      </x:c>
      <x:c r="P158" s="6" t="n">
        <x:v>4.8</x:v>
      </x:c>
      <x:c r="Q158" t="str">
        <x:v>No</x:v>
      </x:c>
    </x:row>
    <x:row r="159">
      <x:c r="A159" t="str">
        <x:v>ORD-00341</x:v>
      </x:c>
      <x:c r="B159" s="3" t="n">
        <x:v>45349.18558489584</x:v>
      </x:c>
      <x:c r="C159" t="str">
        <x:v>2024-02</x:v>
      </x:c>
      <x:c r="D159" t="str">
        <x:v>CUS-0405</x:v>
      </x:c>
      <x:c r="E159" t="str">
        <x:v>Midlands</x:v>
      </x:c>
      <x:c r="F159" t="str">
        <x:v>Store</x:v>
      </x:c>
      <x:c r="G159" t="str">
        <x:v>Electronics</x:v>
      </x:c>
      <x:c r="H159" t="str">
        <x:v>Bluetooth Speaker</x:v>
      </x:c>
      <x:c r="I159" t="n">
        <x:v>3</x:v>
      </x:c>
      <x:c r="J159" s="4" t="n">
        <x:v>62.01</x:v>
      </x:c>
      <x:c r="K159" s="4" t="n">
        <x:v>34</x:v>
      </x:c>
      <x:c r="L159" s="5" t="n">
        <x:v>0.05</x:v>
      </x:c>
      <x:c r="M159" s="4" t="n">
        <x:f>ROUND(I159*J159*(1-L159),2)</x:f>
        <x:v>176.73</x:v>
      </x:c>
      <x:c r="N159" s="4" t="n">
        <x:f>ROUND(I159*K159,2)</x:f>
        <x:v>102</x:v>
      </x:c>
      <x:c r="O159" s="4" t="n">
        <x:f>ROUND(M159-N159,2)</x:f>
        <x:v>74.73</x:v>
      </x:c>
      <x:c r="P159" s="6" t="n">
        <x:v>3.9</x:v>
      </x:c>
      <x:c r="Q159" t="str">
        <x:v>No</x:v>
      </x:c>
    </x:row>
    <x:row r="160">
      <x:c r="A160" t="str">
        <x:v>ORD-00165</x:v>
      </x:c>
      <x:c r="B160" s="3" t="n">
        <x:v>45349.37745380787</x:v>
      </x:c>
      <x:c r="C160" t="str">
        <x:v>2024-02</x:v>
      </x:c>
      <x:c r="D160" t="str">
        <x:v>CUS-0522</x:v>
      </x:c>
      <x:c r="E160" t="str">
        <x:v>London</x:v>
      </x:c>
      <x:c r="F160" t="str">
        <x:v>Marketplace</x:v>
      </x:c>
      <x:c r="G160" t="str">
        <x:v>Fashion</x:v>
      </x:c>
      <x:c r="H160" t="str">
        <x:v>Backpack</x:v>
      </x:c>
      <x:c r="I160" t="n">
        <x:v>4</x:v>
      </x:c>
      <x:c r="J160" s="4" t="n">
        <x:v>49.91</x:v>
      </x:c>
      <x:c r="K160" s="4" t="n">
        <x:v>21</x:v>
      </x:c>
      <x:c r="L160" s="5" t="n">
        <x:v>0</x:v>
      </x:c>
      <x:c r="M160" s="4" t="n">
        <x:f>ROUND(I160*J160*(1-L160),2)</x:f>
        <x:v>199.64</x:v>
      </x:c>
      <x:c r="N160" s="4" t="n">
        <x:f>ROUND(I160*K160,2)</x:f>
        <x:v>84</x:v>
      </x:c>
      <x:c r="O160" s="4" t="n">
        <x:f>ROUND(M160-N160,2)</x:f>
        <x:v>115.64</x:v>
      </x:c>
      <x:c r="P160" s="6" t="n">
        <x:v>3.4</x:v>
      </x:c>
      <x:c r="Q160" t="str">
        <x:v>No</x:v>
      </x:c>
    </x:row>
    <x:row r="161">
      <x:c r="A161" t="str">
        <x:v>ORD-01363</x:v>
      </x:c>
      <x:c r="B161" s="3" t="n">
        <x:v>45349.71706497685</x:v>
      </x:c>
      <x:c r="C161" t="str">
        <x:v>2024-02</x:v>
      </x:c>
      <x:c r="D161" t="str">
        <x:v>CUS-0238</x:v>
      </x:c>
      <x:c r="E161" t="str">
        <x:v>Scotland</x:v>
      </x:c>
      <x:c r="F161" t="str">
        <x:v>Store</x:v>
      </x:c>
      <x:c r="G161" t="str">
        <x:v>Electronics</x:v>
      </x:c>
      <x:c r="H161" t="str">
        <x:v>Wireless Headphones</x:v>
      </x:c>
      <x:c r="I161" t="n">
        <x:v>3</x:v>
      </x:c>
      <x:c r="J161" s="4" t="n">
        <x:v>87.11</x:v>
      </x:c>
      <x:c r="K161" s="4" t="n">
        <x:v>48</x:v>
      </x:c>
      <x:c r="L161" s="5" t="n">
        <x:v>0</x:v>
      </x:c>
      <x:c r="M161" s="4" t="n">
        <x:f>ROUND(I161*J161*(1-L161),2)</x:f>
        <x:v>261.33</x:v>
      </x:c>
      <x:c r="N161" s="4" t="n">
        <x:f>ROUND(I161*K161,2)</x:f>
        <x:v>144</x:v>
      </x:c>
      <x:c r="O161" s="4" t="n">
        <x:f>ROUND(M161-N161,2)</x:f>
        <x:v>117.33</x:v>
      </x:c>
      <x:c r="P161" s="6" t="n">
        <x:v>4.5</x:v>
      </x:c>
      <x:c r="Q161" t="str">
        <x:v>No</x:v>
      </x:c>
    </x:row>
    <x:row r="162">
      <x:c r="A162" t="str">
        <x:v>ORD-01477</x:v>
      </x:c>
      <x:c r="B162" s="3" t="n">
        <x:v>45350.009946261576</x:v>
      </x:c>
      <x:c r="C162" t="str">
        <x:v>2024-02</x:v>
      </x:c>
      <x:c r="D162" t="str">
        <x:v>CUS-0204</x:v>
      </x:c>
      <x:c r="E162" t="str">
        <x:v>North West</x:v>
      </x:c>
      <x:c r="F162" t="str">
        <x:v>Online</x:v>
      </x:c>
      <x:c r="G162" t="str">
        <x:v>Beauty</x:v>
      </x:c>
      <x:c r="H162" t="str">
        <x:v>Hair Dryer</x:v>
      </x:c>
      <x:c r="I162" t="n">
        <x:v>4</x:v>
      </x:c>
      <x:c r="J162" s="4" t="n">
        <x:v>61.46</x:v>
      </x:c>
      <x:c r="K162" s="4" t="n">
        <x:v>29</x:v>
      </x:c>
      <x:c r="L162" s="5" t="n">
        <x:v>0</x:v>
      </x:c>
      <x:c r="M162" s="4" t="n">
        <x:f>ROUND(I162*J162*(1-L162),2)</x:f>
        <x:v>245.84</x:v>
      </x:c>
      <x:c r="N162" s="4" t="n">
        <x:f>ROUND(I162*K162,2)</x:f>
        <x:v>116</x:v>
      </x:c>
      <x:c r="O162" s="4" t="n">
        <x:f>ROUND(M162-N162,2)</x:f>
        <x:v>129.84</x:v>
      </x:c>
      <x:c r="P162" s="6" t="n">
        <x:v>4.5</x:v>
      </x:c>
      <x:c r="Q162" t="str">
        <x:v>No</x:v>
      </x:c>
    </x:row>
    <x:row r="163">
      <x:c r="A163" t="str">
        <x:v>ORD-01469</x:v>
      </x:c>
      <x:c r="B163" s="3" t="n">
        <x:v>45350.21942913195</x:v>
      </x:c>
      <x:c r="C163" t="str">
        <x:v>2024-02</x:v>
      </x:c>
      <x:c r="D163" t="str">
        <x:v>CUS-0464</x:v>
      </x:c>
      <x:c r="E163" t="str">
        <x:v>Scotland</x:v>
      </x:c>
      <x:c r="F163" t="str">
        <x:v>Store</x:v>
      </x:c>
      <x:c r="G163" t="str">
        <x:v>Sports</x:v>
      </x:c>
      <x:c r="H163" t="str">
        <x:v>Fitness Tracker</x:v>
      </x:c>
      <x:c r="I163" t="n">
        <x:v>4</x:v>
      </x:c>
      <x:c r="J163" s="4" t="n">
        <x:v>53.72</x:v>
      </x:c>
      <x:c r="K163" s="4" t="n">
        <x:v>27</x:v>
      </x:c>
      <x:c r="L163" s="5" t="n">
        <x:v>0</x:v>
      </x:c>
      <x:c r="M163" s="4" t="n">
        <x:f>ROUND(I163*J163*(1-L163),2)</x:f>
        <x:v>214.88</x:v>
      </x:c>
      <x:c r="N163" s="4" t="n">
        <x:f>ROUND(I163*K163,2)</x:f>
        <x:v>108</x:v>
      </x:c>
      <x:c r="O163" s="4" t="n">
        <x:f>ROUND(M163-N163,2)</x:f>
        <x:v>106.88</x:v>
      </x:c>
      <x:c r="P163" s="6" t="n">
        <x:v>4.5</x:v>
      </x:c>
      <x:c r="Q163" t="str">
        <x:v>No</x:v>
      </x:c>
    </x:row>
    <x:row r="164">
      <x:c r="A164" t="str">
        <x:v>ORD-01563</x:v>
      </x:c>
      <x:c r="B164" s="3" t="n">
        <x:v>45350.462243773145</x:v>
      </x:c>
      <x:c r="C164" t="str">
        <x:v>2024-02</x:v>
      </x:c>
      <x:c r="D164" t="str">
        <x:v>CUS-0605</x:v>
      </x:c>
      <x:c r="E164" t="str">
        <x:v>South West</x:v>
      </x:c>
      <x:c r="F164" t="str">
        <x:v>Online</x:v>
      </x:c>
      <x:c r="G164" t="str">
        <x:v>Electronics</x:v>
      </x:c>
      <x:c r="H164" t="str">
        <x:v>Bluetooth Speaker</x:v>
      </x:c>
      <x:c r="I164" t="n">
        <x:v>3</x:v>
      </x:c>
      <x:c r="J164" s="4" t="n">
        <x:v>68.22</x:v>
      </x:c>
      <x:c r="K164" s="4" t="n">
        <x:v>34</x:v>
      </x:c>
      <x:c r="L164" s="5" t="n">
        <x:v>0</x:v>
      </x:c>
      <x:c r="M164" s="4" t="n">
        <x:f>ROUND(I164*J164*(1-L164),2)</x:f>
        <x:v>204.66</x:v>
      </x:c>
      <x:c r="N164" s="4" t="n">
        <x:f>ROUND(I164*K164,2)</x:f>
        <x:v>102</x:v>
      </x:c>
      <x:c r="O164" s="4" t="n">
        <x:f>ROUND(M164-N164,2)</x:f>
        <x:v>102.66</x:v>
      </x:c>
      <x:c r="P164" s="6" t="n">
        <x:v>3.2</x:v>
      </x:c>
      <x:c r="Q164" t="str">
        <x:v>No</x:v>
      </x:c>
    </x:row>
    <x:row r="165">
      <x:c r="A165" t="str">
        <x:v>ORD-00262</x:v>
      </x:c>
      <x:c r="B165" s="3" t="n">
        <x:v>45350.66943107639</x:v>
      </x:c>
      <x:c r="C165" t="str">
        <x:v>2024-02</x:v>
      </x:c>
      <x:c r="D165" t="str">
        <x:v>CUS-0501</x:v>
      </x:c>
      <x:c r="E165" t="str">
        <x:v>North West</x:v>
      </x:c>
      <x:c r="F165" t="str">
        <x:v>Marketplace</x:v>
      </x:c>
      <x:c r="G165" t="str">
        <x:v>Fashion</x:v>
      </x:c>
      <x:c r="H165" t="str">
        <x:v>Winter Jacket</x:v>
      </x:c>
      <x:c r="I165" t="n">
        <x:v>3</x:v>
      </x:c>
      <x:c r="J165" s="4" t="n">
        <x:v>95.72</x:v>
      </x:c>
      <x:c r="K165" s="4" t="n">
        <x:v>46</x:v>
      </x:c>
      <x:c r="L165" s="5" t="n">
        <x:v>0.2</x:v>
      </x:c>
      <x:c r="M165" s="4" t="n">
        <x:f>ROUND(I165*J165*(1-L165),2)</x:f>
        <x:v>229.73</x:v>
      </x:c>
      <x:c r="N165" s="4" t="n">
        <x:f>ROUND(I165*K165,2)</x:f>
        <x:v>138</x:v>
      </x:c>
      <x:c r="O165" s="4" t="n">
        <x:f>ROUND(M165-N165,2)</x:f>
        <x:v>91.73</x:v>
      </x:c>
      <x:c r="P165" s="6" t="n">
        <x:v>4.6</x:v>
      </x:c>
      <x:c r="Q165" t="str">
        <x:v>No</x:v>
      </x:c>
    </x:row>
    <x:row r="166">
      <x:c r="A166" t="str">
        <x:v>ORD-00997</x:v>
      </x:c>
      <x:c r="B166" s="3" t="n">
        <x:v>45351.078335833336</x:v>
      </x:c>
      <x:c r="C166" t="str">
        <x:v>2024-02</x:v>
      </x:c>
      <x:c r="D166" t="str">
        <x:v>CUS-0520</x:v>
      </x:c>
      <x:c r="E166" t="str">
        <x:v>Scotland</x:v>
      </x:c>
      <x:c r="F166" t="str">
        <x:v>Store</x:v>
      </x:c>
      <x:c r="G166" t="str">
        <x:v>Books</x:v>
      </x:c>
      <x:c r="H166" t="str">
        <x:v>Business Intelligence Guide</x:v>
      </x:c>
      <x:c r="I166" t="n">
        <x:v>3</x:v>
      </x:c>
      <x:c r="J166" s="4" t="n">
        <x:v>34.91</x:v>
      </x:c>
      <x:c r="K166" s="4" t="n">
        <x:v>12</x:v>
      </x:c>
      <x:c r="L166" s="5" t="n">
        <x:v>0.1</x:v>
      </x:c>
      <x:c r="M166" s="4" t="n">
        <x:f>ROUND(I166*J166*(1-L166),2)</x:f>
        <x:v>94.26</x:v>
      </x:c>
      <x:c r="N166" s="4" t="n">
        <x:f>ROUND(I166*K166,2)</x:f>
        <x:v>36</x:v>
      </x:c>
      <x:c r="O166" s="4" t="n">
        <x:f>ROUND(M166-N166,2)</x:f>
        <x:v>58.26</x:v>
      </x:c>
      <x:c r="P166" s="6" t="n">
        <x:v>5</x:v>
      </x:c>
      <x:c r="Q166" t="str">
        <x:v>No</x:v>
      </x:c>
    </x:row>
    <x:row r="167">
      <x:c r="A167" t="str">
        <x:v>ORD-01271</x:v>
      </x:c>
      <x:c r="B167" s="3" t="n">
        <x:v>45351.14698116898</x:v>
      </x:c>
      <x:c r="C167" t="str">
        <x:v>2024-02</x:v>
      </x:c>
      <x:c r="D167" t="str">
        <x:v>CUS-0217</x:v>
      </x:c>
      <x:c r="E167" t="str">
        <x:v>North East</x:v>
      </x:c>
      <x:c r="F167" t="str">
        <x:v>Store</x:v>
      </x:c>
      <x:c r="G167" t="str">
        <x:v>Sports</x:v>
      </x:c>
      <x:c r="H167" t="str">
        <x:v>Yoga Mat</x:v>
      </x:c>
      <x:c r="I167" t="n">
        <x:v>3</x:v>
      </x:c>
      <x:c r="J167" s="4" t="n">
        <x:v>29.98</x:v>
      </x:c>
      <x:c r="K167" s="4" t="n">
        <x:v>12</x:v>
      </x:c>
      <x:c r="L167" s="5" t="n">
        <x:v>0.2</x:v>
      </x:c>
      <x:c r="M167" s="4" t="n">
        <x:f>ROUND(I167*J167*(1-L167),2)</x:f>
        <x:v>71.95</x:v>
      </x:c>
      <x:c r="N167" s="4" t="n">
        <x:f>ROUND(I167*K167,2)</x:f>
        <x:v>36</x:v>
      </x:c>
      <x:c r="O167" s="4" t="n">
        <x:f>ROUND(M167-N167,2)</x:f>
        <x:v>35.95</x:v>
      </x:c>
      <x:c r="P167" s="6" t="n">
        <x:v>4.5</x:v>
      </x:c>
      <x:c r="Q167" t="str">
        <x:v>Yes</x:v>
      </x:c>
    </x:row>
    <x:row r="168">
      <x:c r="A168" t="str">
        <x:v>ORD-00868</x:v>
      </x:c>
      <x:c r="B168" s="3" t="n">
        <x:v>45352.19164920139</x:v>
      </x:c>
      <x:c r="C168" t="str">
        <x:v>2024-03</x:v>
      </x:c>
      <x:c r="D168" t="str">
        <x:v>CUS-0462</x:v>
      </x:c>
      <x:c r="E168" t="str">
        <x:v>Midlands</x:v>
      </x:c>
      <x:c r="F168" t="str">
        <x:v>Store</x:v>
      </x:c>
      <x:c r="G168" t="str">
        <x:v>Sports</x:v>
      </x:c>
      <x:c r="H168" t="str">
        <x:v>Fitness Tracker</x:v>
      </x:c>
      <x:c r="I168" t="n">
        <x:v>1</x:v>
      </x:c>
      <x:c r="J168" s="4" t="n">
        <x:v>52.25</x:v>
      </x:c>
      <x:c r="K168" s="4" t="n">
        <x:v>27</x:v>
      </x:c>
      <x:c r="L168" s="5" t="n">
        <x:v>0.05</x:v>
      </x:c>
      <x:c r="M168" s="4" t="n">
        <x:f>ROUND(I168*J168*(1-L168),2)</x:f>
        <x:v>49.64</x:v>
      </x:c>
      <x:c r="N168" s="4" t="n">
        <x:f>ROUND(I168*K168,2)</x:f>
        <x:v>27</x:v>
      </x:c>
      <x:c r="O168" s="4" t="n">
        <x:f>ROUND(M168-N168,2)</x:f>
        <x:v>22.64</x:v>
      </x:c>
      <x:c r="P168" s="6" t="n">
        <x:v>4.9</x:v>
      </x:c>
      <x:c r="Q168" t="str">
        <x:v>No</x:v>
      </x:c>
    </x:row>
    <x:row r="169">
      <x:c r="A169" t="str">
        <x:v>ORD-01394</x:v>
      </x:c>
      <x:c r="B169" s="3" t="n">
        <x:v>45352.269490405095</x:v>
      </x:c>
      <x:c r="C169" t="str">
        <x:v>2024-03</x:v>
      </x:c>
      <x:c r="D169" t="str">
        <x:v>CUS-0053</x:v>
      </x:c>
      <x:c r="E169" t="str">
        <x:v>North West</x:v>
      </x:c>
      <x:c r="F169" t="str">
        <x:v>Marketplace</x:v>
      </x:c>
      <x:c r="G169" t="str">
        <x:v>Books</x:v>
      </x:c>
      <x:c r="H169" t="str">
        <x:v>Business Intelligence Guide</x:v>
      </x:c>
      <x:c r="I169" t="n">
        <x:v>3</x:v>
      </x:c>
      <x:c r="J169" s="4" t="n">
        <x:v>35.89</x:v>
      </x:c>
      <x:c r="K169" s="4" t="n">
        <x:v>12</x:v>
      </x:c>
      <x:c r="L169" s="5" t="n">
        <x:v>0</x:v>
      </x:c>
      <x:c r="M169" s="4" t="n">
        <x:f>ROUND(I169*J169*(1-L169),2)</x:f>
        <x:v>107.67</x:v>
      </x:c>
      <x:c r="N169" s="4" t="n">
        <x:f>ROUND(I169*K169,2)</x:f>
        <x:v>36</x:v>
      </x:c>
      <x:c r="O169" s="4" t="n">
        <x:f>ROUND(M169-N169,2)</x:f>
        <x:v>71.67</x:v>
      </x:c>
      <x:c r="P169" s="6" t="n">
        <x:v>3.4</x:v>
      </x:c>
      <x:c r="Q169" t="str">
        <x:v>No</x:v>
      </x:c>
    </x:row>
    <x:row r="170">
      <x:c r="A170" t="str">
        <x:v>ORD-01662</x:v>
      </x:c>
      <x:c r="B170" s="3" t="n">
        <x:v>45353.436796319445</x:v>
      </x:c>
      <x:c r="C170" t="str">
        <x:v>2024-03</x:v>
      </x:c>
      <x:c r="D170" t="str">
        <x:v>CUS-0497</x:v>
      </x:c>
      <x:c r="E170" t="str">
        <x:v>Scotland</x:v>
      </x:c>
      <x:c r="F170" t="str">
        <x:v>Online</x:v>
      </x:c>
      <x:c r="G170" t="str">
        <x:v>Fashion</x:v>
      </x:c>
      <x:c r="H170" t="str">
        <x:v>Backpack</x:v>
      </x:c>
      <x:c r="I170" t="n">
        <x:v>4</x:v>
      </x:c>
      <x:c r="J170" s="4" t="n">
        <x:v>48.11</x:v>
      </x:c>
      <x:c r="K170" s="4" t="n">
        <x:v>21</x:v>
      </x:c>
      <x:c r="L170" s="5" t="n">
        <x:v>0.05</x:v>
      </x:c>
      <x:c r="M170" s="4" t="n">
        <x:f>ROUND(I170*J170*(1-L170),2)</x:f>
        <x:v>182.82</x:v>
      </x:c>
      <x:c r="N170" s="4" t="n">
        <x:f>ROUND(I170*K170,2)</x:f>
        <x:v>84</x:v>
      </x:c>
      <x:c r="O170" s="4" t="n">
        <x:f>ROUND(M170-N170,2)</x:f>
        <x:v>98.82</x:v>
      </x:c>
      <x:c r="P170" s="6" t="n">
        <x:v>4.6</x:v>
      </x:c>
      <x:c r="Q170" t="str">
        <x:v>Yes</x:v>
      </x:c>
    </x:row>
    <x:row r="171">
      <x:c r="A171" t="str">
        <x:v>ORD-01562</x:v>
      </x:c>
      <x:c r="B171" s="3" t="n">
        <x:v>45354.02479701389</x:v>
      </x:c>
      <x:c r="C171" t="str">
        <x:v>2024-03</x:v>
      </x:c>
      <x:c r="D171" t="str">
        <x:v>CUS-0364</x:v>
      </x:c>
      <x:c r="E171" t="str">
        <x:v>North East</x:v>
      </x:c>
      <x:c r="F171" t="str">
        <x:v>Online</x:v>
      </x:c>
      <x:c r="G171" t="str">
        <x:v>Sports</x:v>
      </x:c>
      <x:c r="H171" t="str">
        <x:v>Running Shoes</x:v>
      </x:c>
      <x:c r="I171" t="n">
        <x:v>3</x:v>
      </x:c>
      <x:c r="J171" s="4" t="n">
        <x:v>81.48</x:v>
      </x:c>
      <x:c r="K171" s="4" t="n">
        <x:v>38</x:v>
      </x:c>
      <x:c r="L171" s="5" t="n">
        <x:v>0.2</x:v>
      </x:c>
      <x:c r="M171" s="4" t="n">
        <x:f>ROUND(I171*J171*(1-L171),2)</x:f>
        <x:v>195.55</x:v>
      </x:c>
      <x:c r="N171" s="4" t="n">
        <x:f>ROUND(I171*K171,2)</x:f>
        <x:v>114</x:v>
      </x:c>
      <x:c r="O171" s="4" t="n">
        <x:f>ROUND(M171-N171,2)</x:f>
        <x:v>81.55</x:v>
      </x:c>
      <x:c r="P171" s="6" t="n">
        <x:v>4.6</x:v>
      </x:c>
      <x:c r="Q171" t="str">
        <x:v>No</x:v>
      </x:c>
    </x:row>
    <x:row r="172">
      <x:c r="A172" t="str">
        <x:v>ORD-01230</x:v>
      </x:c>
      <x:c r="B172" s="3" t="n">
        <x:v>45354.16938128472</x:v>
      </x:c>
      <x:c r="C172" t="str">
        <x:v>2024-03</x:v>
      </x:c>
      <x:c r="D172" t="str">
        <x:v>CUS-0169</x:v>
      </x:c>
      <x:c r="E172" t="str">
        <x:v>London</x:v>
      </x:c>
      <x:c r="F172" t="str">
        <x:v>Marketplace</x:v>
      </x:c>
      <x:c r="G172" t="str">
        <x:v>Electronics</x:v>
      </x:c>
      <x:c r="H172" t="str">
        <x:v>Smart Watch</x:v>
      </x:c>
      <x:c r="I172" t="n">
        <x:v>5</x:v>
      </x:c>
      <x:c r="J172" s="4" t="n">
        <x:v>154.81</x:v>
      </x:c>
      <x:c r="K172" s="4" t="n">
        <x:v>92</x:v>
      </x:c>
      <x:c r="L172" s="5" t="n">
        <x:v>0.1</x:v>
      </x:c>
      <x:c r="M172" s="4" t="n">
        <x:f>ROUND(I172*J172*(1-L172),2)</x:f>
        <x:v>696.65</x:v>
      </x:c>
      <x:c r="N172" s="4" t="n">
        <x:f>ROUND(I172*K172,2)</x:f>
        <x:v>460</x:v>
      </x:c>
      <x:c r="O172" s="4" t="n">
        <x:f>ROUND(M172-N172,2)</x:f>
        <x:v>236.65</x:v>
      </x:c>
      <x:c r="P172" s="6" t="n">
        <x:v>4.3</x:v>
      </x:c>
      <x:c r="Q172" t="str">
        <x:v>No</x:v>
      </x:c>
    </x:row>
    <x:row r="173">
      <x:c r="A173" t="str">
        <x:v>ORD-00394</x:v>
      </x:c>
      <x:c r="B173" s="3" t="n">
        <x:v>45354.607626655095</x:v>
      </x:c>
      <x:c r="C173" t="str">
        <x:v>2024-03</x:v>
      </x:c>
      <x:c r="D173" t="str">
        <x:v>CUS-0311</x:v>
      </x:c>
      <x:c r="E173" t="str">
        <x:v>Midlands</x:v>
      </x:c>
      <x:c r="F173" t="str">
        <x:v>Online</x:v>
      </x:c>
      <x:c r="G173" t="str">
        <x:v>Home</x:v>
      </x:c>
      <x:c r="H173" t="str">
        <x:v>Desk Lamp</x:v>
      </x:c>
      <x:c r="I173" t="n">
        <x:v>4</x:v>
      </x:c>
      <x:c r="J173" s="4" t="n">
        <x:v>33.46</x:v>
      </x:c>
      <x:c r="K173" s="4" t="n">
        <x:v>17</x:v>
      </x:c>
      <x:c r="L173" s="5" t="n">
        <x:v>0.2</x:v>
      </x:c>
      <x:c r="M173" s="4" t="n">
        <x:f>ROUND(I173*J173*(1-L173),2)</x:f>
        <x:v>107.07</x:v>
      </x:c>
      <x:c r="N173" s="4" t="n">
        <x:f>ROUND(I173*K173,2)</x:f>
        <x:v>68</x:v>
      </x:c>
      <x:c r="O173" s="4" t="n">
        <x:f>ROUND(M173-N173,2)</x:f>
        <x:v>39.07</x:v>
      </x:c>
      <x:c r="P173" s="6" t="n">
        <x:v>3.5</x:v>
      </x:c>
      <x:c r="Q173" t="str">
        <x:v>Yes</x:v>
      </x:c>
    </x:row>
    <x:row r="174">
      <x:c r="A174" t="str">
        <x:v>ORD-01544</x:v>
      </x:c>
      <x:c r="B174" s="3" t="n">
        <x:v>45354.66445729167</x:v>
      </x:c>
      <x:c r="C174" t="str">
        <x:v>2024-03</x:v>
      </x:c>
      <x:c r="D174" t="str">
        <x:v>CUS-0476</x:v>
      </x:c>
      <x:c r="E174" t="str">
        <x:v>Wales</x:v>
      </x:c>
      <x:c r="F174" t="str">
        <x:v>Online</x:v>
      </x:c>
      <x:c r="G174" t="str">
        <x:v>Books</x:v>
      </x:c>
      <x:c r="H174" t="str">
        <x:v>Data Analytics Handbook</x:v>
      </x:c>
      <x:c r="I174" t="n">
        <x:v>4</x:v>
      </x:c>
      <x:c r="J174" s="4" t="n">
        <x:v>38</x:v>
      </x:c>
      <x:c r="K174" s="4" t="n">
        <x:v>14</x:v>
      </x:c>
      <x:c r="L174" s="5" t="n">
        <x:v>0.1</x:v>
      </x:c>
      <x:c r="M174" s="4" t="n">
        <x:f>ROUND(I174*J174*(1-L174),2)</x:f>
        <x:v>136.8</x:v>
      </x:c>
      <x:c r="N174" s="4" t="n">
        <x:f>ROUND(I174*K174,2)</x:f>
        <x:v>56</x:v>
      </x:c>
      <x:c r="O174" s="4" t="n">
        <x:f>ROUND(M174-N174,2)</x:f>
        <x:v>80.8</x:v>
      </x:c>
      <x:c r="P174" s="6" t="n">
        <x:v>4.2</x:v>
      </x:c>
      <x:c r="Q174" t="str">
        <x:v>No</x:v>
      </x:c>
    </x:row>
    <x:row r="175">
      <x:c r="A175" t="str">
        <x:v>ORD-01532</x:v>
      </x:c>
      <x:c r="B175" s="3" t="n">
        <x:v>45354.75795918982</x:v>
      </x:c>
      <x:c r="C175" t="str">
        <x:v>2024-03</x:v>
      </x:c>
      <x:c r="D175" t="str">
        <x:v>CUS-0534</x:v>
      </x:c>
      <x:c r="E175" t="str">
        <x:v>Scotland</x:v>
      </x:c>
      <x:c r="F175" t="str">
        <x:v>Marketplace</x:v>
      </x:c>
      <x:c r="G175" t="str">
        <x:v>Electronics</x:v>
      </x:c>
      <x:c r="H175" t="str">
        <x:v>Bluetooth Speaker</x:v>
      </x:c>
      <x:c r="I175" t="n">
        <x:v>4</x:v>
      </x:c>
      <x:c r="J175" s="4" t="n">
        <x:v>64.64</x:v>
      </x:c>
      <x:c r="K175" s="4" t="n">
        <x:v>34</x:v>
      </x:c>
      <x:c r="L175" s="5" t="n">
        <x:v>0</x:v>
      </x:c>
      <x:c r="M175" s="4" t="n">
        <x:f>ROUND(I175*J175*(1-L175),2)</x:f>
        <x:v>258.56</x:v>
      </x:c>
      <x:c r="N175" s="4" t="n">
        <x:f>ROUND(I175*K175,2)</x:f>
        <x:v>136</x:v>
      </x:c>
      <x:c r="O175" s="4" t="n">
        <x:f>ROUND(M175-N175,2)</x:f>
        <x:v>122.56</x:v>
      </x:c>
      <x:c r="P175" s="6" t="n">
        <x:v>5</x:v>
      </x:c>
      <x:c r="Q175" t="str">
        <x:v>No</x:v>
      </x:c>
    </x:row>
    <x:row r="176">
      <x:c r="A176" t="str">
        <x:v>ORD-01113</x:v>
      </x:c>
      <x:c r="B176" s="3" t="n">
        <x:v>45355.14100118056</x:v>
      </x:c>
      <x:c r="C176" t="str">
        <x:v>2024-03</x:v>
      </x:c>
      <x:c r="D176" t="str">
        <x:v>CUS-0355</x:v>
      </x:c>
      <x:c r="E176" t="str">
        <x:v>Midlands</x:v>
      </x:c>
      <x:c r="F176" t="str">
        <x:v>Store</x:v>
      </x:c>
      <x:c r="G176" t="str">
        <x:v>Sports</x:v>
      </x:c>
      <x:c r="H176" t="str">
        <x:v>Fitness Tracker</x:v>
      </x:c>
      <x:c r="I176" t="n">
        <x:v>4</x:v>
      </x:c>
      <x:c r="J176" s="4" t="n">
        <x:v>56.57</x:v>
      </x:c>
      <x:c r="K176" s="4" t="n">
        <x:v>27</x:v>
      </x:c>
      <x:c r="L176" s="5" t="n">
        <x:v>0</x:v>
      </x:c>
      <x:c r="M176" s="4" t="n">
        <x:f>ROUND(I176*J176*(1-L176),2)</x:f>
        <x:v>226.28</x:v>
      </x:c>
      <x:c r="N176" s="4" t="n">
        <x:f>ROUND(I176*K176,2)</x:f>
        <x:v>108</x:v>
      </x:c>
      <x:c r="O176" s="4" t="n">
        <x:f>ROUND(M176-N176,2)</x:f>
        <x:v>118.28</x:v>
      </x:c>
      <x:c r="P176" s="6" t="n">
        <x:v>5</x:v>
      </x:c>
      <x:c r="Q176" t="str">
        <x:v>Yes</x:v>
      </x:c>
    </x:row>
    <x:row r="177">
      <x:c r="A177" t="str">
        <x:v>ORD-00637</x:v>
      </x:c>
      <x:c r="B177" s="3" t="n">
        <x:v>45357.135891018515</x:v>
      </x:c>
      <x:c r="C177" t="str">
        <x:v>2024-03</x:v>
      </x:c>
      <x:c r="D177" t="str">
        <x:v>CUS-0264</x:v>
      </x:c>
      <x:c r="E177" t="str">
        <x:v>Midlands</x:v>
      </x:c>
      <x:c r="F177" t="str">
        <x:v>Store</x:v>
      </x:c>
      <x:c r="G177" t="str">
        <x:v>Home</x:v>
      </x:c>
      <x:c r="H177" t="str">
        <x:v>Coffee Maker</x:v>
      </x:c>
      <x:c r="I177" t="n">
        <x:v>5</x:v>
      </x:c>
      <x:c r="J177" s="4" t="n">
        <x:v>76.4</x:v>
      </x:c>
      <x:c r="K177" s="4" t="n">
        <x:v>41</x:v>
      </x:c>
      <x:c r="L177" s="5" t="n">
        <x:v>0</x:v>
      </x:c>
      <x:c r="M177" s="4" t="n">
        <x:f>ROUND(I177*J177*(1-L177),2)</x:f>
        <x:v>382</x:v>
      </x:c>
      <x:c r="N177" s="4" t="n">
        <x:f>ROUND(I177*K177,2)</x:f>
        <x:v>205</x:v>
      </x:c>
      <x:c r="O177" s="4" t="n">
        <x:f>ROUND(M177-N177,2)</x:f>
        <x:v>177</x:v>
      </x:c>
      <x:c r="P177" s="6" t="n">
        <x:v>3.3</x:v>
      </x:c>
      <x:c r="Q177" t="str">
        <x:v>No</x:v>
      </x:c>
    </x:row>
    <x:row r="178">
      <x:c r="A178" t="str">
        <x:v>ORD-00108</x:v>
      </x:c>
      <x:c r="B178" s="3" t="n">
        <x:v>45357.17540310185</x:v>
      </x:c>
      <x:c r="C178" t="str">
        <x:v>2024-03</x:v>
      </x:c>
      <x:c r="D178" t="str">
        <x:v>CUS-0375</x:v>
      </x:c>
      <x:c r="E178" t="str">
        <x:v>London</x:v>
      </x:c>
      <x:c r="F178" t="str">
        <x:v>Store</x:v>
      </x:c>
      <x:c r="G178" t="str">
        <x:v>Home</x:v>
      </x:c>
      <x:c r="H178" t="str">
        <x:v>Desk Lamp</x:v>
      </x:c>
      <x:c r="I178" t="n">
        <x:v>5</x:v>
      </x:c>
      <x:c r="J178" s="4" t="n">
        <x:v>36.33</x:v>
      </x:c>
      <x:c r="K178" s="4" t="n">
        <x:v>17</x:v>
      </x:c>
      <x:c r="L178" s="5" t="n">
        <x:v>0.05</x:v>
      </x:c>
      <x:c r="M178" s="4" t="n">
        <x:f>ROUND(I178*J178*(1-L178),2)</x:f>
        <x:v>172.57</x:v>
      </x:c>
      <x:c r="N178" s="4" t="n">
        <x:f>ROUND(I178*K178,2)</x:f>
        <x:v>85</x:v>
      </x:c>
      <x:c r="O178" s="4" t="n">
        <x:f>ROUND(M178-N178,2)</x:f>
        <x:v>87.57</x:v>
      </x:c>
      <x:c r="P178" s="6" t="n">
        <x:v>4.1</x:v>
      </x:c>
      <x:c r="Q178" t="str">
        <x:v>No</x:v>
      </x:c>
    </x:row>
    <x:row r="179">
      <x:c r="A179" t="str">
        <x:v>ORD-01539</x:v>
      </x:c>
      <x:c r="B179" s="3" t="n">
        <x:v>45357.67757724537</x:v>
      </x:c>
      <x:c r="C179" t="str">
        <x:v>2024-03</x:v>
      </x:c>
      <x:c r="D179" t="str">
        <x:v>CUS-0043</x:v>
      </x:c>
      <x:c r="E179" t="str">
        <x:v>North East</x:v>
      </x:c>
      <x:c r="F179" t="str">
        <x:v>Marketplace</x:v>
      </x:c>
      <x:c r="G179" t="str">
        <x:v>Home</x:v>
      </x:c>
      <x:c r="H179" t="str">
        <x:v>Desk Lamp</x:v>
      </x:c>
      <x:c r="I179" t="n">
        <x:v>4</x:v>
      </x:c>
      <x:c r="J179" s="4" t="n">
        <x:v>35.29</x:v>
      </x:c>
      <x:c r="K179" s="4" t="n">
        <x:v>17</x:v>
      </x:c>
      <x:c r="L179" s="5" t="n">
        <x:v>0</x:v>
      </x:c>
      <x:c r="M179" s="4" t="n">
        <x:f>ROUND(I179*J179*(1-L179),2)</x:f>
        <x:v>141.16</x:v>
      </x:c>
      <x:c r="N179" s="4" t="n">
        <x:f>ROUND(I179*K179,2)</x:f>
        <x:v>68</x:v>
      </x:c>
      <x:c r="O179" s="4" t="n">
        <x:f>ROUND(M179-N179,2)</x:f>
        <x:v>73.16</x:v>
      </x:c>
      <x:c r="P179" s="6" t="n">
        <x:v>3.9</x:v>
      </x:c>
      <x:c r="Q179" t="str">
        <x:v>Yes</x:v>
      </x:c>
    </x:row>
    <x:row r="180">
      <x:c r="A180" t="str">
        <x:v>ORD-00358</x:v>
      </x:c>
      <x:c r="B180" s="3" t="n">
        <x:v>45357.70717008102</x:v>
      </x:c>
      <x:c r="C180" t="str">
        <x:v>2024-03</x:v>
      </x:c>
      <x:c r="D180" t="str">
        <x:v>CUS-0575</x:v>
      </x:c>
      <x:c r="E180" t="str">
        <x:v>South East</x:v>
      </x:c>
      <x:c r="F180" t="str">
        <x:v>Online</x:v>
      </x:c>
      <x:c r="G180" t="str">
        <x:v>Beauty</x:v>
      </x:c>
      <x:c r="H180" t="str">
        <x:v>Hair Dryer</x:v>
      </x:c>
      <x:c r="I180" t="n">
        <x:v>1</x:v>
      </x:c>
      <x:c r="J180" s="4" t="n">
        <x:v>60.03</x:v>
      </x:c>
      <x:c r="K180" s="4" t="n">
        <x:v>29</x:v>
      </x:c>
      <x:c r="L180" s="5" t="n">
        <x:v>0.15</x:v>
      </x:c>
      <x:c r="M180" s="4" t="n">
        <x:f>ROUND(I180*J180*(1-L180),2)</x:f>
        <x:v>51.03</x:v>
      </x:c>
      <x:c r="N180" s="4" t="n">
        <x:f>ROUND(I180*K180,2)</x:f>
        <x:v>29</x:v>
      </x:c>
      <x:c r="O180" s="4" t="n">
        <x:f>ROUND(M180-N180,2)</x:f>
        <x:v>22.03</x:v>
      </x:c>
      <x:c r="P180" s="6" t="n">
        <x:v>4.8</x:v>
      </x:c>
      <x:c r="Q180" t="str">
        <x:v>No</x:v>
      </x:c>
    </x:row>
    <x:row r="181">
      <x:c r="A181" t="str">
        <x:v>ORD-00167</x:v>
      </x:c>
      <x:c r="B181" s="3" t="n">
        <x:v>45357.929640092596</x:v>
      </x:c>
      <x:c r="C181" t="str">
        <x:v>2024-03</x:v>
      </x:c>
      <x:c r="D181" t="str">
        <x:v>CUS-0549</x:v>
      </x:c>
      <x:c r="E181" t="str">
        <x:v>South West</x:v>
      </x:c>
      <x:c r="F181" t="str">
        <x:v>Store</x:v>
      </x:c>
      <x:c r="G181" t="str">
        <x:v>Electronics</x:v>
      </x:c>
      <x:c r="H181" t="str">
        <x:v>Smart Watch</x:v>
      </x:c>
      <x:c r="I181" t="n">
        <x:v>5</x:v>
      </x:c>
      <x:c r="J181" s="4" t="n">
        <x:v>159.19</x:v>
      </x:c>
      <x:c r="K181" s="4" t="n">
        <x:v>92</x:v>
      </x:c>
      <x:c r="L181" s="5" t="n">
        <x:v>0.1</x:v>
      </x:c>
      <x:c r="M181" s="4" t="n">
        <x:f>ROUND(I181*J181*(1-L181),2)</x:f>
        <x:v>716.36</x:v>
      </x:c>
      <x:c r="N181" s="4" t="n">
        <x:f>ROUND(I181*K181,2)</x:f>
        <x:v>460</x:v>
      </x:c>
      <x:c r="O181" s="4" t="n">
        <x:f>ROUND(M181-N181,2)</x:f>
        <x:v>256.36</x:v>
      </x:c>
      <x:c r="P181" s="6" t="n">
        <x:v>4.2</x:v>
      </x:c>
      <x:c r="Q181" t="str">
        <x:v>No</x:v>
      </x:c>
    </x:row>
    <x:row r="182">
      <x:c r="A182" t="str">
        <x:v>ORD-00408</x:v>
      </x:c>
      <x:c r="B182" s="3" t="n">
        <x:v>45357.990168854165</x:v>
      </x:c>
      <x:c r="C182" t="str">
        <x:v>2024-03</x:v>
      </x:c>
      <x:c r="D182" t="str">
        <x:v>CUS-0406</x:v>
      </x:c>
      <x:c r="E182" t="str">
        <x:v>Scotland</x:v>
      </x:c>
      <x:c r="F182" t="str">
        <x:v>Online</x:v>
      </x:c>
      <x:c r="G182" t="str">
        <x:v>Electronics</x:v>
      </x:c>
      <x:c r="H182" t="str">
        <x:v>Smart Watch</x:v>
      </x:c>
      <x:c r="I182" t="n">
        <x:v>3</x:v>
      </x:c>
      <x:c r="J182" s="4" t="n">
        <x:v>164.67</x:v>
      </x:c>
      <x:c r="K182" s="4" t="n">
        <x:v>92</x:v>
      </x:c>
      <x:c r="L182" s="5" t="n">
        <x:v>0</x:v>
      </x:c>
      <x:c r="M182" s="4" t="n">
        <x:f>ROUND(I182*J182*(1-L182),2)</x:f>
        <x:v>494.01</x:v>
      </x:c>
      <x:c r="N182" s="4" t="n">
        <x:f>ROUND(I182*K182,2)</x:f>
        <x:v>276</x:v>
      </x:c>
      <x:c r="O182" s="4" t="n">
        <x:f>ROUND(M182-N182,2)</x:f>
        <x:v>218.01</x:v>
      </x:c>
      <x:c r="P182" s="6" t="n">
        <x:v>4.7</x:v>
      </x:c>
      <x:c r="Q182" t="str">
        <x:v>No</x:v>
      </x:c>
    </x:row>
    <x:row r="183">
      <x:c r="A183" t="str">
        <x:v>ORD-01022</x:v>
      </x:c>
      <x:c r="B183" s="3" t="n">
        <x:v>45358.148340231484</x:v>
      </x:c>
      <x:c r="C183" t="str">
        <x:v>2024-03</x:v>
      </x:c>
      <x:c r="D183" t="str">
        <x:v>CUS-0273</x:v>
      </x:c>
      <x:c r="E183" t="str">
        <x:v>South East</x:v>
      </x:c>
      <x:c r="F183" t="str">
        <x:v>Store</x:v>
      </x:c>
      <x:c r="G183" t="str">
        <x:v>Beauty</x:v>
      </x:c>
      <x:c r="H183" t="str">
        <x:v>Skin Care Set</x:v>
      </x:c>
      <x:c r="I183" t="n">
        <x:v>4</x:v>
      </x:c>
      <x:c r="J183" s="4" t="n">
        <x:v>44.41</x:v>
      </x:c>
      <x:c r="K183" s="4" t="n">
        <x:v>18</x:v>
      </x:c>
      <x:c r="L183" s="5" t="n">
        <x:v>0.05</x:v>
      </x:c>
      <x:c r="M183" s="4" t="n">
        <x:f>ROUND(I183*J183*(1-L183),2)</x:f>
        <x:v>168.76</x:v>
      </x:c>
      <x:c r="N183" s="4" t="n">
        <x:f>ROUND(I183*K183,2)</x:f>
        <x:v>72</x:v>
      </x:c>
      <x:c r="O183" s="4" t="n">
        <x:f>ROUND(M183-N183,2)</x:f>
        <x:v>96.76</x:v>
      </x:c>
      <x:c r="P183" s="6" t="n">
        <x:v>5</x:v>
      </x:c>
      <x:c r="Q183" t="str">
        <x:v>No</x:v>
      </x:c>
    </x:row>
    <x:row r="184">
      <x:c r="A184" t="str">
        <x:v>ORD-01419</x:v>
      </x:c>
      <x:c r="B184" s="3" t="n">
        <x:v>45358.38453128472</x:v>
      </x:c>
      <x:c r="C184" t="str">
        <x:v>2024-03</x:v>
      </x:c>
      <x:c r="D184" t="str">
        <x:v>CUS-0097</x:v>
      </x:c>
      <x:c r="E184" t="str">
        <x:v>Wales</x:v>
      </x:c>
      <x:c r="F184" t="str">
        <x:v>Store</x:v>
      </x:c>
      <x:c r="G184" t="str">
        <x:v>Home</x:v>
      </x:c>
      <x:c r="H184" t="str">
        <x:v>Desk Lamp</x:v>
      </x:c>
      <x:c r="I184" t="n">
        <x:v>4</x:v>
      </x:c>
      <x:c r="J184" s="4" t="n">
        <x:v>35.24</x:v>
      </x:c>
      <x:c r="K184" s="4" t="n">
        <x:v>17</x:v>
      </x:c>
      <x:c r="L184" s="5" t="n">
        <x:v>0</x:v>
      </x:c>
      <x:c r="M184" s="4" t="n">
        <x:f>ROUND(I184*J184*(1-L184),2)</x:f>
        <x:v>140.96</x:v>
      </x:c>
      <x:c r="N184" s="4" t="n">
        <x:f>ROUND(I184*K184,2)</x:f>
        <x:v>68</x:v>
      </x:c>
      <x:c r="O184" s="4" t="n">
        <x:f>ROUND(M184-N184,2)</x:f>
        <x:v>72.96</x:v>
      </x:c>
      <x:c r="P184" s="6" t="n">
        <x:v>3.4</x:v>
      </x:c>
      <x:c r="Q184" t="str">
        <x:v>No</x:v>
      </x:c>
    </x:row>
    <x:row r="185">
      <x:c r="A185" t="str">
        <x:v>ORD-00464</x:v>
      </x:c>
      <x:c r="B185" s="3" t="n">
        <x:v>45358.72574795139</x:v>
      </x:c>
      <x:c r="C185" t="str">
        <x:v>2024-03</x:v>
      </x:c>
      <x:c r="D185" t="str">
        <x:v>CUS-0170</x:v>
      </x:c>
      <x:c r="E185" t="str">
        <x:v>Midlands</x:v>
      </x:c>
      <x:c r="F185" t="str">
        <x:v>Store</x:v>
      </x:c>
      <x:c r="G185" t="str">
        <x:v>Home</x:v>
      </x:c>
      <x:c r="H185" t="str">
        <x:v>Desk Lamp</x:v>
      </x:c>
      <x:c r="I185" t="n">
        <x:v>3</x:v>
      </x:c>
      <x:c r="J185" s="4" t="n">
        <x:v>36.48</x:v>
      </x:c>
      <x:c r="K185" s="4" t="n">
        <x:v>17</x:v>
      </x:c>
      <x:c r="L185" s="5" t="n">
        <x:v>0</x:v>
      </x:c>
      <x:c r="M185" s="4" t="n">
        <x:f>ROUND(I185*J185*(1-L185),2)</x:f>
        <x:v>109.44</x:v>
      </x:c>
      <x:c r="N185" s="4" t="n">
        <x:f>ROUND(I185*K185,2)</x:f>
        <x:v>51</x:v>
      </x:c>
      <x:c r="O185" s="4" t="n">
        <x:f>ROUND(M185-N185,2)</x:f>
        <x:v>58.44</x:v>
      </x:c>
      <x:c r="P185" s="6" t="n">
        <x:v>3.4</x:v>
      </x:c>
      <x:c r="Q185" t="str">
        <x:v>No</x:v>
      </x:c>
    </x:row>
    <x:row r="186">
      <x:c r="A186" t="str">
        <x:v>ORD-01708</x:v>
      </x:c>
      <x:c r="B186" s="3" t="n">
        <x:v>45359.020481875</x:v>
      </x:c>
      <x:c r="C186" t="str">
        <x:v>2024-03</x:v>
      </x:c>
      <x:c r="D186" t="str">
        <x:v>CUS-0324</x:v>
      </x:c>
      <x:c r="E186" t="str">
        <x:v>South East</x:v>
      </x:c>
      <x:c r="F186" t="str">
        <x:v>Online</x:v>
      </x:c>
      <x:c r="G186" t="str">
        <x:v>Sports</x:v>
      </x:c>
      <x:c r="H186" t="str">
        <x:v>Running Shoes</x:v>
      </x:c>
      <x:c r="I186" t="n">
        <x:v>2</x:v>
      </x:c>
      <x:c r="J186" s="4" t="n">
        <x:v>83.74</x:v>
      </x:c>
      <x:c r="K186" s="4" t="n">
        <x:v>38</x:v>
      </x:c>
      <x:c r="L186" s="5" t="n">
        <x:v>0.1</x:v>
      </x:c>
      <x:c r="M186" s="4" t="n">
        <x:f>ROUND(I186*J186*(1-L186),2)</x:f>
        <x:v>150.73</x:v>
      </x:c>
      <x:c r="N186" s="4" t="n">
        <x:f>ROUND(I186*K186,2)</x:f>
        <x:v>76</x:v>
      </x:c>
      <x:c r="O186" s="4" t="n">
        <x:f>ROUND(M186-N186,2)</x:f>
        <x:v>74.73</x:v>
      </x:c>
      <x:c r="P186" s="6" t="n">
        <x:v>4.4</x:v>
      </x:c>
      <x:c r="Q186" t="str">
        <x:v>No</x:v>
      </x:c>
    </x:row>
    <x:row r="187">
      <x:c r="A187" t="str">
        <x:v>ORD-01367</x:v>
      </x:c>
      <x:c r="B187" s="3" t="n">
        <x:v>45359.220204247686</x:v>
      </x:c>
      <x:c r="C187" t="str">
        <x:v>2024-03</x:v>
      </x:c>
      <x:c r="D187" t="str">
        <x:v>CUS-0129</x:v>
      </x:c>
      <x:c r="E187" t="str">
        <x:v>London</x:v>
      </x:c>
      <x:c r="F187" t="str">
        <x:v>Online</x:v>
      </x:c>
      <x:c r="G187" t="str">
        <x:v>Beauty</x:v>
      </x:c>
      <x:c r="H187" t="str">
        <x:v>Skin Care Set</x:v>
      </x:c>
      <x:c r="I187" t="n">
        <x:v>3</x:v>
      </x:c>
      <x:c r="J187" s="4" t="n">
        <x:v>46.29</x:v>
      </x:c>
      <x:c r="K187" s="4" t="n">
        <x:v>18</x:v>
      </x:c>
      <x:c r="L187" s="5" t="n">
        <x:v>0.15</x:v>
      </x:c>
      <x:c r="M187" s="4" t="n">
        <x:f>ROUND(I187*J187*(1-L187),2)</x:f>
        <x:v>118.04</x:v>
      </x:c>
      <x:c r="N187" s="4" t="n">
        <x:f>ROUND(I187*K187,2)</x:f>
        <x:v>54</x:v>
      </x:c>
      <x:c r="O187" s="4" t="n">
        <x:f>ROUND(M187-N187,2)</x:f>
        <x:v>64.04</x:v>
      </x:c>
      <x:c r="P187" s="6" t="n">
        <x:v>3.4</x:v>
      </x:c>
      <x:c r="Q187" t="str">
        <x:v>No</x:v>
      </x:c>
    </x:row>
    <x:row r="188">
      <x:c r="A188" t="str">
        <x:v>ORD-01487</x:v>
      </x:c>
      <x:c r="B188" s="3" t="n">
        <x:v>45359.37312231481</x:v>
      </x:c>
      <x:c r="C188" t="str">
        <x:v>2024-03</x:v>
      </x:c>
      <x:c r="D188" t="str">
        <x:v>CUS-0312</x:v>
      </x:c>
      <x:c r="E188" t="str">
        <x:v>South East</x:v>
      </x:c>
      <x:c r="F188" t="str">
        <x:v>Online</x:v>
      </x:c>
      <x:c r="G188" t="str">
        <x:v>Sports</x:v>
      </x:c>
      <x:c r="H188" t="str">
        <x:v>Yoga Mat</x:v>
      </x:c>
      <x:c r="I188" t="n">
        <x:v>2</x:v>
      </x:c>
      <x:c r="J188" s="4" t="n">
        <x:v>29.29</x:v>
      </x:c>
      <x:c r="K188" s="4" t="n">
        <x:v>12</x:v>
      </x:c>
      <x:c r="L188" s="5" t="n">
        <x:v>0</x:v>
      </x:c>
      <x:c r="M188" s="4" t="n">
        <x:f>ROUND(I188*J188*(1-L188),2)</x:f>
        <x:v>58.58</x:v>
      </x:c>
      <x:c r="N188" s="4" t="n">
        <x:f>ROUND(I188*K188,2)</x:f>
        <x:v>24</x:v>
      </x:c>
      <x:c r="O188" s="4" t="n">
        <x:f>ROUND(M188-N188,2)</x:f>
        <x:v>34.58</x:v>
      </x:c>
      <x:c r="P188" s="6" t="n">
        <x:v>3.4</x:v>
      </x:c>
      <x:c r="Q188" t="str">
        <x:v>No</x:v>
      </x:c>
    </x:row>
    <x:row r="189">
      <x:c r="A189" t="str">
        <x:v>ORD-00414</x:v>
      </x:c>
      <x:c r="B189" s="3" t="n">
        <x:v>45359.81200913194</x:v>
      </x:c>
      <x:c r="C189" t="str">
        <x:v>2024-03</x:v>
      </x:c>
      <x:c r="D189" t="str">
        <x:v>CUS-0288</x:v>
      </x:c>
      <x:c r="E189" t="str">
        <x:v>Scotland</x:v>
      </x:c>
      <x:c r="F189" t="str">
        <x:v>Online</x:v>
      </x:c>
      <x:c r="G189" t="str">
        <x:v>Home</x:v>
      </x:c>
      <x:c r="H189" t="str">
        <x:v>Coffee Maker</x:v>
      </x:c>
      <x:c r="I189" t="n">
        <x:v>3</x:v>
      </x:c>
      <x:c r="J189" s="4" t="n">
        <x:v>77.63</x:v>
      </x:c>
      <x:c r="K189" s="4" t="n">
        <x:v>41</x:v>
      </x:c>
      <x:c r="L189" s="5" t="n">
        <x:v>0.05</x:v>
      </x:c>
      <x:c r="M189" s="4" t="n">
        <x:f>ROUND(I189*J189*(1-L189),2)</x:f>
        <x:v>221.25</x:v>
      </x:c>
      <x:c r="N189" s="4" t="n">
        <x:f>ROUND(I189*K189,2)</x:f>
        <x:v>123</x:v>
      </x:c>
      <x:c r="O189" s="4" t="n">
        <x:f>ROUND(M189-N189,2)</x:f>
        <x:v>98.25</x:v>
      </x:c>
      <x:c r="P189" s="6" t="n">
        <x:v>5</x:v>
      </x:c>
      <x:c r="Q189" t="str">
        <x:v>No</x:v>
      </x:c>
    </x:row>
    <x:row r="190">
      <x:c r="A190" t="str">
        <x:v>ORD-01753</x:v>
      </x:c>
      <x:c r="B190" s="3" t="n">
        <x:v>45360.84678037037</x:v>
      </x:c>
      <x:c r="C190" t="str">
        <x:v>2024-03</x:v>
      </x:c>
      <x:c r="D190" t="str">
        <x:v>CUS-0270</x:v>
      </x:c>
      <x:c r="E190" t="str">
        <x:v>Midlands</x:v>
      </x:c>
      <x:c r="F190" t="str">
        <x:v>Marketplace</x:v>
      </x:c>
      <x:c r="G190" t="str">
        <x:v>Fashion</x:v>
      </x:c>
      <x:c r="H190" t="str">
        <x:v>Backpack</x:v>
      </x:c>
      <x:c r="I190" t="n">
        <x:v>3</x:v>
      </x:c>
      <x:c r="J190" s="4" t="n">
        <x:v>52.32</x:v>
      </x:c>
      <x:c r="K190" s="4" t="n">
        <x:v>21</x:v>
      </x:c>
      <x:c r="L190" s="5" t="n">
        <x:v>0.15</x:v>
      </x:c>
      <x:c r="M190" s="4" t="n">
        <x:f>ROUND(I190*J190*(1-L190),2)</x:f>
        <x:v>133.42</x:v>
      </x:c>
      <x:c r="N190" s="4" t="n">
        <x:f>ROUND(I190*K190,2)</x:f>
        <x:v>63</x:v>
      </x:c>
      <x:c r="O190" s="4" t="n">
        <x:f>ROUND(M190-N190,2)</x:f>
        <x:v>70.42</x:v>
      </x:c>
      <x:c r="P190" s="6" t="n">
        <x:v>3.6</x:v>
      </x:c>
      <x:c r="Q190" t="str">
        <x:v>No</x:v>
      </x:c>
    </x:row>
    <x:row r="191">
      <x:c r="A191" t="str">
        <x:v>ORD-01596</x:v>
      </x:c>
      <x:c r="B191" s="3" t="n">
        <x:v>45362.42816888889</x:v>
      </x:c>
      <x:c r="C191" t="str">
        <x:v>2024-03</x:v>
      </x:c>
      <x:c r="D191" t="str">
        <x:v>CUS-0182</x:v>
      </x:c>
      <x:c r="E191" t="str">
        <x:v>Wales</x:v>
      </x:c>
      <x:c r="F191" t="str">
        <x:v>Store</x:v>
      </x:c>
      <x:c r="G191" t="str">
        <x:v>Sports</x:v>
      </x:c>
      <x:c r="H191" t="str">
        <x:v>Fitness Tracker</x:v>
      </x:c>
      <x:c r="I191" t="n">
        <x:v>4</x:v>
      </x:c>
      <x:c r="J191" s="4" t="n">
        <x:v>57.19</x:v>
      </x:c>
      <x:c r="K191" s="4" t="n">
        <x:v>27</x:v>
      </x:c>
      <x:c r="L191" s="5" t="n">
        <x:v>0.15</x:v>
      </x:c>
      <x:c r="M191" s="4" t="n">
        <x:f>ROUND(I191*J191*(1-L191),2)</x:f>
        <x:v>194.45</x:v>
      </x:c>
      <x:c r="N191" s="4" t="n">
        <x:f>ROUND(I191*K191,2)</x:f>
        <x:v>108</x:v>
      </x:c>
      <x:c r="O191" s="4" t="n">
        <x:f>ROUND(M191-N191,2)</x:f>
        <x:v>86.45</x:v>
      </x:c>
      <x:c r="P191" s="6" t="n">
        <x:v>3.6</x:v>
      </x:c>
      <x:c r="Q191" t="str">
        <x:v>No</x:v>
      </x:c>
    </x:row>
    <x:row r="192">
      <x:c r="A192" t="str">
        <x:v>ORD-00006</x:v>
      </x:c>
      <x:c r="B192" s="3" t="n">
        <x:v>45362.872026550926</x:v>
      </x:c>
      <x:c r="C192" t="str">
        <x:v>2024-03</x:v>
      </x:c>
      <x:c r="D192" t="str">
        <x:v>CUS-0227</x:v>
      </x:c>
      <x:c r="E192" t="str">
        <x:v>North West</x:v>
      </x:c>
      <x:c r="F192" t="str">
        <x:v>Store</x:v>
      </x:c>
      <x:c r="G192" t="str">
        <x:v>Fashion</x:v>
      </x:c>
      <x:c r="H192" t="str">
        <x:v>Winter Jacket</x:v>
      </x:c>
      <x:c r="I192" t="n">
        <x:v>3</x:v>
      </x:c>
      <x:c r="J192" s="4" t="n">
        <x:v>90.87</x:v>
      </x:c>
      <x:c r="K192" s="4" t="n">
        <x:v>46</x:v>
      </x:c>
      <x:c r="L192" s="5" t="n">
        <x:v>0</x:v>
      </x:c>
      <x:c r="M192" s="4" t="n">
        <x:f>ROUND(I192*J192*(1-L192),2)</x:f>
        <x:v>272.61</x:v>
      </x:c>
      <x:c r="N192" s="4" t="n">
        <x:f>ROUND(I192*K192,2)</x:f>
        <x:v>138</x:v>
      </x:c>
      <x:c r="O192" s="4" t="n">
        <x:f>ROUND(M192-N192,2)</x:f>
        <x:v>134.61</x:v>
      </x:c>
      <x:c r="P192" s="6" t="n">
        <x:v>4.3</x:v>
      </x:c>
      <x:c r="Q192" t="str">
        <x:v>No</x:v>
      </x:c>
    </x:row>
    <x:row r="193">
      <x:c r="A193" t="str">
        <x:v>ORD-00094</x:v>
      </x:c>
      <x:c r="B193" s="3" t="n">
        <x:v>45363.159144618054</x:v>
      </x:c>
      <x:c r="C193" t="str">
        <x:v>2024-03</x:v>
      </x:c>
      <x:c r="D193" t="str">
        <x:v>CUS-0439</x:v>
      </x:c>
      <x:c r="E193" t="str">
        <x:v>North East</x:v>
      </x:c>
      <x:c r="F193" t="str">
        <x:v>Marketplace</x:v>
      </x:c>
      <x:c r="G193" t="str">
        <x:v>Home</x:v>
      </x:c>
      <x:c r="H193" t="str">
        <x:v>Air Fryer</x:v>
      </x:c>
      <x:c r="I193" t="n">
        <x:v>1</x:v>
      </x:c>
      <x:c r="J193" s="4" t="n">
        <x:v>119.75</x:v>
      </x:c>
      <x:c r="K193" s="4" t="n">
        <x:v>69</x:v>
      </x:c>
      <x:c r="L193" s="5" t="n">
        <x:v>0</x:v>
      </x:c>
      <x:c r="M193" s="4" t="n">
        <x:f>ROUND(I193*J193*(1-L193),2)</x:f>
        <x:v>119.75</x:v>
      </x:c>
      <x:c r="N193" s="4" t="n">
        <x:f>ROUND(I193*K193,2)</x:f>
        <x:v>69</x:v>
      </x:c>
      <x:c r="O193" s="4" t="n">
        <x:f>ROUND(M193-N193,2)</x:f>
        <x:v>50.75</x:v>
      </x:c>
      <x:c r="P193" s="6" t="n">
        <x:v>5</x:v>
      </x:c>
      <x:c r="Q193" t="str">
        <x:v>No</x:v>
      </x:c>
    </x:row>
    <x:row r="194">
      <x:c r="A194" t="str">
        <x:v>ORD-01238</x:v>
      </x:c>
      <x:c r="B194" s="3" t="n">
        <x:v>45363.91184545139</x:v>
      </x:c>
      <x:c r="C194" t="str">
        <x:v>2024-03</x:v>
      </x:c>
      <x:c r="D194" t="str">
        <x:v>CUS-0170</x:v>
      </x:c>
      <x:c r="E194" t="str">
        <x:v>Midlands</x:v>
      </x:c>
      <x:c r="F194" t="str">
        <x:v>Marketplace</x:v>
      </x:c>
      <x:c r="G194" t="str">
        <x:v>Sports</x:v>
      </x:c>
      <x:c r="H194" t="str">
        <x:v>Fitness Tracker</x:v>
      </x:c>
      <x:c r="I194" t="n">
        <x:v>2</x:v>
      </x:c>
      <x:c r="J194" s="4" t="n">
        <x:v>54.95</x:v>
      </x:c>
      <x:c r="K194" s="4" t="n">
        <x:v>27</x:v>
      </x:c>
      <x:c r="L194" s="5" t="n">
        <x:v>0.2</x:v>
      </x:c>
      <x:c r="M194" s="4" t="n">
        <x:f>ROUND(I194*J194*(1-L194),2)</x:f>
        <x:v>87.92</x:v>
      </x:c>
      <x:c r="N194" s="4" t="n">
        <x:f>ROUND(I194*K194,2)</x:f>
        <x:v>54</x:v>
      </x:c>
      <x:c r="O194" s="4" t="n">
        <x:f>ROUND(M194-N194,2)</x:f>
        <x:v>33.92</x:v>
      </x:c>
      <x:c r="P194" s="6" t="n">
        <x:v>4.1</x:v>
      </x:c>
      <x:c r="Q194" t="str">
        <x:v>No</x:v>
      </x:c>
    </x:row>
    <x:row r="195">
      <x:c r="A195" t="str">
        <x:v>ORD-01770</x:v>
      </x:c>
      <x:c r="B195" s="3" t="n">
        <x:v>45364.2992994213</x:v>
      </x:c>
      <x:c r="C195" t="str">
        <x:v>2024-03</x:v>
      </x:c>
      <x:c r="D195" t="str">
        <x:v>CUS-0523</x:v>
      </x:c>
      <x:c r="E195" t="str">
        <x:v>North East</x:v>
      </x:c>
      <x:c r="F195" t="str">
        <x:v>Marketplace</x:v>
      </x:c>
      <x:c r="G195" t="str">
        <x:v>Electronics</x:v>
      </x:c>
      <x:c r="H195" t="str">
        <x:v>Wireless Headphones</x:v>
      </x:c>
      <x:c r="I195" t="n">
        <x:v>5</x:v>
      </x:c>
      <x:c r="J195" s="4" t="n">
        <x:v>91.83</x:v>
      </x:c>
      <x:c r="K195" s="4" t="n">
        <x:v>48</x:v>
      </x:c>
      <x:c r="L195" s="5" t="n">
        <x:v>0</x:v>
      </x:c>
      <x:c r="M195" s="4" t="n">
        <x:f>ROUND(I195*J195*(1-L195),2)</x:f>
        <x:v>459.15</x:v>
      </x:c>
      <x:c r="N195" s="4" t="n">
        <x:f>ROUND(I195*K195,2)</x:f>
        <x:v>240</x:v>
      </x:c>
      <x:c r="O195" s="4" t="n">
        <x:f>ROUND(M195-N195,2)</x:f>
        <x:v>219.15</x:v>
      </x:c>
      <x:c r="P195" s="6" t="n">
        <x:v>4.4</x:v>
      </x:c>
      <x:c r="Q195" t="str">
        <x:v>No</x:v>
      </x:c>
    </x:row>
    <x:row r="196">
      <x:c r="A196" t="str">
        <x:v>ORD-00943</x:v>
      </x:c>
      <x:c r="B196" s="3" t="n">
        <x:v>45364.565673784724</x:v>
      </x:c>
      <x:c r="C196" t="str">
        <x:v>2024-03</x:v>
      </x:c>
      <x:c r="D196" t="str">
        <x:v>CUS-0521</x:v>
      </x:c>
      <x:c r="E196" t="str">
        <x:v>South West</x:v>
      </x:c>
      <x:c r="F196" t="str">
        <x:v>Store</x:v>
      </x:c>
      <x:c r="G196" t="str">
        <x:v>Sports</x:v>
      </x:c>
      <x:c r="H196" t="str">
        <x:v>Running Shoes</x:v>
      </x:c>
      <x:c r="I196" t="n">
        <x:v>3</x:v>
      </x:c>
      <x:c r="J196" s="4" t="n">
        <x:v>79.35</x:v>
      </x:c>
      <x:c r="K196" s="4" t="n">
        <x:v>38</x:v>
      </x:c>
      <x:c r="L196" s="5" t="n">
        <x:v>0.05</x:v>
      </x:c>
      <x:c r="M196" s="4" t="n">
        <x:f>ROUND(I196*J196*(1-L196),2)</x:f>
        <x:v>226.15</x:v>
      </x:c>
      <x:c r="N196" s="4" t="n">
        <x:f>ROUND(I196*K196,2)</x:f>
        <x:v>114</x:v>
      </x:c>
      <x:c r="O196" s="4" t="n">
        <x:f>ROUND(M196-N196,2)</x:f>
        <x:v>112.15</x:v>
      </x:c>
      <x:c r="P196" s="6" t="n">
        <x:v>4.3</x:v>
      </x:c>
      <x:c r="Q196" t="str">
        <x:v>No</x:v>
      </x:c>
    </x:row>
    <x:row r="197">
      <x:c r="A197" t="str">
        <x:v>ORD-00563</x:v>
      </x:c>
      <x:c r="B197" s="3" t="n">
        <x:v>45364.63693591435</x:v>
      </x:c>
      <x:c r="C197" t="str">
        <x:v>2024-03</x:v>
      </x:c>
      <x:c r="D197" t="str">
        <x:v>CUS-0371</x:v>
      </x:c>
      <x:c r="E197" t="str">
        <x:v>Scotland</x:v>
      </x:c>
      <x:c r="F197" t="str">
        <x:v>Store</x:v>
      </x:c>
      <x:c r="G197" t="str">
        <x:v>Books</x:v>
      </x:c>
      <x:c r="H197" t="str">
        <x:v>Data Analytics Handbook</x:v>
      </x:c>
      <x:c r="I197" t="n">
        <x:v>1</x:v>
      </x:c>
      <x:c r="J197" s="4" t="n">
        <x:v>39.37</x:v>
      </x:c>
      <x:c r="K197" s="4" t="n">
        <x:v>14</x:v>
      </x:c>
      <x:c r="L197" s="5" t="n">
        <x:v>0.05</x:v>
      </x:c>
      <x:c r="M197" s="4" t="n">
        <x:f>ROUND(I197*J197*(1-L197),2)</x:f>
        <x:v>37.4</x:v>
      </x:c>
      <x:c r="N197" s="4" t="n">
        <x:f>ROUND(I197*K197,2)</x:f>
        <x:v>14</x:v>
      </x:c>
      <x:c r="O197" s="4" t="n">
        <x:f>ROUND(M197-N197,2)</x:f>
        <x:v>23.4</x:v>
      </x:c>
      <x:c r="P197" s="6" t="n">
        <x:v>3.6</x:v>
      </x:c>
      <x:c r="Q197" t="str">
        <x:v>No</x:v>
      </x:c>
    </x:row>
    <x:row r="198">
      <x:c r="A198" t="str">
        <x:v>ORD-00525</x:v>
      </x:c>
      <x:c r="B198" s="3" t="n">
        <x:v>45364.8369775</x:v>
      </x:c>
      <x:c r="C198" t="str">
        <x:v>2024-03</x:v>
      </x:c>
      <x:c r="D198" t="str">
        <x:v>CUS-0478</x:v>
      </x:c>
      <x:c r="E198" t="str">
        <x:v>Midlands</x:v>
      </x:c>
      <x:c r="F198" t="str">
        <x:v>Marketplace</x:v>
      </x:c>
      <x:c r="G198" t="str">
        <x:v>Electronics</x:v>
      </x:c>
      <x:c r="H198" t="str">
        <x:v>Wireless Headphones</x:v>
      </x:c>
      <x:c r="I198" t="n">
        <x:v>4</x:v>
      </x:c>
      <x:c r="J198" s="4" t="n">
        <x:v>91.64</x:v>
      </x:c>
      <x:c r="K198" s="4" t="n">
        <x:v>48</x:v>
      </x:c>
      <x:c r="L198" s="5" t="n">
        <x:v>0.1</x:v>
      </x:c>
      <x:c r="M198" s="4" t="n">
        <x:f>ROUND(I198*J198*(1-L198),2)</x:f>
        <x:v>329.9</x:v>
      </x:c>
      <x:c r="N198" s="4" t="n">
        <x:f>ROUND(I198*K198,2)</x:f>
        <x:v>192</x:v>
      </x:c>
      <x:c r="O198" s="4" t="n">
        <x:f>ROUND(M198-N198,2)</x:f>
        <x:v>137.9</x:v>
      </x:c>
      <x:c r="P198" s="6" t="n">
        <x:v>3.8</x:v>
      </x:c>
      <x:c r="Q198" t="str">
        <x:v>No</x:v>
      </x:c>
    </x:row>
    <x:row r="199">
      <x:c r="A199" t="str">
        <x:v>ORD-00979</x:v>
      </x:c>
      <x:c r="B199" s="3" t="n">
        <x:v>45366.12769055556</x:v>
      </x:c>
      <x:c r="C199" t="str">
        <x:v>2024-03</x:v>
      </x:c>
      <x:c r="D199" t="str">
        <x:v>CUS-0424</x:v>
      </x:c>
      <x:c r="E199" t="str">
        <x:v>South West</x:v>
      </x:c>
      <x:c r="F199" t="str">
        <x:v>Marketplace</x:v>
      </x:c>
      <x:c r="G199" t="str">
        <x:v>Electronics</x:v>
      </x:c>
      <x:c r="H199" t="str">
        <x:v>Smart Watch</x:v>
      </x:c>
      <x:c r="I199" t="n">
        <x:v>5</x:v>
      </x:c>
      <x:c r="J199" s="4" t="n">
        <x:v>159.17</x:v>
      </x:c>
      <x:c r="K199" s="4" t="n">
        <x:v>92</x:v>
      </x:c>
      <x:c r="L199" s="5" t="n">
        <x:v>0.1</x:v>
      </x:c>
      <x:c r="M199" s="4" t="n">
        <x:f>ROUND(I199*J199*(1-L199),2)</x:f>
        <x:v>716.27</x:v>
      </x:c>
      <x:c r="N199" s="4" t="n">
        <x:f>ROUND(I199*K199,2)</x:f>
        <x:v>460</x:v>
      </x:c>
      <x:c r="O199" s="4" t="n">
        <x:f>ROUND(M199-N199,2)</x:f>
        <x:v>256.27</x:v>
      </x:c>
      <x:c r="P199" s="6" t="n">
        <x:v>4.7</x:v>
      </x:c>
      <x:c r="Q199" t="str">
        <x:v>No</x:v>
      </x:c>
    </x:row>
    <x:row r="200">
      <x:c r="A200" t="str">
        <x:v>ORD-00287</x:v>
      </x:c>
      <x:c r="B200" s="3" t="n">
        <x:v>45366.831828587965</x:v>
      </x:c>
      <x:c r="C200" t="str">
        <x:v>2024-03</x:v>
      </x:c>
      <x:c r="D200" t="str">
        <x:v>CUS-0217</x:v>
      </x:c>
      <x:c r="E200" t="str">
        <x:v>London</x:v>
      </x:c>
      <x:c r="F200" t="str">
        <x:v>Marketplace</x:v>
      </x:c>
      <x:c r="G200" t="str">
        <x:v>Fashion</x:v>
      </x:c>
      <x:c r="H200" t="str">
        <x:v>Winter Jacket</x:v>
      </x:c>
      <x:c r="I200" t="n">
        <x:v>1</x:v>
      </x:c>
      <x:c r="J200" s="4" t="n">
        <x:v>91.63</x:v>
      </x:c>
      <x:c r="K200" s="4" t="n">
        <x:v>46</x:v>
      </x:c>
      <x:c r="L200" s="5" t="n">
        <x:v>0.05</x:v>
      </x:c>
      <x:c r="M200" s="4" t="n">
        <x:f>ROUND(I200*J200*(1-L200),2)</x:f>
        <x:v>87.05</x:v>
      </x:c>
      <x:c r="N200" s="4" t="n">
        <x:f>ROUND(I200*K200,2)</x:f>
        <x:v>46</x:v>
      </x:c>
      <x:c r="O200" s="4" t="n">
        <x:f>ROUND(M200-N200,2)</x:f>
        <x:v>41.05</x:v>
      </x:c>
      <x:c r="P200" s="6" t="n">
        <x:v>4.2</x:v>
      </x:c>
      <x:c r="Q200" t="str">
        <x:v>No</x:v>
      </x:c>
    </x:row>
    <x:row r="201">
      <x:c r="A201" t="str">
        <x:v>ORD-00702</x:v>
      </x:c>
      <x:c r="B201" s="3" t="n">
        <x:v>45367.67200465278</x:v>
      </x:c>
      <x:c r="C201" t="str">
        <x:v>2024-03</x:v>
      </x:c>
      <x:c r="D201" t="str">
        <x:v>CUS-0184</x:v>
      </x:c>
      <x:c r="E201" t="str">
        <x:v>South East</x:v>
      </x:c>
      <x:c r="F201" t="str">
        <x:v>Store</x:v>
      </x:c>
      <x:c r="G201" t="str">
        <x:v>Home</x:v>
      </x:c>
      <x:c r="H201" t="str">
        <x:v>Desk Lamp</x:v>
      </x:c>
      <x:c r="I201" t="n">
        <x:v>1</x:v>
      </x:c>
      <x:c r="J201" s="4" t="n">
        <x:v>33.51</x:v>
      </x:c>
      <x:c r="K201" s="4" t="n">
        <x:v>17</x:v>
      </x:c>
      <x:c r="L201" s="5" t="n">
        <x:v>0.1</x:v>
      </x:c>
      <x:c r="M201" s="4" t="n">
        <x:f>ROUND(I201*J201*(1-L201),2)</x:f>
        <x:v>30.16</x:v>
      </x:c>
      <x:c r="N201" s="4" t="n">
        <x:f>ROUND(I201*K201,2)</x:f>
        <x:v>17</x:v>
      </x:c>
      <x:c r="O201" s="4" t="n">
        <x:f>ROUND(M201-N201,2)</x:f>
        <x:v>13.16</x:v>
      </x:c>
      <x:c r="P201" s="6" t="n">
        <x:v>4.9</x:v>
      </x:c>
      <x:c r="Q201" t="str">
        <x:v>Yes</x:v>
      </x:c>
    </x:row>
    <x:row r="202">
      <x:c r="A202" t="str">
        <x:v>ORD-01136</x:v>
      </x:c>
      <x:c r="B202" s="3" t="n">
        <x:v>45367.938033969906</x:v>
      </x:c>
      <x:c r="C202" t="str">
        <x:v>2024-03</x:v>
      </x:c>
      <x:c r="D202" t="str">
        <x:v>CUS-0178</x:v>
      </x:c>
      <x:c r="E202" t="str">
        <x:v>North East</x:v>
      </x:c>
      <x:c r="F202" t="str">
        <x:v>Store</x:v>
      </x:c>
      <x:c r="G202" t="str">
        <x:v>Books</x:v>
      </x:c>
      <x:c r="H202" t="str">
        <x:v>Business Intelligence Guide</x:v>
      </x:c>
      <x:c r="I202" t="n">
        <x:v>3</x:v>
      </x:c>
      <x:c r="J202" s="4" t="n">
        <x:v>35.51</x:v>
      </x:c>
      <x:c r="K202" s="4" t="n">
        <x:v>12</x:v>
      </x:c>
      <x:c r="L202" s="5" t="n">
        <x:v>0.15</x:v>
      </x:c>
      <x:c r="M202" s="4" t="n">
        <x:f>ROUND(I202*J202*(1-L202),2)</x:f>
        <x:v>90.55</x:v>
      </x:c>
      <x:c r="N202" s="4" t="n">
        <x:f>ROUND(I202*K202,2)</x:f>
        <x:v>36</x:v>
      </x:c>
      <x:c r="O202" s="4" t="n">
        <x:f>ROUND(M202-N202,2)</x:f>
        <x:v>54.55</x:v>
      </x:c>
      <x:c r="P202" s="6" t="n">
        <x:v>4.8</x:v>
      </x:c>
      <x:c r="Q202" t="str">
        <x:v>No</x:v>
      </x:c>
    </x:row>
    <x:row r="203">
      <x:c r="A203" t="str">
        <x:v>ORD-00023</x:v>
      </x:c>
      <x:c r="B203" s="3" t="n">
        <x:v>45368.118871053244</x:v>
      </x:c>
      <x:c r="C203" t="str">
        <x:v>2024-03</x:v>
      </x:c>
      <x:c r="D203" t="str">
        <x:v>CUS-0364</x:v>
      </x:c>
      <x:c r="E203" t="str">
        <x:v>London</x:v>
      </x:c>
      <x:c r="F203" t="str">
        <x:v>Marketplace</x:v>
      </x:c>
      <x:c r="G203" t="str">
        <x:v>Home</x:v>
      </x:c>
      <x:c r="H203" t="str">
        <x:v>Air Fryer</x:v>
      </x:c>
      <x:c r="I203" t="n">
        <x:v>3</x:v>
      </x:c>
      <x:c r="J203" s="4" t="n">
        <x:v>120.06</x:v>
      </x:c>
      <x:c r="K203" s="4" t="n">
        <x:v>69</x:v>
      </x:c>
      <x:c r="L203" s="5" t="n">
        <x:v>0.1</x:v>
      </x:c>
      <x:c r="M203" s="4" t="n">
        <x:f>ROUND(I203*J203*(1-L203),2)</x:f>
        <x:v>324.16</x:v>
      </x:c>
      <x:c r="N203" s="4" t="n">
        <x:f>ROUND(I203*K203,2)</x:f>
        <x:v>207</x:v>
      </x:c>
      <x:c r="O203" s="4" t="n">
        <x:f>ROUND(M203-N203,2)</x:f>
        <x:v>117.16</x:v>
      </x:c>
      <x:c r="P203" s="6" t="n">
        <x:v>5</x:v>
      </x:c>
      <x:c r="Q203" t="str">
        <x:v>No</x:v>
      </x:c>
    </x:row>
    <x:row r="204">
      <x:c r="A204" t="str">
        <x:v>ORD-01456</x:v>
      </x:c>
      <x:c r="B204" s="3" t="n">
        <x:v>45369.823752372686</x:v>
      </x:c>
      <x:c r="C204" t="str">
        <x:v>2024-03</x:v>
      </x:c>
      <x:c r="D204" t="str">
        <x:v>CUS-0548</x:v>
      </x:c>
      <x:c r="E204" t="str">
        <x:v>North East</x:v>
      </x:c>
      <x:c r="F204" t="str">
        <x:v>Marketplace</x:v>
      </x:c>
      <x:c r="G204" t="str">
        <x:v>Fashion</x:v>
      </x:c>
      <x:c r="H204" t="str">
        <x:v>Classic Trainers</x:v>
      </x:c>
      <x:c r="I204" t="n">
        <x:v>4</x:v>
      </x:c>
      <x:c r="J204" s="4" t="n">
        <x:v>69.94</x:v>
      </x:c>
      <x:c r="K204" s="4" t="n">
        <x:v>32</x:v>
      </x:c>
      <x:c r="L204" s="5" t="n">
        <x:v>0.05</x:v>
      </x:c>
      <x:c r="M204" s="4" t="n">
        <x:f>ROUND(I204*J204*(1-L204),2)</x:f>
        <x:v>265.77</x:v>
      </x:c>
      <x:c r="N204" s="4" t="n">
        <x:f>ROUND(I204*K204,2)</x:f>
        <x:v>128</x:v>
      </x:c>
      <x:c r="O204" s="4" t="n">
        <x:f>ROUND(M204-N204,2)</x:f>
        <x:v>137.77</x:v>
      </x:c>
      <x:c r="P204" s="6" t="n">
        <x:v>4.6</x:v>
      </x:c>
      <x:c r="Q204" t="str">
        <x:v>No</x:v>
      </x:c>
    </x:row>
    <x:row r="205">
      <x:c r="A205" t="str">
        <x:v>ORD-00561</x:v>
      </x:c>
      <x:c r="B205" s="3" t="n">
        <x:v>45370.24546648148</x:v>
      </x:c>
      <x:c r="C205" t="str">
        <x:v>2024-03</x:v>
      </x:c>
      <x:c r="D205" t="str">
        <x:v>CUS-0365</x:v>
      </x:c>
      <x:c r="E205" t="str">
        <x:v>North West</x:v>
      </x:c>
      <x:c r="F205" t="str">
        <x:v>Store</x:v>
      </x:c>
      <x:c r="G205" t="str">
        <x:v>Home</x:v>
      </x:c>
      <x:c r="H205" t="str">
        <x:v>Air Fryer</x:v>
      </x:c>
      <x:c r="I205" t="n">
        <x:v>2</x:v>
      </x:c>
      <x:c r="J205" s="4" t="n">
        <x:v>115.12</x:v>
      </x:c>
      <x:c r="K205" s="4" t="n">
        <x:v>69</x:v>
      </x:c>
      <x:c r="L205" s="5" t="n">
        <x:v>0.1</x:v>
      </x:c>
      <x:c r="M205" s="4" t="n">
        <x:f>ROUND(I205*J205*(1-L205),2)</x:f>
        <x:v>207.22</x:v>
      </x:c>
      <x:c r="N205" s="4" t="n">
        <x:f>ROUND(I205*K205,2)</x:f>
        <x:v>138</x:v>
      </x:c>
      <x:c r="O205" s="4" t="n">
        <x:f>ROUND(M205-N205,2)</x:f>
        <x:v>69.22</x:v>
      </x:c>
      <x:c r="P205" s="6" t="n">
        <x:v>4.1</x:v>
      </x:c>
      <x:c r="Q205" t="str">
        <x:v>No</x:v>
      </x:c>
    </x:row>
    <x:row r="206">
      <x:c r="A206" t="str">
        <x:v>ORD-01354</x:v>
      </x:c>
      <x:c r="B206" s="3" t="n">
        <x:v>45370.90488329861</x:v>
      </x:c>
      <x:c r="C206" t="str">
        <x:v>2024-03</x:v>
      </x:c>
      <x:c r="D206" t="str">
        <x:v>CUS-0405</x:v>
      </x:c>
      <x:c r="E206" t="str">
        <x:v>South East</x:v>
      </x:c>
      <x:c r="F206" t="str">
        <x:v>Store</x:v>
      </x:c>
      <x:c r="G206" t="str">
        <x:v>Books</x:v>
      </x:c>
      <x:c r="H206" t="str">
        <x:v>Data Analytics Handbook</x:v>
      </x:c>
      <x:c r="I206" t="n">
        <x:v>5</x:v>
      </x:c>
      <x:c r="J206" s="4" t="n">
        <x:v>38.46</x:v>
      </x:c>
      <x:c r="K206" s="4" t="n">
        <x:v>14</x:v>
      </x:c>
      <x:c r="L206" s="5" t="n">
        <x:v>0.05</x:v>
      </x:c>
      <x:c r="M206" s="4" t="n">
        <x:f>ROUND(I206*J206*(1-L206),2)</x:f>
        <x:v>182.69</x:v>
      </x:c>
      <x:c r="N206" s="4" t="n">
        <x:f>ROUND(I206*K206,2)</x:f>
        <x:v>70</x:v>
      </x:c>
      <x:c r="O206" s="4" t="n">
        <x:f>ROUND(M206-N206,2)</x:f>
        <x:v>112.69</x:v>
      </x:c>
      <x:c r="P206" s="6" t="n">
        <x:v>5</x:v>
      </x:c>
      <x:c r="Q206" t="str">
        <x:v>No</x:v>
      </x:c>
    </x:row>
    <x:row r="207">
      <x:c r="A207" t="str">
        <x:v>ORD-00301</x:v>
      </x:c>
      <x:c r="B207" s="3" t="n">
        <x:v>45370.96530668982</x:v>
      </x:c>
      <x:c r="C207" t="str">
        <x:v>2024-03</x:v>
      </x:c>
      <x:c r="D207" t="str">
        <x:v>CUS-0112</x:v>
      </x:c>
      <x:c r="E207" t="str">
        <x:v>Wales</x:v>
      </x:c>
      <x:c r="F207" t="str">
        <x:v>Marketplace</x:v>
      </x:c>
      <x:c r="G207" t="str">
        <x:v>Fashion</x:v>
      </x:c>
      <x:c r="H207" t="str">
        <x:v>Backpack</x:v>
      </x:c>
      <x:c r="I207" t="n">
        <x:v>2</x:v>
      </x:c>
      <x:c r="J207" s="4" t="n">
        <x:v>50.04</x:v>
      </x:c>
      <x:c r="K207" s="4" t="n">
        <x:v>21</x:v>
      </x:c>
      <x:c r="L207" s="5" t="n">
        <x:v>0.1</x:v>
      </x:c>
      <x:c r="M207" s="4" t="n">
        <x:f>ROUND(I207*J207*(1-L207),2)</x:f>
        <x:v>90.07</x:v>
      </x:c>
      <x:c r="N207" s="4" t="n">
        <x:f>ROUND(I207*K207,2)</x:f>
        <x:v>42</x:v>
      </x:c>
      <x:c r="O207" s="4" t="n">
        <x:f>ROUND(M207-N207,2)</x:f>
        <x:v>48.07</x:v>
      </x:c>
      <x:c r="P207" s="6" t="n">
        <x:v>3.2</x:v>
      </x:c>
      <x:c r="Q207" t="str">
        <x:v>No</x:v>
      </x:c>
    </x:row>
    <x:row r="208">
      <x:c r="A208" t="str">
        <x:v>ORD-00852</x:v>
      </x:c>
      <x:c r="B208" s="3" t="n">
        <x:v>45371.15677958333</x:v>
      </x:c>
      <x:c r="C208" t="str">
        <x:v>2024-03</x:v>
      </x:c>
      <x:c r="D208" t="str">
        <x:v>CUS-0032</x:v>
      </x:c>
      <x:c r="E208" t="str">
        <x:v>Midlands</x:v>
      </x:c>
      <x:c r="F208" t="str">
        <x:v>Store</x:v>
      </x:c>
      <x:c r="G208" t="str">
        <x:v>Home</x:v>
      </x:c>
      <x:c r="H208" t="str">
        <x:v>Coffee Maker</x:v>
      </x:c>
      <x:c r="I208" t="n">
        <x:v>1</x:v>
      </x:c>
      <x:c r="J208" s="4" t="n">
        <x:v>76.53</x:v>
      </x:c>
      <x:c r="K208" s="4" t="n">
        <x:v>41</x:v>
      </x:c>
      <x:c r="L208" s="5" t="n">
        <x:v>0.15</x:v>
      </x:c>
      <x:c r="M208" s="4" t="n">
        <x:f>ROUND(I208*J208*(1-L208),2)</x:f>
        <x:v>65.05</x:v>
      </x:c>
      <x:c r="N208" s="4" t="n">
        <x:f>ROUND(I208*K208,2)</x:f>
        <x:v>41</x:v>
      </x:c>
      <x:c r="O208" s="4" t="n">
        <x:f>ROUND(M208-N208,2)</x:f>
        <x:v>24.05</x:v>
      </x:c>
      <x:c r="P208" s="6" t="n">
        <x:v>5</x:v>
      </x:c>
      <x:c r="Q208" t="str">
        <x:v>No</x:v>
      </x:c>
    </x:row>
    <x:row r="209">
      <x:c r="A209" t="str">
        <x:v>ORD-00052</x:v>
      </x:c>
      <x:c r="B209" s="3" t="n">
        <x:v>45372.07564225695</x:v>
      </x:c>
      <x:c r="C209" t="str">
        <x:v>2024-03</x:v>
      </x:c>
      <x:c r="D209" t="str">
        <x:v>CUS-0197</x:v>
      </x:c>
      <x:c r="E209" t="str">
        <x:v>North West</x:v>
      </x:c>
      <x:c r="F209" t="str">
        <x:v>Marketplace</x:v>
      </x:c>
      <x:c r="G209" t="str">
        <x:v>Sports</x:v>
      </x:c>
      <x:c r="H209" t="str">
        <x:v>Running Shoes</x:v>
      </x:c>
      <x:c r="I209" t="n">
        <x:v>4</x:v>
      </x:c>
      <x:c r="J209" s="4" t="n">
        <x:v>80.07</x:v>
      </x:c>
      <x:c r="K209" s="4" t="n">
        <x:v>38</x:v>
      </x:c>
      <x:c r="L209" s="5" t="n">
        <x:v>0</x:v>
      </x:c>
      <x:c r="M209" s="4" t="n">
        <x:f>ROUND(I209*J209*(1-L209),2)</x:f>
        <x:v>320.28</x:v>
      </x:c>
      <x:c r="N209" s="4" t="n">
        <x:f>ROUND(I209*K209,2)</x:f>
        <x:v>152</x:v>
      </x:c>
      <x:c r="O209" s="4" t="n">
        <x:f>ROUND(M209-N209,2)</x:f>
        <x:v>168.28</x:v>
      </x:c>
      <x:c r="P209" s="6" t="n">
        <x:v>4.1</x:v>
      </x:c>
      <x:c r="Q209" t="str">
        <x:v>No</x:v>
      </x:c>
    </x:row>
    <x:row r="210">
      <x:c r="A210" t="str">
        <x:v>ORD-00967</x:v>
      </x:c>
      <x:c r="B210" s="3" t="n">
        <x:v>45372.71203679398</x:v>
      </x:c>
      <x:c r="C210" t="str">
        <x:v>2024-03</x:v>
      </x:c>
      <x:c r="D210" t="str">
        <x:v>CUS-0343</x:v>
      </x:c>
      <x:c r="E210" t="str">
        <x:v>Wales</x:v>
      </x:c>
      <x:c r="F210" t="str">
        <x:v>Store</x:v>
      </x:c>
      <x:c r="G210" t="str">
        <x:v>Sports</x:v>
      </x:c>
      <x:c r="H210" t="str">
        <x:v>Fitness Tracker</x:v>
      </x:c>
      <x:c r="I210" t="n">
        <x:v>2</x:v>
      </x:c>
      <x:c r="J210" s="4" t="n">
        <x:v>55.51</x:v>
      </x:c>
      <x:c r="K210" s="4" t="n">
        <x:v>27</x:v>
      </x:c>
      <x:c r="L210" s="5" t="n">
        <x:v>0</x:v>
      </x:c>
      <x:c r="M210" s="4" t="n">
        <x:f>ROUND(I210*J210*(1-L210),2)</x:f>
        <x:v>111.02</x:v>
      </x:c>
      <x:c r="N210" s="4" t="n">
        <x:f>ROUND(I210*K210,2)</x:f>
        <x:v>54</x:v>
      </x:c>
      <x:c r="O210" s="4" t="n">
        <x:f>ROUND(M210-N210,2)</x:f>
        <x:v>57.02</x:v>
      </x:c>
      <x:c r="P210" s="6" t="n">
        <x:v>4.7</x:v>
      </x:c>
      <x:c r="Q210" t="str">
        <x:v>No</x:v>
      </x:c>
    </x:row>
    <x:row r="211">
      <x:c r="A211" t="str">
        <x:v>ORD-00760</x:v>
      </x:c>
      <x:c r="B211" s="3" t="n">
        <x:v>45372.96847559028</x:v>
      </x:c>
      <x:c r="C211" t="str">
        <x:v>2024-03</x:v>
      </x:c>
      <x:c r="D211" t="str">
        <x:v>CUS-0526</x:v>
      </x:c>
      <x:c r="E211" t="str">
        <x:v>South East</x:v>
      </x:c>
      <x:c r="F211" t="str">
        <x:v>Store</x:v>
      </x:c>
      <x:c r="G211" t="str">
        <x:v>Home</x:v>
      </x:c>
      <x:c r="H211" t="str">
        <x:v>Coffee Maker</x:v>
      </x:c>
      <x:c r="I211" t="n">
        <x:v>3</x:v>
      </x:c>
      <x:c r="J211" s="4" t="n">
        <x:v>74.84</x:v>
      </x:c>
      <x:c r="K211" s="4" t="n">
        <x:v>41</x:v>
      </x:c>
      <x:c r="L211" s="5" t="n">
        <x:v>0.2</x:v>
      </x:c>
      <x:c r="M211" s="4" t="n">
        <x:f>ROUND(I211*J211*(1-L211),2)</x:f>
        <x:v>179.62</x:v>
      </x:c>
      <x:c r="N211" s="4" t="n">
        <x:f>ROUND(I211*K211,2)</x:f>
        <x:v>123</x:v>
      </x:c>
      <x:c r="O211" s="4" t="n">
        <x:f>ROUND(M211-N211,2)</x:f>
        <x:v>56.62</x:v>
      </x:c>
      <x:c r="P211" s="6" t="n">
        <x:v>4.6</x:v>
      </x:c>
      <x:c r="Q211" t="str">
        <x:v>No</x:v>
      </x:c>
    </x:row>
    <x:row r="212">
      <x:c r="A212" t="str">
        <x:v>ORD-01154</x:v>
      </x:c>
      <x:c r="B212" s="3" t="n">
        <x:v>45373.80145561343</x:v>
      </x:c>
      <x:c r="C212" t="str">
        <x:v>2024-03</x:v>
      </x:c>
      <x:c r="D212" t="str">
        <x:v>CUS-0341</x:v>
      </x:c>
      <x:c r="E212" t="str">
        <x:v>South West</x:v>
      </x:c>
      <x:c r="F212" t="str">
        <x:v>Online</x:v>
      </x:c>
      <x:c r="G212" t="str">
        <x:v>Sports</x:v>
      </x:c>
      <x:c r="H212" t="str">
        <x:v>Fitness Tracker</x:v>
      </x:c>
      <x:c r="I212" t="n">
        <x:v>2</x:v>
      </x:c>
      <x:c r="J212" s="4" t="n">
        <x:v>53.4</x:v>
      </x:c>
      <x:c r="K212" s="4" t="n">
        <x:v>27</x:v>
      </x:c>
      <x:c r="L212" s="5" t="n">
        <x:v>0.15</x:v>
      </x:c>
      <x:c r="M212" s="4" t="n">
        <x:f>ROUND(I212*J212*(1-L212),2)</x:f>
        <x:v>90.78</x:v>
      </x:c>
      <x:c r="N212" s="4" t="n">
        <x:f>ROUND(I212*K212,2)</x:f>
        <x:v>54</x:v>
      </x:c>
      <x:c r="O212" s="4" t="n">
        <x:f>ROUND(M212-N212,2)</x:f>
        <x:v>36.78</x:v>
      </x:c>
      <x:c r="P212" s="6" t="n">
        <x:v>3.6</x:v>
      </x:c>
      <x:c r="Q212" t="str">
        <x:v>No</x:v>
      </x:c>
    </x:row>
    <x:row r="213">
      <x:c r="A213" t="str">
        <x:v>ORD-01256</x:v>
      </x:c>
      <x:c r="B213" s="3" t="n">
        <x:v>45374.21855240741</x:v>
      </x:c>
      <x:c r="C213" t="str">
        <x:v>2024-03</x:v>
      </x:c>
      <x:c r="D213" t="str">
        <x:v>CUS-0436</x:v>
      </x:c>
      <x:c r="E213" t="str">
        <x:v>London</x:v>
      </x:c>
      <x:c r="F213" t="str">
        <x:v>Marketplace</x:v>
      </x:c>
      <x:c r="G213" t="str">
        <x:v>Fashion</x:v>
      </x:c>
      <x:c r="H213" t="str">
        <x:v>Winter Jacket</x:v>
      </x:c>
      <x:c r="I213" t="n">
        <x:v>1</x:v>
      </x:c>
      <x:c r="J213" s="4" t="n">
        <x:v>92.38</x:v>
      </x:c>
      <x:c r="K213" s="4" t="n">
        <x:v>46</x:v>
      </x:c>
      <x:c r="L213" s="5" t="n">
        <x:v>0</x:v>
      </x:c>
      <x:c r="M213" s="4" t="n">
        <x:f>ROUND(I213*J213*(1-L213),2)</x:f>
        <x:v>92.38</x:v>
      </x:c>
      <x:c r="N213" s="4" t="n">
        <x:f>ROUND(I213*K213,2)</x:f>
        <x:v>46</x:v>
      </x:c>
      <x:c r="O213" s="4" t="n">
        <x:f>ROUND(M213-N213,2)</x:f>
        <x:v>46.38</x:v>
      </x:c>
      <x:c r="P213" s="6" t="n">
        <x:v>4.7</x:v>
      </x:c>
      <x:c r="Q213" t="str">
        <x:v>No</x:v>
      </x:c>
    </x:row>
    <x:row r="214">
      <x:c r="A214" t="str">
        <x:v>ORD-01097</x:v>
      </x:c>
      <x:c r="B214" s="3" t="n">
        <x:v>45374.99110972222</x:v>
      </x:c>
      <x:c r="C214" t="str">
        <x:v>2024-03</x:v>
      </x:c>
      <x:c r="D214" t="str">
        <x:v>CUS-0373</x:v>
      </x:c>
      <x:c r="E214" t="str">
        <x:v>Scotland</x:v>
      </x:c>
      <x:c r="F214" t="str">
        <x:v>Online</x:v>
      </x:c>
      <x:c r="G214" t="str">
        <x:v>Electronics</x:v>
      </x:c>
      <x:c r="H214" t="str">
        <x:v>Bluetooth Speaker</x:v>
      </x:c>
      <x:c r="I214" t="n">
        <x:v>4</x:v>
      </x:c>
      <x:c r="J214" s="4" t="n">
        <x:v>66.37</x:v>
      </x:c>
      <x:c r="K214" s="4" t="n">
        <x:v>34</x:v>
      </x:c>
      <x:c r="L214" s="5" t="n">
        <x:v>0.1</x:v>
      </x:c>
      <x:c r="M214" s="4" t="n">
        <x:f>ROUND(I214*J214*(1-L214),2)</x:f>
        <x:v>238.93</x:v>
      </x:c>
      <x:c r="N214" s="4" t="n">
        <x:f>ROUND(I214*K214,2)</x:f>
        <x:v>136</x:v>
      </x:c>
      <x:c r="O214" s="4" t="n">
        <x:f>ROUND(M214-N214,2)</x:f>
        <x:v>102.93</x:v>
      </x:c>
      <x:c r="P214" s="6" t="n">
        <x:v>4.8</x:v>
      </x:c>
      <x:c r="Q214" t="str">
        <x:v>No</x:v>
      </x:c>
    </x:row>
    <x:row r="215">
      <x:c r="A215" t="str">
        <x:v>ORD-00554</x:v>
      </x:c>
      <x:c r="B215" s="3" t="n">
        <x:v>45375.412043344906</x:v>
      </x:c>
      <x:c r="C215" t="str">
        <x:v>2024-03</x:v>
      </x:c>
      <x:c r="D215" t="str">
        <x:v>CUS-0611</x:v>
      </x:c>
      <x:c r="E215" t="str">
        <x:v>Wales</x:v>
      </x:c>
      <x:c r="F215" t="str">
        <x:v>Marketplace</x:v>
      </x:c>
      <x:c r="G215" t="str">
        <x:v>Books</x:v>
      </x:c>
      <x:c r="H215" t="str">
        <x:v>Business Intelligence Guide</x:v>
      </x:c>
      <x:c r="I215" t="n">
        <x:v>5</x:v>
      </x:c>
      <x:c r="J215" s="4" t="n">
        <x:v>34.41</x:v>
      </x:c>
      <x:c r="K215" s="4" t="n">
        <x:v>12</x:v>
      </x:c>
      <x:c r="L215" s="5" t="n">
        <x:v>0.1</x:v>
      </x:c>
      <x:c r="M215" s="4" t="n">
        <x:f>ROUND(I215*J215*(1-L215),2)</x:f>
        <x:v>154.85</x:v>
      </x:c>
      <x:c r="N215" s="4" t="n">
        <x:f>ROUND(I215*K215,2)</x:f>
        <x:v>60</x:v>
      </x:c>
      <x:c r="O215" s="4" t="n">
        <x:f>ROUND(M215-N215,2)</x:f>
        <x:v>94.85</x:v>
      </x:c>
      <x:c r="P215" s="6" t="n">
        <x:v>3.5</x:v>
      </x:c>
      <x:c r="Q215" t="str">
        <x:v>Yes</x:v>
      </x:c>
    </x:row>
    <x:row r="216">
      <x:c r="A216" t="str">
        <x:v>ORD-01140</x:v>
      </x:c>
      <x:c r="B216" s="3" t="n">
        <x:v>45376.04668756945</x:v>
      </x:c>
      <x:c r="C216" t="str">
        <x:v>2024-03</x:v>
      </x:c>
      <x:c r="D216" t="str">
        <x:v>CUS-0249</x:v>
      </x:c>
      <x:c r="E216" t="str">
        <x:v>North West</x:v>
      </x:c>
      <x:c r="F216" t="str">
        <x:v>Marketplace</x:v>
      </x:c>
      <x:c r="G216" t="str">
        <x:v>Electronics</x:v>
      </x:c>
      <x:c r="H216" t="str">
        <x:v>Smart Watch</x:v>
      </x:c>
      <x:c r="I216" t="n">
        <x:v>2</x:v>
      </x:c>
      <x:c r="J216" s="4" t="n">
        <x:v>155.55</x:v>
      </x:c>
      <x:c r="K216" s="4" t="n">
        <x:v>92</x:v>
      </x:c>
      <x:c r="L216" s="5" t="n">
        <x:v>0</x:v>
      </x:c>
      <x:c r="M216" s="4" t="n">
        <x:f>ROUND(I216*J216*(1-L216),2)</x:f>
        <x:v>311.1</x:v>
      </x:c>
      <x:c r="N216" s="4" t="n">
        <x:f>ROUND(I216*K216,2)</x:f>
        <x:v>184</x:v>
      </x:c>
      <x:c r="O216" s="4" t="n">
        <x:f>ROUND(M216-N216,2)</x:f>
        <x:v>127.1</x:v>
      </x:c>
      <x:c r="P216" s="6" t="n">
        <x:v>3.5</x:v>
      </x:c>
      <x:c r="Q216" t="str">
        <x:v>No</x:v>
      </x:c>
    </x:row>
    <x:row r="217">
      <x:c r="A217" t="str">
        <x:v>ORD-00879</x:v>
      </x:c>
      <x:c r="B217" s="3" t="n">
        <x:v>45376.37690605324</x:v>
      </x:c>
      <x:c r="C217" t="str">
        <x:v>2024-03</x:v>
      </x:c>
      <x:c r="D217" t="str">
        <x:v>CUS-0605</x:v>
      </x:c>
      <x:c r="E217" t="str">
        <x:v>North East</x:v>
      </x:c>
      <x:c r="F217" t="str">
        <x:v>Marketplace</x:v>
      </x:c>
      <x:c r="G217" t="str">
        <x:v>Electronics</x:v>
      </x:c>
      <x:c r="H217" t="str">
        <x:v>Wireless Headphones</x:v>
      </x:c>
      <x:c r="I217" t="n">
        <x:v>5</x:v>
      </x:c>
      <x:c r="J217" s="4" t="n">
        <x:v>88.38</x:v>
      </x:c>
      <x:c r="K217" s="4" t="n">
        <x:v>48</x:v>
      </x:c>
      <x:c r="L217" s="5" t="n">
        <x:v>0.2</x:v>
      </x:c>
      <x:c r="M217" s="4" t="n">
        <x:f>ROUND(I217*J217*(1-L217),2)</x:f>
        <x:v>353.52</x:v>
      </x:c>
      <x:c r="N217" s="4" t="n">
        <x:f>ROUND(I217*K217,2)</x:f>
        <x:v>240</x:v>
      </x:c>
      <x:c r="O217" s="4" t="n">
        <x:f>ROUND(M217-N217,2)</x:f>
        <x:v>113.52</x:v>
      </x:c>
      <x:c r="P217" s="6" t="n">
        <x:v>4.1</x:v>
      </x:c>
      <x:c r="Q217" t="str">
        <x:v>No</x:v>
      </x:c>
    </x:row>
    <x:row r="218">
      <x:c r="A218" t="str">
        <x:v>ORD-00207</x:v>
      </x:c>
      <x:c r="B218" s="3" t="n">
        <x:v>45376.78490148148</x:v>
      </x:c>
      <x:c r="C218" t="str">
        <x:v>2024-03</x:v>
      </x:c>
      <x:c r="D218" t="str">
        <x:v>CUS-0594</x:v>
      </x:c>
      <x:c r="E218" t="str">
        <x:v>South West</x:v>
      </x:c>
      <x:c r="F218" t="str">
        <x:v>Online</x:v>
      </x:c>
      <x:c r="G218" t="str">
        <x:v>Home</x:v>
      </x:c>
      <x:c r="H218" t="str">
        <x:v>Desk Lamp</x:v>
      </x:c>
      <x:c r="I218" t="n">
        <x:v>3</x:v>
      </x:c>
      <x:c r="J218" s="4" t="n">
        <x:v>33.88</x:v>
      </x:c>
      <x:c r="K218" s="4" t="n">
        <x:v>17</x:v>
      </x:c>
      <x:c r="L218" s="5" t="n">
        <x:v>0.1</x:v>
      </x:c>
      <x:c r="M218" s="4" t="n">
        <x:f>ROUND(I218*J218*(1-L218),2)</x:f>
        <x:v>91.48</x:v>
      </x:c>
      <x:c r="N218" s="4" t="n">
        <x:f>ROUND(I218*K218,2)</x:f>
        <x:v>51</x:v>
      </x:c>
      <x:c r="O218" s="4" t="n">
        <x:f>ROUND(M218-N218,2)</x:f>
        <x:v>40.48</x:v>
      </x:c>
      <x:c r="P218" s="6" t="n">
        <x:v>3.3</x:v>
      </x:c>
      <x:c r="Q218" t="str">
        <x:v>No</x:v>
      </x:c>
    </x:row>
    <x:row r="219">
      <x:c r="A219" t="str">
        <x:v>ORD-00186</x:v>
      </x:c>
      <x:c r="B219" s="3" t="n">
        <x:v>45376.985464178244</x:v>
      </x:c>
      <x:c r="C219" t="str">
        <x:v>2024-03</x:v>
      </x:c>
      <x:c r="D219" t="str">
        <x:v>CUS-0428</x:v>
      </x:c>
      <x:c r="E219" t="str">
        <x:v>North West</x:v>
      </x:c>
      <x:c r="F219" t="str">
        <x:v>Online</x:v>
      </x:c>
      <x:c r="G219" t="str">
        <x:v>Fashion</x:v>
      </x:c>
      <x:c r="H219" t="str">
        <x:v>Backpack</x:v>
      </x:c>
      <x:c r="I219" t="n">
        <x:v>1</x:v>
      </x:c>
      <x:c r="J219" s="4" t="n">
        <x:v>47.55</x:v>
      </x:c>
      <x:c r="K219" s="4" t="n">
        <x:v>21</x:v>
      </x:c>
      <x:c r="L219" s="5" t="n">
        <x:v>0.2</x:v>
      </x:c>
      <x:c r="M219" s="4" t="n">
        <x:f>ROUND(I219*J219*(1-L219),2)</x:f>
        <x:v>38.04</x:v>
      </x:c>
      <x:c r="N219" s="4" t="n">
        <x:f>ROUND(I219*K219,2)</x:f>
        <x:v>21</x:v>
      </x:c>
      <x:c r="O219" s="4" t="n">
        <x:f>ROUND(M219-N219,2)</x:f>
        <x:v>17.04</x:v>
      </x:c>
      <x:c r="P219" s="6" t="n">
        <x:v>4.4</x:v>
      </x:c>
      <x:c r="Q219" t="str">
        <x:v>No</x:v>
      </x:c>
    </x:row>
    <x:row r="220">
      <x:c r="A220" t="str">
        <x:v>ORD-01694</x:v>
      </x:c>
      <x:c r="B220" s="3" t="n">
        <x:v>45377.100041909725</x:v>
      </x:c>
      <x:c r="C220" t="str">
        <x:v>2024-03</x:v>
      </x:c>
      <x:c r="D220" t="str">
        <x:v>CUS-0232</x:v>
      </x:c>
      <x:c r="E220" t="str">
        <x:v>North West</x:v>
      </x:c>
      <x:c r="F220" t="str">
        <x:v>Online</x:v>
      </x:c>
      <x:c r="G220" t="str">
        <x:v>Books</x:v>
      </x:c>
      <x:c r="H220" t="str">
        <x:v>Data Analytics Handbook</x:v>
      </x:c>
      <x:c r="I220" t="n">
        <x:v>3</x:v>
      </x:c>
      <x:c r="J220" s="4" t="n">
        <x:v>39.93</x:v>
      </x:c>
      <x:c r="K220" s="4" t="n">
        <x:v>14</x:v>
      </x:c>
      <x:c r="L220" s="5" t="n">
        <x:v>0.05</x:v>
      </x:c>
      <x:c r="M220" s="4" t="n">
        <x:f>ROUND(I220*J220*(1-L220),2)</x:f>
        <x:v>113.8</x:v>
      </x:c>
      <x:c r="N220" s="4" t="n">
        <x:f>ROUND(I220*K220,2)</x:f>
        <x:v>42</x:v>
      </x:c>
      <x:c r="O220" s="4" t="n">
        <x:f>ROUND(M220-N220,2)</x:f>
        <x:v>71.8</x:v>
      </x:c>
      <x:c r="P220" s="6" t="n">
        <x:v>4.8</x:v>
      </x:c>
      <x:c r="Q220" t="str">
        <x:v>No</x:v>
      </x:c>
    </x:row>
    <x:row r="221">
      <x:c r="A221" t="str">
        <x:v>ORD-00674</x:v>
      </x:c>
      <x:c r="B221" s="3" t="n">
        <x:v>45377.499760659724</x:v>
      </x:c>
      <x:c r="C221" t="str">
        <x:v>2024-03</x:v>
      </x:c>
      <x:c r="D221" t="str">
        <x:v>CUS-0358</x:v>
      </x:c>
      <x:c r="E221" t="str">
        <x:v>South East</x:v>
      </x:c>
      <x:c r="F221" t="str">
        <x:v>Marketplace</x:v>
      </x:c>
      <x:c r="G221" t="str">
        <x:v>Home</x:v>
      </x:c>
      <x:c r="H221" t="str">
        <x:v>Desk Lamp</x:v>
      </x:c>
      <x:c r="I221" t="n">
        <x:v>1</x:v>
      </x:c>
      <x:c r="J221" s="4" t="n">
        <x:v>36.03</x:v>
      </x:c>
      <x:c r="K221" s="4" t="n">
        <x:v>17</x:v>
      </x:c>
      <x:c r="L221" s="5" t="n">
        <x:v>0.05</x:v>
      </x:c>
      <x:c r="M221" s="4" t="n">
        <x:f>ROUND(I221*J221*(1-L221),2)</x:f>
        <x:v>34.23</x:v>
      </x:c>
      <x:c r="N221" s="4" t="n">
        <x:f>ROUND(I221*K221,2)</x:f>
        <x:v>17</x:v>
      </x:c>
      <x:c r="O221" s="4" t="n">
        <x:f>ROUND(M221-N221,2)</x:f>
        <x:v>17.23</x:v>
      </x:c>
      <x:c r="P221" s="6" t="n">
        <x:v>3.5</x:v>
      </x:c>
      <x:c r="Q221" t="str">
        <x:v>No</x:v>
      </x:c>
    </x:row>
    <x:row r="222">
      <x:c r="A222" t="str">
        <x:v>ORD-00078</x:v>
      </x:c>
      <x:c r="B222" s="3" t="n">
        <x:v>45377.722227592596</x:v>
      </x:c>
      <x:c r="C222" t="str">
        <x:v>2024-03</x:v>
      </x:c>
      <x:c r="D222" t="str">
        <x:v>CUS-0481</x:v>
      </x:c>
      <x:c r="E222" t="str">
        <x:v>North East</x:v>
      </x:c>
      <x:c r="F222" t="str">
        <x:v>Online</x:v>
      </x:c>
      <x:c r="G222" t="str">
        <x:v>Fashion</x:v>
      </x:c>
      <x:c r="H222" t="str">
        <x:v>Winter Jacket</x:v>
      </x:c>
      <x:c r="I222" t="n">
        <x:v>2</x:v>
      </x:c>
      <x:c r="J222" s="4" t="n">
        <x:v>90.95</x:v>
      </x:c>
      <x:c r="K222" s="4" t="n">
        <x:v>46</x:v>
      </x:c>
      <x:c r="L222" s="5" t="n">
        <x:v>0.2</x:v>
      </x:c>
      <x:c r="M222" s="4" t="n">
        <x:f>ROUND(I222*J222*(1-L222),2)</x:f>
        <x:v>145.52</x:v>
      </x:c>
      <x:c r="N222" s="4" t="n">
        <x:f>ROUND(I222*K222,2)</x:f>
        <x:v>92</x:v>
      </x:c>
      <x:c r="O222" s="4" t="n">
        <x:f>ROUND(M222-N222,2)</x:f>
        <x:v>53.52</x:v>
      </x:c>
      <x:c r="P222" s="6" t="n">
        <x:v>4.9</x:v>
      </x:c>
      <x:c r="Q222" t="str">
        <x:v>No</x:v>
      </x:c>
    </x:row>
    <x:row r="223">
      <x:c r="A223" t="str">
        <x:v>ORD-01717</x:v>
      </x:c>
      <x:c r="B223" s="3" t="n">
        <x:v>45377.993813125</x:v>
      </x:c>
      <x:c r="C223" t="str">
        <x:v>2024-03</x:v>
      </x:c>
      <x:c r="D223" t="str">
        <x:v>CUS-0228</x:v>
      </x:c>
      <x:c r="E223" t="str">
        <x:v>Scotland</x:v>
      </x:c>
      <x:c r="F223" t="str">
        <x:v>Marketplace</x:v>
      </x:c>
      <x:c r="G223" t="str">
        <x:v>Beauty</x:v>
      </x:c>
      <x:c r="H223" t="str">
        <x:v>Hair Dryer</x:v>
      </x:c>
      <x:c r="I223" t="n">
        <x:v>5</x:v>
      </x:c>
      <x:c r="J223" s="4" t="n">
        <x:v>61.26</x:v>
      </x:c>
      <x:c r="K223" s="4" t="n">
        <x:v>29</x:v>
      </x:c>
      <x:c r="L223" s="5" t="n">
        <x:v>0</x:v>
      </x:c>
      <x:c r="M223" s="4" t="n">
        <x:f>ROUND(I223*J223*(1-L223),2)</x:f>
        <x:v>306.3</x:v>
      </x:c>
      <x:c r="N223" s="4" t="n">
        <x:f>ROUND(I223*K223,2)</x:f>
        <x:v>145</x:v>
      </x:c>
      <x:c r="O223" s="4" t="n">
        <x:f>ROUND(M223-N223,2)</x:f>
        <x:v>161.3</x:v>
      </x:c>
      <x:c r="P223" s="6" t="n">
        <x:v>4.5</x:v>
      </x:c>
      <x:c r="Q223" t="str">
        <x:v>No</x:v>
      </x:c>
    </x:row>
    <x:row r="224">
      <x:c r="A224" t="str">
        <x:v>ORD-00227</x:v>
      </x:c>
      <x:c r="B224" s="3" t="n">
        <x:v>45378.49533017361</x:v>
      </x:c>
      <x:c r="C224" t="str">
        <x:v>2024-03</x:v>
      </x:c>
      <x:c r="D224" t="str">
        <x:v>CUS-0274</x:v>
      </x:c>
      <x:c r="E224" t="str">
        <x:v>Wales</x:v>
      </x:c>
      <x:c r="F224" t="str">
        <x:v>Store</x:v>
      </x:c>
      <x:c r="G224" t="str">
        <x:v>Sports</x:v>
      </x:c>
      <x:c r="H224" t="str">
        <x:v>Running Shoes</x:v>
      </x:c>
      <x:c r="I224" t="n">
        <x:v>5</x:v>
      </x:c>
      <x:c r="J224" s="4" t="n">
        <x:v>78.47</x:v>
      </x:c>
      <x:c r="K224" s="4" t="n">
        <x:v>38</x:v>
      </x:c>
      <x:c r="L224" s="5" t="n">
        <x:v>0.2</x:v>
      </x:c>
      <x:c r="M224" s="4" t="n">
        <x:f>ROUND(I224*J224*(1-L224),2)</x:f>
        <x:v>313.88</x:v>
      </x:c>
      <x:c r="N224" s="4" t="n">
        <x:f>ROUND(I224*K224,2)</x:f>
        <x:v>190</x:v>
      </x:c>
      <x:c r="O224" s="4" t="n">
        <x:f>ROUND(M224-N224,2)</x:f>
        <x:v>123.88</x:v>
      </x:c>
      <x:c r="P224" s="6" t="n">
        <x:v>5</x:v>
      </x:c>
      <x:c r="Q224" t="str">
        <x:v>No</x:v>
      </x:c>
    </x:row>
    <x:row r="225">
      <x:c r="A225" t="str">
        <x:v>ORD-00894</x:v>
      </x:c>
      <x:c r="B225" s="3" t="n">
        <x:v>45378.72187460648</x:v>
      </x:c>
      <x:c r="C225" t="str">
        <x:v>2024-03</x:v>
      </x:c>
      <x:c r="D225" t="str">
        <x:v>CUS-0136</x:v>
      </x:c>
      <x:c r="E225" t="str">
        <x:v>Scotland</x:v>
      </x:c>
      <x:c r="F225" t="str">
        <x:v>Store</x:v>
      </x:c>
      <x:c r="G225" t="str">
        <x:v>Books</x:v>
      </x:c>
      <x:c r="H225" t="str">
        <x:v>Business Intelligence Guide</x:v>
      </x:c>
      <x:c r="I225" t="n">
        <x:v>1</x:v>
      </x:c>
      <x:c r="J225" s="4" t="n">
        <x:v>35.37</x:v>
      </x:c>
      <x:c r="K225" s="4" t="n">
        <x:v>12</x:v>
      </x:c>
      <x:c r="L225" s="5" t="n">
        <x:v>0.1</x:v>
      </x:c>
      <x:c r="M225" s="4" t="n">
        <x:f>ROUND(I225*J225*(1-L225),2)</x:f>
        <x:v>31.83</x:v>
      </x:c>
      <x:c r="N225" s="4" t="n">
        <x:f>ROUND(I225*K225,2)</x:f>
        <x:v>12</x:v>
      </x:c>
      <x:c r="O225" s="4" t="n">
        <x:f>ROUND(M225-N225,2)</x:f>
        <x:v>19.83</x:v>
      </x:c>
      <x:c r="P225" s="6" t="n">
        <x:v>3.5</x:v>
      </x:c>
      <x:c r="Q225" t="str">
        <x:v>No</x:v>
      </x:c>
    </x:row>
    <x:row r="226">
      <x:c r="A226" t="str">
        <x:v>ORD-01283</x:v>
      </x:c>
      <x:c r="B226" s="3" t="n">
        <x:v>45379.09971425926</x:v>
      </x:c>
      <x:c r="C226" t="str">
        <x:v>2024-03</x:v>
      </x:c>
      <x:c r="D226" t="str">
        <x:v>CUS-0464</x:v>
      </x:c>
      <x:c r="E226" t="str">
        <x:v>Wales</x:v>
      </x:c>
      <x:c r="F226" t="str">
        <x:v>Store</x:v>
      </x:c>
      <x:c r="G226" t="str">
        <x:v>Sports</x:v>
      </x:c>
      <x:c r="H226" t="str">
        <x:v>Yoga Mat</x:v>
      </x:c>
      <x:c r="I226" t="n">
        <x:v>5</x:v>
      </x:c>
      <x:c r="J226" s="4" t="n">
        <x:v>31.35</x:v>
      </x:c>
      <x:c r="K226" s="4" t="n">
        <x:v>12</x:v>
      </x:c>
      <x:c r="L226" s="5" t="n">
        <x:v>0.2</x:v>
      </x:c>
      <x:c r="M226" s="4" t="n">
        <x:f>ROUND(I226*J226*(1-L226),2)</x:f>
        <x:v>125.4</x:v>
      </x:c>
      <x:c r="N226" s="4" t="n">
        <x:f>ROUND(I226*K226,2)</x:f>
        <x:v>60</x:v>
      </x:c>
      <x:c r="O226" s="4" t="n">
        <x:f>ROUND(M226-N226,2)</x:f>
        <x:v>65.4</x:v>
      </x:c>
      <x:c r="P226" s="6" t="n">
        <x:v>5</x:v>
      </x:c>
      <x:c r="Q226" t="str">
        <x:v>No</x:v>
      </x:c>
    </x:row>
    <x:row r="227">
      <x:c r="A227" t="str">
        <x:v>ORD-01093</x:v>
      </x:c>
      <x:c r="B227" s="3" t="n">
        <x:v>45379.37025789352</x:v>
      </x:c>
      <x:c r="C227" t="str">
        <x:v>2024-03</x:v>
      </x:c>
      <x:c r="D227" t="str">
        <x:v>CUS-0052</x:v>
      </x:c>
      <x:c r="E227" t="str">
        <x:v>London</x:v>
      </x:c>
      <x:c r="F227" t="str">
        <x:v>Marketplace</x:v>
      </x:c>
      <x:c r="G227" t="str">
        <x:v>Sports</x:v>
      </x:c>
      <x:c r="H227" t="str">
        <x:v>Running Shoes</x:v>
      </x:c>
      <x:c r="I227" t="n">
        <x:v>2</x:v>
      </x:c>
      <x:c r="J227" s="4" t="n">
        <x:v>81.43</x:v>
      </x:c>
      <x:c r="K227" s="4" t="n">
        <x:v>38</x:v>
      </x:c>
      <x:c r="L227" s="5" t="n">
        <x:v>0.2</x:v>
      </x:c>
      <x:c r="M227" s="4" t="n">
        <x:f>ROUND(I227*J227*(1-L227),2)</x:f>
        <x:v>130.29</x:v>
      </x:c>
      <x:c r="N227" s="4" t="n">
        <x:f>ROUND(I227*K227,2)</x:f>
        <x:v>76</x:v>
      </x:c>
      <x:c r="O227" s="4" t="n">
        <x:f>ROUND(M227-N227,2)</x:f>
        <x:v>54.29</x:v>
      </x:c>
      <x:c r="P227" s="6" t="n">
        <x:v>3.8</x:v>
      </x:c>
      <x:c r="Q227" t="str">
        <x:v>No</x:v>
      </x:c>
    </x:row>
    <x:row r="228">
      <x:c r="A228" t="str">
        <x:v>ORD-00361</x:v>
      </x:c>
      <x:c r="B228" s="3" t="n">
        <x:v>45380.27792862269</x:v>
      </x:c>
      <x:c r="C228" t="str">
        <x:v>2024-03</x:v>
      </x:c>
      <x:c r="D228" t="str">
        <x:v>CUS-0262</x:v>
      </x:c>
      <x:c r="E228" t="str">
        <x:v>London</x:v>
      </x:c>
      <x:c r="F228" t="str">
        <x:v>Online</x:v>
      </x:c>
      <x:c r="G228" t="str">
        <x:v>Electronics</x:v>
      </x:c>
      <x:c r="H228" t="str">
        <x:v>Wireless Headphones</x:v>
      </x:c>
      <x:c r="I228" t="n">
        <x:v>2</x:v>
      </x:c>
      <x:c r="J228" s="4" t="n">
        <x:v>85.77</x:v>
      </x:c>
      <x:c r="K228" s="4" t="n">
        <x:v>48</x:v>
      </x:c>
      <x:c r="L228" s="5" t="n">
        <x:v>0.15</x:v>
      </x:c>
      <x:c r="M228" s="4" t="n">
        <x:f>ROUND(I228*J228*(1-L228),2)</x:f>
        <x:v>145.81</x:v>
      </x:c>
      <x:c r="N228" s="4" t="n">
        <x:f>ROUND(I228*K228,2)</x:f>
        <x:v>96</x:v>
      </x:c>
      <x:c r="O228" s="4" t="n">
        <x:f>ROUND(M228-N228,2)</x:f>
        <x:v>49.81</x:v>
      </x:c>
      <x:c r="P228" s="6" t="n">
        <x:v>4</x:v>
      </x:c>
      <x:c r="Q228" t="str">
        <x:v>Yes</x:v>
      </x:c>
    </x:row>
    <x:row r="229">
      <x:c r="A229" t="str">
        <x:v>ORD-00650</x:v>
      </x:c>
      <x:c r="B229" s="3" t="n">
        <x:v>45381.18238255787</x:v>
      </x:c>
      <x:c r="C229" t="str">
        <x:v>2024-03</x:v>
      </x:c>
      <x:c r="D229" t="str">
        <x:v>CUS-0592</x:v>
      </x:c>
      <x:c r="E229" t="str">
        <x:v>Midlands</x:v>
      </x:c>
      <x:c r="F229" t="str">
        <x:v>Marketplace</x:v>
      </x:c>
      <x:c r="G229" t="str">
        <x:v>Home</x:v>
      </x:c>
      <x:c r="H229" t="str">
        <x:v>Desk Lamp</x:v>
      </x:c>
      <x:c r="I229" t="n">
        <x:v>4</x:v>
      </x:c>
      <x:c r="J229" s="4" t="n">
        <x:v>36.07</x:v>
      </x:c>
      <x:c r="K229" s="4" t="n">
        <x:v>17</x:v>
      </x:c>
      <x:c r="L229" s="5" t="n">
        <x:v>0.15</x:v>
      </x:c>
      <x:c r="M229" s="4" t="n">
        <x:f>ROUND(I229*J229*(1-L229),2)</x:f>
        <x:v>122.64</x:v>
      </x:c>
      <x:c r="N229" s="4" t="n">
        <x:f>ROUND(I229*K229,2)</x:f>
        <x:v>68</x:v>
      </x:c>
      <x:c r="O229" s="4" t="n">
        <x:f>ROUND(M229-N229,2)</x:f>
        <x:v>54.64</x:v>
      </x:c>
      <x:c r="P229" s="6" t="n">
        <x:v>5</x:v>
      </x:c>
      <x:c r="Q229" t="str">
        <x:v>No</x:v>
      </x:c>
    </x:row>
    <x:row r="230">
      <x:c r="A230" t="str">
        <x:v>ORD-00245</x:v>
      </x:c>
      <x:c r="B230" s="3" t="n">
        <x:v>45381.36823024305</x:v>
      </x:c>
      <x:c r="C230" t="str">
        <x:v>2024-03</x:v>
      </x:c>
      <x:c r="D230" t="str">
        <x:v>CUS-0140</x:v>
      </x:c>
      <x:c r="E230" t="str">
        <x:v>Wales</x:v>
      </x:c>
      <x:c r="F230" t="str">
        <x:v>Online</x:v>
      </x:c>
      <x:c r="G230" t="str">
        <x:v>Electronics</x:v>
      </x:c>
      <x:c r="H230" t="str">
        <x:v>Smart Watch</x:v>
      </x:c>
      <x:c r="I230" t="n">
        <x:v>3</x:v>
      </x:c>
      <x:c r="J230" s="4" t="n">
        <x:v>166.56</x:v>
      </x:c>
      <x:c r="K230" s="4" t="n">
        <x:v>92</x:v>
      </x:c>
      <x:c r="L230" s="5" t="n">
        <x:v>0.15</x:v>
      </x:c>
      <x:c r="M230" s="4" t="n">
        <x:f>ROUND(I230*J230*(1-L230),2)</x:f>
        <x:v>424.73</x:v>
      </x:c>
      <x:c r="N230" s="4" t="n">
        <x:f>ROUND(I230*K230,2)</x:f>
        <x:v>276</x:v>
      </x:c>
      <x:c r="O230" s="4" t="n">
        <x:f>ROUND(M230-N230,2)</x:f>
        <x:v>148.73</x:v>
      </x:c>
      <x:c r="P230" s="6" t="n">
        <x:v>4.2</x:v>
      </x:c>
      <x:c r="Q230" t="str">
        <x:v>No</x:v>
      </x:c>
    </x:row>
    <x:row r="231">
      <x:c r="A231" t="str">
        <x:v>ORD-00518</x:v>
      </x:c>
      <x:c r="B231" s="3" t="n">
        <x:v>45382.131386388886</x:v>
      </x:c>
      <x:c r="C231" t="str">
        <x:v>2024-03</x:v>
      </x:c>
      <x:c r="D231" t="str">
        <x:v>CUS-0374</x:v>
      </x:c>
      <x:c r="E231" t="str">
        <x:v>North West</x:v>
      </x:c>
      <x:c r="F231" t="str">
        <x:v>Store</x:v>
      </x:c>
      <x:c r="G231" t="str">
        <x:v>Home</x:v>
      </x:c>
      <x:c r="H231" t="str">
        <x:v>Coffee Maker</x:v>
      </x:c>
      <x:c r="I231" t="n">
        <x:v>2</x:v>
      </x:c>
      <x:c r="J231" s="4" t="n">
        <x:v>78.35</x:v>
      </x:c>
      <x:c r="K231" s="4" t="n">
        <x:v>41</x:v>
      </x:c>
      <x:c r="L231" s="5" t="n">
        <x:v>0.15</x:v>
      </x:c>
      <x:c r="M231" s="4" t="n">
        <x:f>ROUND(I231*J231*(1-L231),2)</x:f>
        <x:v>133.2</x:v>
      </x:c>
      <x:c r="N231" s="4" t="n">
        <x:f>ROUND(I231*K231,2)</x:f>
        <x:v>82</x:v>
      </x:c>
      <x:c r="O231" s="4" t="n">
        <x:f>ROUND(M231-N231,2)</x:f>
        <x:v>51.2</x:v>
      </x:c>
      <x:c r="P231" s="6" t="n">
        <x:v>5</x:v>
      </x:c>
      <x:c r="Q231" t="str">
        <x:v>No</x:v>
      </x:c>
    </x:row>
    <x:row r="232">
      <x:c r="A232" t="str">
        <x:v>ORD-00634</x:v>
      </x:c>
      <x:c r="B232" s="3" t="n">
        <x:v>45382.664375092594</x:v>
      </x:c>
      <x:c r="C232" t="str">
        <x:v>2024-03</x:v>
      </x:c>
      <x:c r="D232" t="str">
        <x:v>CUS-0136</x:v>
      </x:c>
      <x:c r="E232" t="str">
        <x:v>London</x:v>
      </x:c>
      <x:c r="F232" t="str">
        <x:v>Marketplace</x:v>
      </x:c>
      <x:c r="G232" t="str">
        <x:v>Sports</x:v>
      </x:c>
      <x:c r="H232" t="str">
        <x:v>Fitness Tracker</x:v>
      </x:c>
      <x:c r="I232" t="n">
        <x:v>3</x:v>
      </x:c>
      <x:c r="J232" s="4" t="n">
        <x:v>55.79</x:v>
      </x:c>
      <x:c r="K232" s="4" t="n">
        <x:v>27</x:v>
      </x:c>
      <x:c r="L232" s="5" t="n">
        <x:v>0.15</x:v>
      </x:c>
      <x:c r="M232" s="4" t="n">
        <x:f>ROUND(I232*J232*(1-L232),2)</x:f>
        <x:v>142.26</x:v>
      </x:c>
      <x:c r="N232" s="4" t="n">
        <x:f>ROUND(I232*K232,2)</x:f>
        <x:v>81</x:v>
      </x:c>
      <x:c r="O232" s="4" t="n">
        <x:f>ROUND(M232-N232,2)</x:f>
        <x:v>61.26</x:v>
      </x:c>
      <x:c r="P232" s="6" t="n">
        <x:v>4.9</x:v>
      </x:c>
      <x:c r="Q232" t="str">
        <x:v>No</x:v>
      </x:c>
    </x:row>
    <x:row r="233">
      <x:c r="A233" t="str">
        <x:v>ORD-00530</x:v>
      </x:c>
      <x:c r="B233" s="3" t="n">
        <x:v>45383.291425902775</x:v>
      </x:c>
      <x:c r="C233" t="str">
        <x:v>2024-04</x:v>
      </x:c>
      <x:c r="D233" t="str">
        <x:v>CUS-0388</x:v>
      </x:c>
      <x:c r="E233" t="str">
        <x:v>South East</x:v>
      </x:c>
      <x:c r="F233" t="str">
        <x:v>Online</x:v>
      </x:c>
      <x:c r="G233" t="str">
        <x:v>Home</x:v>
      </x:c>
      <x:c r="H233" t="str">
        <x:v>Desk Lamp</x:v>
      </x:c>
      <x:c r="I233" t="n">
        <x:v>4</x:v>
      </x:c>
      <x:c r="J233" s="4" t="n">
        <x:v>36.01</x:v>
      </x:c>
      <x:c r="K233" s="4" t="n">
        <x:v>17</x:v>
      </x:c>
      <x:c r="L233" s="5" t="n">
        <x:v>0</x:v>
      </x:c>
      <x:c r="M233" s="4" t="n">
        <x:f>ROUND(I233*J233*(1-L233),2)</x:f>
        <x:v>144.04</x:v>
      </x:c>
      <x:c r="N233" s="4" t="n">
        <x:f>ROUND(I233*K233,2)</x:f>
        <x:v>68</x:v>
      </x:c>
      <x:c r="O233" s="4" t="n">
        <x:f>ROUND(M233-N233,2)</x:f>
        <x:v>76.04</x:v>
      </x:c>
      <x:c r="P233" s="6" t="n">
        <x:v>4.9</x:v>
      </x:c>
      <x:c r="Q233" t="str">
        <x:v>No</x:v>
      </x:c>
    </x:row>
    <x:row r="234">
      <x:c r="A234" t="str">
        <x:v>ORD-01268</x:v>
      </x:c>
      <x:c r="B234" s="3" t="n">
        <x:v>45383.631636701386</x:v>
      </x:c>
      <x:c r="C234" t="str">
        <x:v>2024-04</x:v>
      </x:c>
      <x:c r="D234" t="str">
        <x:v>CUS-0537</x:v>
      </x:c>
      <x:c r="E234" t="str">
        <x:v>Midlands</x:v>
      </x:c>
      <x:c r="F234" t="str">
        <x:v>Marketplace</x:v>
      </x:c>
      <x:c r="G234" t="str">
        <x:v>Electronics</x:v>
      </x:c>
      <x:c r="H234" t="str">
        <x:v>Wireless Headphones</x:v>
      </x:c>
      <x:c r="I234" t="n">
        <x:v>3</x:v>
      </x:c>
      <x:c r="J234" s="4" t="n">
        <x:v>86.23</x:v>
      </x:c>
      <x:c r="K234" s="4" t="n">
        <x:v>48</x:v>
      </x:c>
      <x:c r="L234" s="5" t="n">
        <x:v>0</x:v>
      </x:c>
      <x:c r="M234" s="4" t="n">
        <x:f>ROUND(I234*J234*(1-L234),2)</x:f>
        <x:v>258.69</x:v>
      </x:c>
      <x:c r="N234" s="4" t="n">
        <x:f>ROUND(I234*K234,2)</x:f>
        <x:v>144</x:v>
      </x:c>
      <x:c r="O234" s="4" t="n">
        <x:f>ROUND(M234-N234,2)</x:f>
        <x:v>114.69</x:v>
      </x:c>
      <x:c r="P234" s="6" t="n">
        <x:v>4.6</x:v>
      </x:c>
      <x:c r="Q234" t="str">
        <x:v>No</x:v>
      </x:c>
    </x:row>
    <x:row r="235">
      <x:c r="A235" t="str">
        <x:v>ORD-00678</x:v>
      </x:c>
      <x:c r="B235" s="3" t="n">
        <x:v>45383.690192835646</x:v>
      </x:c>
      <x:c r="C235" t="str">
        <x:v>2024-04</x:v>
      </x:c>
      <x:c r="D235" t="str">
        <x:v>CUS-0013</x:v>
      </x:c>
      <x:c r="E235" t="str">
        <x:v>South West</x:v>
      </x:c>
      <x:c r="F235" t="str">
        <x:v>Online</x:v>
      </x:c>
      <x:c r="G235" t="str">
        <x:v>Fashion</x:v>
      </x:c>
      <x:c r="H235" t="str">
        <x:v>Winter Jacket</x:v>
      </x:c>
      <x:c r="I235" t="n">
        <x:v>3</x:v>
      </x:c>
      <x:c r="J235" s="4" t="n">
        <x:v>97.96</x:v>
      </x:c>
      <x:c r="K235" s="4" t="n">
        <x:v>46</x:v>
      </x:c>
      <x:c r="L235" s="5" t="n">
        <x:v>0</x:v>
      </x:c>
      <x:c r="M235" s="4" t="n">
        <x:f>ROUND(I235*J235*(1-L235),2)</x:f>
        <x:v>293.88</x:v>
      </x:c>
      <x:c r="N235" s="4" t="n">
        <x:f>ROUND(I235*K235,2)</x:f>
        <x:v>138</x:v>
      </x:c>
      <x:c r="O235" s="4" t="n">
        <x:f>ROUND(M235-N235,2)</x:f>
        <x:v>155.88</x:v>
      </x:c>
      <x:c r="P235" s="6" t="n">
        <x:v>5</x:v>
      </x:c>
      <x:c r="Q235" t="str">
        <x:v>No</x:v>
      </x:c>
    </x:row>
    <x:row r="236">
      <x:c r="A236" t="str">
        <x:v>ORD-01293</x:v>
      </x:c>
      <x:c r="B236" s="3" t="n">
        <x:v>45383.77130724537</x:v>
      </x:c>
      <x:c r="C236" t="str">
        <x:v>2024-04</x:v>
      </x:c>
      <x:c r="D236" t="str">
        <x:v>CUS-0169</x:v>
      </x:c>
      <x:c r="E236" t="str">
        <x:v>South West</x:v>
      </x:c>
      <x:c r="F236" t="str">
        <x:v>Store</x:v>
      </x:c>
      <x:c r="G236" t="str">
        <x:v>Sports</x:v>
      </x:c>
      <x:c r="H236" t="str">
        <x:v>Fitness Tracker</x:v>
      </x:c>
      <x:c r="I236" t="n">
        <x:v>4</x:v>
      </x:c>
      <x:c r="J236" s="4" t="n">
        <x:v>54.6</x:v>
      </x:c>
      <x:c r="K236" s="4" t="n">
        <x:v>27</x:v>
      </x:c>
      <x:c r="L236" s="5" t="n">
        <x:v>0.2</x:v>
      </x:c>
      <x:c r="M236" s="4" t="n">
        <x:f>ROUND(I236*J236*(1-L236),2)</x:f>
        <x:v>174.72</x:v>
      </x:c>
      <x:c r="N236" s="4" t="n">
        <x:f>ROUND(I236*K236,2)</x:f>
        <x:v>108</x:v>
      </x:c>
      <x:c r="O236" s="4" t="n">
        <x:f>ROUND(M236-N236,2)</x:f>
        <x:v>66.72</x:v>
      </x:c>
      <x:c r="P236" s="6" t="n">
        <x:v>5</x:v>
      </x:c>
      <x:c r="Q236" t="str">
        <x:v>No</x:v>
      </x:c>
    </x:row>
    <x:row r="237">
      <x:c r="A237" t="str">
        <x:v>ORD-01350</x:v>
      </x:c>
      <x:c r="B237" s="3" t="n">
        <x:v>45383.870732476855</x:v>
      </x:c>
      <x:c r="C237" t="str">
        <x:v>2024-04</x:v>
      </x:c>
      <x:c r="D237" t="str">
        <x:v>CUS-0003</x:v>
      </x:c>
      <x:c r="E237" t="str">
        <x:v>South West</x:v>
      </x:c>
      <x:c r="F237" t="str">
        <x:v>Store</x:v>
      </x:c>
      <x:c r="G237" t="str">
        <x:v>Home</x:v>
      </x:c>
      <x:c r="H237" t="str">
        <x:v>Coffee Maker</x:v>
      </x:c>
      <x:c r="I237" t="n">
        <x:v>4</x:v>
      </x:c>
      <x:c r="J237" s="4" t="n">
        <x:v>77.93</x:v>
      </x:c>
      <x:c r="K237" s="4" t="n">
        <x:v>41</x:v>
      </x:c>
      <x:c r="L237" s="5" t="n">
        <x:v>0.1</x:v>
      </x:c>
      <x:c r="M237" s="4" t="n">
        <x:f>ROUND(I237*J237*(1-L237),2)</x:f>
        <x:v>280.55</x:v>
      </x:c>
      <x:c r="N237" s="4" t="n">
        <x:f>ROUND(I237*K237,2)</x:f>
        <x:v>164</x:v>
      </x:c>
      <x:c r="O237" s="4" t="n">
        <x:f>ROUND(M237-N237,2)</x:f>
        <x:v>116.55</x:v>
      </x:c>
      <x:c r="P237" s="6" t="n">
        <x:v>4.7</x:v>
      </x:c>
      <x:c r="Q237" t="str">
        <x:v>No</x:v>
      </x:c>
    </x:row>
    <x:row r="238">
      <x:c r="A238" t="str">
        <x:v>ORD-00900</x:v>
      </x:c>
      <x:c r="B238" s="3" t="n">
        <x:v>45384.33561292824</x:v>
      </x:c>
      <x:c r="C238" t="str">
        <x:v>2024-04</x:v>
      </x:c>
      <x:c r="D238" t="str">
        <x:v>CUS-0115</x:v>
      </x:c>
      <x:c r="E238" t="str">
        <x:v>Scotland</x:v>
      </x:c>
      <x:c r="F238" t="str">
        <x:v>Store</x:v>
      </x:c>
      <x:c r="G238" t="str">
        <x:v>Home</x:v>
      </x:c>
      <x:c r="H238" t="str">
        <x:v>Coffee Maker</x:v>
      </x:c>
      <x:c r="I238" t="n">
        <x:v>3</x:v>
      </x:c>
      <x:c r="J238" s="4" t="n">
        <x:v>75.29</x:v>
      </x:c>
      <x:c r="K238" s="4" t="n">
        <x:v>41</x:v>
      </x:c>
      <x:c r="L238" s="5" t="n">
        <x:v>0</x:v>
      </x:c>
      <x:c r="M238" s="4" t="n">
        <x:f>ROUND(I238*J238*(1-L238),2)</x:f>
        <x:v>225.87</x:v>
      </x:c>
      <x:c r="N238" s="4" t="n">
        <x:f>ROUND(I238*K238,2)</x:f>
        <x:v>123</x:v>
      </x:c>
      <x:c r="O238" s="4" t="n">
        <x:f>ROUND(M238-N238,2)</x:f>
        <x:v>102.87</x:v>
      </x:c>
      <x:c r="P238" s="6" t="n">
        <x:v>5</x:v>
      </x:c>
      <x:c r="Q238" t="str">
        <x:v>Yes</x:v>
      </x:c>
    </x:row>
    <x:row r="239">
      <x:c r="A239" t="str">
        <x:v>ORD-00452</x:v>
      </x:c>
      <x:c r="B239" s="3" t="n">
        <x:v>45384.44093225694</x:v>
      </x:c>
      <x:c r="C239" t="str">
        <x:v>2024-04</x:v>
      </x:c>
      <x:c r="D239" t="str">
        <x:v>CUS-0260</x:v>
      </x:c>
      <x:c r="E239" t="str">
        <x:v>Midlands</x:v>
      </x:c>
      <x:c r="F239" t="str">
        <x:v>Marketplace</x:v>
      </x:c>
      <x:c r="G239" t="str">
        <x:v>Sports</x:v>
      </x:c>
      <x:c r="H239" t="str">
        <x:v>Running Shoes</x:v>
      </x:c>
      <x:c r="I239" t="n">
        <x:v>5</x:v>
      </x:c>
      <x:c r="J239" s="4" t="n">
        <x:v>81.24</x:v>
      </x:c>
      <x:c r="K239" s="4" t="n">
        <x:v>38</x:v>
      </x:c>
      <x:c r="L239" s="5" t="n">
        <x:v>0</x:v>
      </x:c>
      <x:c r="M239" s="4" t="n">
        <x:f>ROUND(I239*J239*(1-L239),2)</x:f>
        <x:v>406.2</x:v>
      </x:c>
      <x:c r="N239" s="4" t="n">
        <x:f>ROUND(I239*K239,2)</x:f>
        <x:v>190</x:v>
      </x:c>
      <x:c r="O239" s="4" t="n">
        <x:f>ROUND(M239-N239,2)</x:f>
        <x:v>216.2</x:v>
      </x:c>
      <x:c r="P239" s="6" t="n">
        <x:v>4.1</x:v>
      </x:c>
      <x:c r="Q239" t="str">
        <x:v>No</x:v>
      </x:c>
    </x:row>
    <x:row r="240">
      <x:c r="A240" t="str">
        <x:v>ORD-00393</x:v>
      </x:c>
      <x:c r="B240" s="3" t="n">
        <x:v>45385.00040476852</x:v>
      </x:c>
      <x:c r="C240" t="str">
        <x:v>2024-04</x:v>
      </x:c>
      <x:c r="D240" t="str">
        <x:v>CUS-0226</x:v>
      </x:c>
      <x:c r="E240" t="str">
        <x:v>Scotland</x:v>
      </x:c>
      <x:c r="F240" t="str">
        <x:v>Online</x:v>
      </x:c>
      <x:c r="G240" t="str">
        <x:v>Electronics</x:v>
      </x:c>
      <x:c r="H240" t="str">
        <x:v>Smart Watch</x:v>
      </x:c>
      <x:c r="I240" t="n">
        <x:v>2</x:v>
      </x:c>
      <x:c r="J240" s="4" t="n">
        <x:v>154.71</x:v>
      </x:c>
      <x:c r="K240" s="4" t="n">
        <x:v>92</x:v>
      </x:c>
      <x:c r="L240" s="5" t="n">
        <x:v>0</x:v>
      </x:c>
      <x:c r="M240" s="4" t="n">
        <x:f>ROUND(I240*J240*(1-L240),2)</x:f>
        <x:v>309.42</x:v>
      </x:c>
      <x:c r="N240" s="4" t="n">
        <x:f>ROUND(I240*K240,2)</x:f>
        <x:v>184</x:v>
      </x:c>
      <x:c r="O240" s="4" t="n">
        <x:f>ROUND(M240-N240,2)</x:f>
        <x:v>125.42</x:v>
      </x:c>
      <x:c r="P240" s="6" t="n">
        <x:v>4.7</x:v>
      </x:c>
      <x:c r="Q240" t="str">
        <x:v>Yes</x:v>
      </x:c>
    </x:row>
    <x:row r="241">
      <x:c r="A241" t="str">
        <x:v>ORD-00181</x:v>
      </x:c>
      <x:c r="B241" s="3" t="n">
        <x:v>45385.3602915625</x:v>
      </x:c>
      <x:c r="C241" t="str">
        <x:v>2024-04</x:v>
      </x:c>
      <x:c r="D241" t="str">
        <x:v>CUS-0109</x:v>
      </x:c>
      <x:c r="E241" t="str">
        <x:v>North East</x:v>
      </x:c>
      <x:c r="F241" t="str">
        <x:v>Marketplace</x:v>
      </x:c>
      <x:c r="G241" t="str">
        <x:v>Fashion</x:v>
      </x:c>
      <x:c r="H241" t="str">
        <x:v>Backpack</x:v>
      </x:c>
      <x:c r="I241" t="n">
        <x:v>3</x:v>
      </x:c>
      <x:c r="J241" s="4" t="n">
        <x:v>50.6</x:v>
      </x:c>
      <x:c r="K241" s="4" t="n">
        <x:v>21</x:v>
      </x:c>
      <x:c r="L241" s="5" t="n">
        <x:v>0.05</x:v>
      </x:c>
      <x:c r="M241" s="4" t="n">
        <x:f>ROUND(I241*J241*(1-L241),2)</x:f>
        <x:v>144.21</x:v>
      </x:c>
      <x:c r="N241" s="4" t="n">
        <x:f>ROUND(I241*K241,2)</x:f>
        <x:v>63</x:v>
      </x:c>
      <x:c r="O241" s="4" t="n">
        <x:f>ROUND(M241-N241,2)</x:f>
        <x:v>81.21</x:v>
      </x:c>
      <x:c r="P241" s="6" t="n">
        <x:v>4</x:v>
      </x:c>
      <x:c r="Q241" t="str">
        <x:v>Yes</x:v>
      </x:c>
    </x:row>
    <x:row r="242">
      <x:c r="A242" t="str">
        <x:v>ORD-00387</x:v>
      </x:c>
      <x:c r="B242" s="3" t="n">
        <x:v>45385.70652733796</x:v>
      </x:c>
      <x:c r="C242" t="str">
        <x:v>2024-04</x:v>
      </x:c>
      <x:c r="D242" t="str">
        <x:v>CUS-0507</x:v>
      </x:c>
      <x:c r="E242" t="str">
        <x:v>South West</x:v>
      </x:c>
      <x:c r="F242" t="str">
        <x:v>Online</x:v>
      </x:c>
      <x:c r="G242" t="str">
        <x:v>Electronics</x:v>
      </x:c>
      <x:c r="H242" t="str">
        <x:v>Bluetooth Speaker</x:v>
      </x:c>
      <x:c r="I242" t="n">
        <x:v>4</x:v>
      </x:c>
      <x:c r="J242" s="4" t="n">
        <x:v>62.19</x:v>
      </x:c>
      <x:c r="K242" s="4" t="n">
        <x:v>34</x:v>
      </x:c>
      <x:c r="L242" s="5" t="n">
        <x:v>0.15</x:v>
      </x:c>
      <x:c r="M242" s="4" t="n">
        <x:f>ROUND(I242*J242*(1-L242),2)</x:f>
        <x:v>211.45</x:v>
      </x:c>
      <x:c r="N242" s="4" t="n">
        <x:f>ROUND(I242*K242,2)</x:f>
        <x:v>136</x:v>
      </x:c>
      <x:c r="O242" s="4" t="n">
        <x:f>ROUND(M242-N242,2)</x:f>
        <x:v>75.45</x:v>
      </x:c>
      <x:c r="P242" s="6" t="n">
        <x:v>3.5</x:v>
      </x:c>
      <x:c r="Q242" t="str">
        <x:v>No</x:v>
      </x:c>
    </x:row>
    <x:row r="243">
      <x:c r="A243" t="str">
        <x:v>ORD-00699</x:v>
      </x:c>
      <x:c r="B243" s="3" t="n">
        <x:v>45385.923472407405</x:v>
      </x:c>
      <x:c r="C243" t="str">
        <x:v>2024-04</x:v>
      </x:c>
      <x:c r="D243" t="str">
        <x:v>CUS-0301</x:v>
      </x:c>
      <x:c r="E243" t="str">
        <x:v>Midlands</x:v>
      </x:c>
      <x:c r="F243" t="str">
        <x:v>Online</x:v>
      </x:c>
      <x:c r="G243" t="str">
        <x:v>Beauty</x:v>
      </x:c>
      <x:c r="H243" t="str">
        <x:v>Hair Dryer</x:v>
      </x:c>
      <x:c r="I243" t="n">
        <x:v>1</x:v>
      </x:c>
      <x:c r="J243" s="4" t="n">
        <x:v>61.54</x:v>
      </x:c>
      <x:c r="K243" s="4" t="n">
        <x:v>29</x:v>
      </x:c>
      <x:c r="L243" s="5" t="n">
        <x:v>0.05</x:v>
      </x:c>
      <x:c r="M243" s="4" t="n">
        <x:f>ROUND(I243*J243*(1-L243),2)</x:f>
        <x:v>58.46</x:v>
      </x:c>
      <x:c r="N243" s="4" t="n">
        <x:f>ROUND(I243*K243,2)</x:f>
        <x:v>29</x:v>
      </x:c>
      <x:c r="O243" s="4" t="n">
        <x:f>ROUND(M243-N243,2)</x:f>
        <x:v>29.46</x:v>
      </x:c>
      <x:c r="P243" s="6" t="n">
        <x:v>4.6</x:v>
      </x:c>
      <x:c r="Q243" t="str">
        <x:v>Yes</x:v>
      </x:c>
    </x:row>
    <x:row r="244">
      <x:c r="A244" t="str">
        <x:v>ORD-00290</x:v>
      </x:c>
      <x:c r="B244" s="3" t="n">
        <x:v>45386.72404494213</x:v>
      </x:c>
      <x:c r="C244" t="str">
        <x:v>2024-04</x:v>
      </x:c>
      <x:c r="D244" t="str">
        <x:v>CUS-0221</x:v>
      </x:c>
      <x:c r="E244" t="str">
        <x:v>South East</x:v>
      </x:c>
      <x:c r="F244" t="str">
        <x:v>Marketplace</x:v>
      </x:c>
      <x:c r="G244" t="str">
        <x:v>Home</x:v>
      </x:c>
      <x:c r="H244" t="str">
        <x:v>Air Fryer</x:v>
      </x:c>
      <x:c r="I244" t="n">
        <x:v>2</x:v>
      </x:c>
      <x:c r="J244" s="4" t="n">
        <x:v>120.94</x:v>
      </x:c>
      <x:c r="K244" s="4" t="n">
        <x:v>69</x:v>
      </x:c>
      <x:c r="L244" s="5" t="n">
        <x:v>0</x:v>
      </x:c>
      <x:c r="M244" s="4" t="n">
        <x:f>ROUND(I244*J244*(1-L244),2)</x:f>
        <x:v>241.88</x:v>
      </x:c>
      <x:c r="N244" s="4" t="n">
        <x:f>ROUND(I244*K244,2)</x:f>
        <x:v>138</x:v>
      </x:c>
      <x:c r="O244" s="4" t="n">
        <x:f>ROUND(M244-N244,2)</x:f>
        <x:v>103.88</x:v>
      </x:c>
      <x:c r="P244" s="6" t="n">
        <x:v>3.3</x:v>
      </x:c>
      <x:c r="Q244" t="str">
        <x:v>No</x:v>
      </x:c>
    </x:row>
    <x:row r="245">
      <x:c r="A245" t="str">
        <x:v>ORD-01379</x:v>
      </x:c>
      <x:c r="B245" s="3" t="n">
        <x:v>45386.901774363425</x:v>
      </x:c>
      <x:c r="C245" t="str">
        <x:v>2024-04</x:v>
      </x:c>
      <x:c r="D245" t="str">
        <x:v>CUS-0356</x:v>
      </x:c>
      <x:c r="E245" t="str">
        <x:v>Scotland</x:v>
      </x:c>
      <x:c r="F245" t="str">
        <x:v>Online</x:v>
      </x:c>
      <x:c r="G245" t="str">
        <x:v>Sports</x:v>
      </x:c>
      <x:c r="H245" t="str">
        <x:v>Fitness Tracker</x:v>
      </x:c>
      <x:c r="I245" t="n">
        <x:v>5</x:v>
      </x:c>
      <x:c r="J245" s="4" t="n">
        <x:v>55.71</x:v>
      </x:c>
      <x:c r="K245" s="4" t="n">
        <x:v>27</x:v>
      </x:c>
      <x:c r="L245" s="5" t="n">
        <x:v>0.1</x:v>
      </x:c>
      <x:c r="M245" s="4" t="n">
        <x:f>ROUND(I245*J245*(1-L245),2)</x:f>
        <x:v>250.7</x:v>
      </x:c>
      <x:c r="N245" s="4" t="n">
        <x:f>ROUND(I245*K245,2)</x:f>
        <x:v>135</x:v>
      </x:c>
      <x:c r="O245" s="4" t="n">
        <x:f>ROUND(M245-N245,2)</x:f>
        <x:v>115.7</x:v>
      </x:c>
      <x:c r="P245" s="6" t="n">
        <x:v>4.2</x:v>
      </x:c>
      <x:c r="Q245" t="str">
        <x:v>No</x:v>
      </x:c>
    </x:row>
    <x:row r="246">
      <x:c r="A246" t="str">
        <x:v>ORD-00853</x:v>
      </x:c>
      <x:c r="B246" s="3" t="n">
        <x:v>45386.93415295139</x:v>
      </x:c>
      <x:c r="C246" t="str">
        <x:v>2024-04</x:v>
      </x:c>
      <x:c r="D246" t="str">
        <x:v>CUS-0080</x:v>
      </x:c>
      <x:c r="E246" t="str">
        <x:v>North West</x:v>
      </x:c>
      <x:c r="F246" t="str">
        <x:v>Store</x:v>
      </x:c>
      <x:c r="G246" t="str">
        <x:v>Home</x:v>
      </x:c>
      <x:c r="H246" t="str">
        <x:v>Desk Lamp</x:v>
      </x:c>
      <x:c r="I246" t="n">
        <x:v>5</x:v>
      </x:c>
      <x:c r="J246" s="4" t="n">
        <x:v>34.11</x:v>
      </x:c>
      <x:c r="K246" s="4" t="n">
        <x:v>17</x:v>
      </x:c>
      <x:c r="L246" s="5" t="n">
        <x:v>0.1</x:v>
      </x:c>
      <x:c r="M246" s="4" t="n">
        <x:f>ROUND(I246*J246*(1-L246),2)</x:f>
        <x:v>153.5</x:v>
      </x:c>
      <x:c r="N246" s="4" t="n">
        <x:f>ROUND(I246*K246,2)</x:f>
        <x:v>85</x:v>
      </x:c>
      <x:c r="O246" s="4" t="n">
        <x:f>ROUND(M246-N246,2)</x:f>
        <x:v>68.5</x:v>
      </x:c>
      <x:c r="P246" s="6" t="n">
        <x:v>3.8</x:v>
      </x:c>
      <x:c r="Q246" t="str">
        <x:v>Yes</x:v>
      </x:c>
    </x:row>
    <x:row r="247">
      <x:c r="A247" t="str">
        <x:v>ORD-01294</x:v>
      </x:c>
      <x:c r="B247" s="3" t="n">
        <x:v>45387.14337917824</x:v>
      </x:c>
      <x:c r="C247" t="str">
        <x:v>2024-04</x:v>
      </x:c>
      <x:c r="D247" t="str">
        <x:v>CUS-0422</x:v>
      </x:c>
      <x:c r="E247" t="str">
        <x:v>London</x:v>
      </x:c>
      <x:c r="F247" t="str">
        <x:v>Store</x:v>
      </x:c>
      <x:c r="G247" t="str">
        <x:v>Sports</x:v>
      </x:c>
      <x:c r="H247" t="str">
        <x:v>Running Shoes</x:v>
      </x:c>
      <x:c r="I247" t="n">
        <x:v>5</x:v>
      </x:c>
      <x:c r="J247" s="4" t="n">
        <x:v>83</x:v>
      </x:c>
      <x:c r="K247" s="4" t="n">
        <x:v>38</x:v>
      </x:c>
      <x:c r="L247" s="5" t="n">
        <x:v>0.2</x:v>
      </x:c>
      <x:c r="M247" s="4" t="n">
        <x:f>ROUND(I247*J247*(1-L247),2)</x:f>
        <x:v>332</x:v>
      </x:c>
      <x:c r="N247" s="4" t="n">
        <x:f>ROUND(I247*K247,2)</x:f>
        <x:v>190</x:v>
      </x:c>
      <x:c r="O247" s="4" t="n">
        <x:f>ROUND(M247-N247,2)</x:f>
        <x:v>142</x:v>
      </x:c>
      <x:c r="P247" s="6" t="n">
        <x:v>5</x:v>
      </x:c>
      <x:c r="Q247" t="str">
        <x:v>No</x:v>
      </x:c>
    </x:row>
    <x:row r="248">
      <x:c r="A248" t="str">
        <x:v>ORD-00841</x:v>
      </x:c>
      <x:c r="B248" s="3" t="n">
        <x:v>45387.815395949074</x:v>
      </x:c>
      <x:c r="C248" t="str">
        <x:v>2024-04</x:v>
      </x:c>
      <x:c r="D248" t="str">
        <x:v>CUS-0237</x:v>
      </x:c>
      <x:c r="E248" t="str">
        <x:v>North East</x:v>
      </x:c>
      <x:c r="F248" t="str">
        <x:v>Marketplace</x:v>
      </x:c>
      <x:c r="G248" t="str">
        <x:v>Fashion</x:v>
      </x:c>
      <x:c r="H248" t="str">
        <x:v>Classic Trainers</x:v>
      </x:c>
      <x:c r="I248" t="n">
        <x:v>3</x:v>
      </x:c>
      <x:c r="J248" s="4" t="n">
        <x:v>73.48</x:v>
      </x:c>
      <x:c r="K248" s="4" t="n">
        <x:v>32</x:v>
      </x:c>
      <x:c r="L248" s="5" t="n">
        <x:v>0.05</x:v>
      </x:c>
      <x:c r="M248" s="4" t="n">
        <x:f>ROUND(I248*J248*(1-L248),2)</x:f>
        <x:v>209.42</x:v>
      </x:c>
      <x:c r="N248" s="4" t="n">
        <x:f>ROUND(I248*K248,2)</x:f>
        <x:v>96</x:v>
      </x:c>
      <x:c r="O248" s="4" t="n">
        <x:f>ROUND(M248-N248,2)</x:f>
        <x:v>113.42</x:v>
      </x:c>
      <x:c r="P248" s="6" t="n">
        <x:v>5</x:v>
      </x:c>
      <x:c r="Q248" t="str">
        <x:v>No</x:v>
      </x:c>
    </x:row>
    <x:row r="249">
      <x:c r="A249" t="str">
        <x:v>ORD-01786</x:v>
      </x:c>
      <x:c r="B249" s="3" t="n">
        <x:v>45388.182707210646</x:v>
      </x:c>
      <x:c r="C249" t="str">
        <x:v>2024-04</x:v>
      </x:c>
      <x:c r="D249" t="str">
        <x:v>CUS-0467</x:v>
      </x:c>
      <x:c r="E249" t="str">
        <x:v>Scotland</x:v>
      </x:c>
      <x:c r="F249" t="str">
        <x:v>Marketplace</x:v>
      </x:c>
      <x:c r="G249" t="str">
        <x:v>Home</x:v>
      </x:c>
      <x:c r="H249" t="str">
        <x:v>Air Fryer</x:v>
      </x:c>
      <x:c r="I249" t="n">
        <x:v>4</x:v>
      </x:c>
      <x:c r="J249" s="4" t="n">
        <x:v>118.8</x:v>
      </x:c>
      <x:c r="K249" s="4" t="n">
        <x:v>69</x:v>
      </x:c>
      <x:c r="L249" s="5" t="n">
        <x:v>0</x:v>
      </x:c>
      <x:c r="M249" s="4" t="n">
        <x:f>ROUND(I249*J249*(1-L249),2)</x:f>
        <x:v>475.2</x:v>
      </x:c>
      <x:c r="N249" s="4" t="n">
        <x:f>ROUND(I249*K249,2)</x:f>
        <x:v>276</x:v>
      </x:c>
      <x:c r="O249" s="4" t="n">
        <x:f>ROUND(M249-N249,2)</x:f>
        <x:v>199.2</x:v>
      </x:c>
      <x:c r="P249" s="6" t="n">
        <x:v>3.5</x:v>
      </x:c>
      <x:c r="Q249" t="str">
        <x:v>No</x:v>
      </x:c>
    </x:row>
    <x:row r="250">
      <x:c r="A250" t="str">
        <x:v>ORD-00693</x:v>
      </x:c>
      <x:c r="B250" s="3" t="n">
        <x:v>45388.84555395833</x:v>
      </x:c>
      <x:c r="C250" t="str">
        <x:v>2024-04</x:v>
      </x:c>
      <x:c r="D250" t="str">
        <x:v>CUS-0090</x:v>
      </x:c>
      <x:c r="E250" t="str">
        <x:v>Midlands</x:v>
      </x:c>
      <x:c r="F250" t="str">
        <x:v>Marketplace</x:v>
      </x:c>
      <x:c r="G250" t="str">
        <x:v>Fashion</x:v>
      </x:c>
      <x:c r="H250" t="str">
        <x:v>Backpack</x:v>
      </x:c>
      <x:c r="I250" t="n">
        <x:v>4</x:v>
      </x:c>
      <x:c r="J250" s="4" t="n">
        <x:v>49.57</x:v>
      </x:c>
      <x:c r="K250" s="4" t="n">
        <x:v>21</x:v>
      </x:c>
      <x:c r="L250" s="5" t="n">
        <x:v>0.05</x:v>
      </x:c>
      <x:c r="M250" s="4" t="n">
        <x:f>ROUND(I250*J250*(1-L250),2)</x:f>
        <x:v>188.37</x:v>
      </x:c>
      <x:c r="N250" s="4" t="n">
        <x:f>ROUND(I250*K250,2)</x:f>
        <x:v>84</x:v>
      </x:c>
      <x:c r="O250" s="4" t="n">
        <x:f>ROUND(M250-N250,2)</x:f>
        <x:v>104.37</x:v>
      </x:c>
      <x:c r="P250" s="6" t="n">
        <x:v>5</x:v>
      </x:c>
      <x:c r="Q250" t="str">
        <x:v>No</x:v>
      </x:c>
    </x:row>
    <x:row r="251">
      <x:c r="A251" t="str">
        <x:v>ORD-00668</x:v>
      </x:c>
      <x:c r="B251" s="3" t="n">
        <x:v>45389.03611311343</x:v>
      </x:c>
      <x:c r="C251" t="str">
        <x:v>2024-04</x:v>
      </x:c>
      <x:c r="D251" t="str">
        <x:v>CUS-0472</x:v>
      </x:c>
      <x:c r="E251" t="str">
        <x:v>South East</x:v>
      </x:c>
      <x:c r="F251" t="str">
        <x:v>Marketplace</x:v>
      </x:c>
      <x:c r="G251" t="str">
        <x:v>Home</x:v>
      </x:c>
      <x:c r="H251" t="str">
        <x:v>Coffee Maker</x:v>
      </x:c>
      <x:c r="I251" t="n">
        <x:v>5</x:v>
      </x:c>
      <x:c r="J251" s="4" t="n">
        <x:v>75.82</x:v>
      </x:c>
      <x:c r="K251" s="4" t="n">
        <x:v>41</x:v>
      </x:c>
      <x:c r="L251" s="5" t="n">
        <x:v>0.1</x:v>
      </x:c>
      <x:c r="M251" s="4" t="n">
        <x:f>ROUND(I251*J251*(1-L251),2)</x:f>
        <x:v>341.19</x:v>
      </x:c>
      <x:c r="N251" s="4" t="n">
        <x:f>ROUND(I251*K251,2)</x:f>
        <x:v>205</x:v>
      </x:c>
      <x:c r="O251" s="4" t="n">
        <x:f>ROUND(M251-N251,2)</x:f>
        <x:v>136.19</x:v>
      </x:c>
      <x:c r="P251" s="6" t="n">
        <x:v>5</x:v>
      </x:c>
      <x:c r="Q251" t="str">
        <x:v>No</x:v>
      </x:c>
    </x:row>
    <x:row r="252">
      <x:c r="A252" t="str">
        <x:v>ORD-00910</x:v>
      </x:c>
      <x:c r="B252" s="3" t="n">
        <x:v>45389.20951755787</x:v>
      </x:c>
      <x:c r="C252" t="str">
        <x:v>2024-04</x:v>
      </x:c>
      <x:c r="D252" t="str">
        <x:v>CUS-0503</x:v>
      </x:c>
      <x:c r="E252" t="str">
        <x:v>London</x:v>
      </x:c>
      <x:c r="F252" t="str">
        <x:v>Online</x:v>
      </x:c>
      <x:c r="G252" t="str">
        <x:v>Fashion</x:v>
      </x:c>
      <x:c r="H252" t="str">
        <x:v>Winter Jacket</x:v>
      </x:c>
      <x:c r="I252" t="n">
        <x:v>3</x:v>
      </x:c>
      <x:c r="J252" s="4" t="n">
        <x:v>97.3</x:v>
      </x:c>
      <x:c r="K252" s="4" t="n">
        <x:v>46</x:v>
      </x:c>
      <x:c r="L252" s="5" t="n">
        <x:v>0</x:v>
      </x:c>
      <x:c r="M252" s="4" t="n">
        <x:f>ROUND(I252*J252*(1-L252),2)</x:f>
        <x:v>291.9</x:v>
      </x:c>
      <x:c r="N252" s="4" t="n">
        <x:f>ROUND(I252*K252,2)</x:f>
        <x:v>138</x:v>
      </x:c>
      <x:c r="O252" s="4" t="n">
        <x:f>ROUND(M252-N252,2)</x:f>
        <x:v>153.9</x:v>
      </x:c>
      <x:c r="P252" s="6" t="n">
        <x:v>4</x:v>
      </x:c>
      <x:c r="Q252" t="str">
        <x:v>No</x:v>
      </x:c>
    </x:row>
    <x:row r="253">
      <x:c r="A253" t="str">
        <x:v>ORD-00037</x:v>
      </x:c>
      <x:c r="B253" s="3" t="n">
        <x:v>45389.94847525463</x:v>
      </x:c>
      <x:c r="C253" t="str">
        <x:v>2024-04</x:v>
      </x:c>
      <x:c r="D253" t="str">
        <x:v>CUS-0363</x:v>
      </x:c>
      <x:c r="E253" t="str">
        <x:v>North East</x:v>
      </x:c>
      <x:c r="F253" t="str">
        <x:v>Marketplace</x:v>
      </x:c>
      <x:c r="G253" t="str">
        <x:v>Sports</x:v>
      </x:c>
      <x:c r="H253" t="str">
        <x:v>Fitness Tracker</x:v>
      </x:c>
      <x:c r="I253" t="n">
        <x:v>3</x:v>
      </x:c>
      <x:c r="J253" s="4" t="n">
        <x:v>56.02</x:v>
      </x:c>
      <x:c r="K253" s="4" t="n">
        <x:v>27</x:v>
      </x:c>
      <x:c r="L253" s="5" t="n">
        <x:v>0.15</x:v>
      </x:c>
      <x:c r="M253" s="4" t="n">
        <x:f>ROUND(I253*J253*(1-L253),2)</x:f>
        <x:v>142.85</x:v>
      </x:c>
      <x:c r="N253" s="4" t="n">
        <x:f>ROUND(I253*K253,2)</x:f>
        <x:v>81</x:v>
      </x:c>
      <x:c r="O253" s="4" t="n">
        <x:f>ROUND(M253-N253,2)</x:f>
        <x:v>61.85</x:v>
      </x:c>
      <x:c r="P253" s="6" t="n">
        <x:v>4.8</x:v>
      </x:c>
      <x:c r="Q253" t="str">
        <x:v>No</x:v>
      </x:c>
    </x:row>
    <x:row r="254">
      <x:c r="A254" t="str">
        <x:v>ORD-01512</x:v>
      </x:c>
      <x:c r="B254" s="3" t="n">
        <x:v>45390.68334966435</x:v>
      </x:c>
      <x:c r="C254" t="str">
        <x:v>2024-04</x:v>
      </x:c>
      <x:c r="D254" t="str">
        <x:v>CUS-0078</x:v>
      </x:c>
      <x:c r="E254" t="str">
        <x:v>Midlands</x:v>
      </x:c>
      <x:c r="F254" t="str">
        <x:v>Marketplace</x:v>
      </x:c>
      <x:c r="G254" t="str">
        <x:v>Electronics</x:v>
      </x:c>
      <x:c r="H254" t="str">
        <x:v>Bluetooth Speaker</x:v>
      </x:c>
      <x:c r="I254" t="n">
        <x:v>3</x:v>
      </x:c>
      <x:c r="J254" s="4" t="n">
        <x:v>64.01</x:v>
      </x:c>
      <x:c r="K254" s="4" t="n">
        <x:v>34</x:v>
      </x:c>
      <x:c r="L254" s="5" t="n">
        <x:v>0.2</x:v>
      </x:c>
      <x:c r="M254" s="4" t="n">
        <x:f>ROUND(I254*J254*(1-L254),2)</x:f>
        <x:v>153.62</x:v>
      </x:c>
      <x:c r="N254" s="4" t="n">
        <x:f>ROUND(I254*K254,2)</x:f>
        <x:v>102</x:v>
      </x:c>
      <x:c r="O254" s="4" t="n">
        <x:f>ROUND(M254-N254,2)</x:f>
        <x:v>51.62</x:v>
      </x:c>
      <x:c r="P254" s="6" t="n">
        <x:v>5</x:v>
      </x:c>
      <x:c r="Q254" t="str">
        <x:v>No</x:v>
      </x:c>
    </x:row>
    <x:row r="255">
      <x:c r="A255" t="str">
        <x:v>ORD-00768</x:v>
      </x:c>
      <x:c r="B255" s="3" t="n">
        <x:v>45391.8671722338</x:v>
      </x:c>
      <x:c r="C255" t="str">
        <x:v>2024-04</x:v>
      </x:c>
      <x:c r="D255" t="str">
        <x:v>CUS-0184</x:v>
      </x:c>
      <x:c r="E255" t="str">
        <x:v>Midlands</x:v>
      </x:c>
      <x:c r="F255" t="str">
        <x:v>Online</x:v>
      </x:c>
      <x:c r="G255" t="str">
        <x:v>Sports</x:v>
      </x:c>
      <x:c r="H255" t="str">
        <x:v>Yoga Mat</x:v>
      </x:c>
      <x:c r="I255" t="n">
        <x:v>5</x:v>
      </x:c>
      <x:c r="J255" s="4" t="n">
        <x:v>30.95</x:v>
      </x:c>
      <x:c r="K255" s="4" t="n">
        <x:v>12</x:v>
      </x:c>
      <x:c r="L255" s="5" t="n">
        <x:v>0.05</x:v>
      </x:c>
      <x:c r="M255" s="4" t="n">
        <x:f>ROUND(I255*J255*(1-L255),2)</x:f>
        <x:v>147.01</x:v>
      </x:c>
      <x:c r="N255" s="4" t="n">
        <x:f>ROUND(I255*K255,2)</x:f>
        <x:v>60</x:v>
      </x:c>
      <x:c r="O255" s="4" t="n">
        <x:f>ROUND(M255-N255,2)</x:f>
        <x:v>87.01</x:v>
      </x:c>
      <x:c r="P255" s="6" t="n">
        <x:v>3.4</x:v>
      </x:c>
      <x:c r="Q255" t="str">
        <x:v>No</x:v>
      </x:c>
    </x:row>
    <x:row r="256">
      <x:c r="A256" t="str">
        <x:v>ORD-00199</x:v>
      </x:c>
      <x:c r="B256" s="3" t="n">
        <x:v>45391.9131783912</x:v>
      </x:c>
      <x:c r="C256" t="str">
        <x:v>2024-04</x:v>
      </x:c>
      <x:c r="D256" t="str">
        <x:v>CUS-0334</x:v>
      </x:c>
      <x:c r="E256" t="str">
        <x:v>Wales</x:v>
      </x:c>
      <x:c r="F256" t="str">
        <x:v>Online</x:v>
      </x:c>
      <x:c r="G256" t="str">
        <x:v>Sports</x:v>
      </x:c>
      <x:c r="H256" t="str">
        <x:v>Running Shoes</x:v>
      </x:c>
      <x:c r="I256" t="n">
        <x:v>2</x:v>
      </x:c>
      <x:c r="J256" s="4" t="n">
        <x:v>78.67</x:v>
      </x:c>
      <x:c r="K256" s="4" t="n">
        <x:v>38</x:v>
      </x:c>
      <x:c r="L256" s="5" t="n">
        <x:v>0.2</x:v>
      </x:c>
      <x:c r="M256" s="4" t="n">
        <x:f>ROUND(I256*J256*(1-L256),2)</x:f>
        <x:v>125.87</x:v>
      </x:c>
      <x:c r="N256" s="4" t="n">
        <x:f>ROUND(I256*K256,2)</x:f>
        <x:v>76</x:v>
      </x:c>
      <x:c r="O256" s="4" t="n">
        <x:f>ROUND(M256-N256,2)</x:f>
        <x:v>49.87</x:v>
      </x:c>
      <x:c r="P256" s="6" t="n">
        <x:v>4.9</x:v>
      </x:c>
      <x:c r="Q256" t="str">
        <x:v>No</x:v>
      </x:c>
    </x:row>
    <x:row r="257">
      <x:c r="A257" t="str">
        <x:v>ORD-00598</x:v>
      </x:c>
      <x:c r="B257" s="3" t="n">
        <x:v>45391.96220314815</x:v>
      </x:c>
      <x:c r="C257" t="str">
        <x:v>2024-04</x:v>
      </x:c>
      <x:c r="D257" t="str">
        <x:v>CUS-0619</x:v>
      </x:c>
      <x:c r="E257" t="str">
        <x:v>North West</x:v>
      </x:c>
      <x:c r="F257" t="str">
        <x:v>Marketplace</x:v>
      </x:c>
      <x:c r="G257" t="str">
        <x:v>Electronics</x:v>
      </x:c>
      <x:c r="H257" t="str">
        <x:v>Bluetooth Speaker</x:v>
      </x:c>
      <x:c r="I257" t="n">
        <x:v>4</x:v>
      </x:c>
      <x:c r="J257" s="4" t="n">
        <x:v>63.44</x:v>
      </x:c>
      <x:c r="K257" s="4" t="n">
        <x:v>34</x:v>
      </x:c>
      <x:c r="L257" s="5" t="n">
        <x:v>0.15</x:v>
      </x:c>
      <x:c r="M257" s="4" t="n">
        <x:f>ROUND(I257*J257*(1-L257),2)</x:f>
        <x:v>215.7</x:v>
      </x:c>
      <x:c r="N257" s="4" t="n">
        <x:f>ROUND(I257*K257,2)</x:f>
        <x:v>136</x:v>
      </x:c>
      <x:c r="O257" s="4" t="n">
        <x:f>ROUND(M257-N257,2)</x:f>
        <x:v>79.7</x:v>
      </x:c>
      <x:c r="P257" s="6" t="n">
        <x:v>3.3</x:v>
      </x:c>
      <x:c r="Q257" t="str">
        <x:v>No</x:v>
      </x:c>
    </x:row>
    <x:row r="258">
      <x:c r="A258" t="str">
        <x:v>ORD-00984</x:v>
      </x:c>
      <x:c r="B258" s="3" t="n">
        <x:v>45391.964406597224</x:v>
      </x:c>
      <x:c r="C258" t="str">
        <x:v>2024-04</x:v>
      </x:c>
      <x:c r="D258" t="str">
        <x:v>CUS-0597</x:v>
      </x:c>
      <x:c r="E258" t="str">
        <x:v>North East</x:v>
      </x:c>
      <x:c r="F258" t="str">
        <x:v>Marketplace</x:v>
      </x:c>
      <x:c r="G258" t="str">
        <x:v>Home</x:v>
      </x:c>
      <x:c r="H258" t="str">
        <x:v>Coffee Maker</x:v>
      </x:c>
      <x:c r="I258" t="n">
        <x:v>4</x:v>
      </x:c>
      <x:c r="J258" s="4" t="n">
        <x:v>72.3</x:v>
      </x:c>
      <x:c r="K258" s="4" t="n">
        <x:v>41</x:v>
      </x:c>
      <x:c r="L258" s="5" t="n">
        <x:v>0</x:v>
      </x:c>
      <x:c r="M258" s="4" t="n">
        <x:f>ROUND(I258*J258*(1-L258),2)</x:f>
        <x:v>289.2</x:v>
      </x:c>
      <x:c r="N258" s="4" t="n">
        <x:f>ROUND(I258*K258,2)</x:f>
        <x:v>164</x:v>
      </x:c>
      <x:c r="O258" s="4" t="n">
        <x:f>ROUND(M258-N258,2)</x:f>
        <x:v>125.2</x:v>
      </x:c>
      <x:c r="P258" s="6" t="n">
        <x:v>3.4</x:v>
      </x:c>
      <x:c r="Q258" t="str">
        <x:v>No</x:v>
      </x:c>
    </x:row>
    <x:row r="259">
      <x:c r="A259" t="str">
        <x:v>ORD-00111</x:v>
      </x:c>
      <x:c r="B259" s="3" t="n">
        <x:v>45392.1751087963</x:v>
      </x:c>
      <x:c r="C259" t="str">
        <x:v>2024-04</x:v>
      </x:c>
      <x:c r="D259" t="str">
        <x:v>CUS-0397</x:v>
      </x:c>
      <x:c r="E259" t="str">
        <x:v>London</x:v>
      </x:c>
      <x:c r="F259" t="str">
        <x:v>Marketplace</x:v>
      </x:c>
      <x:c r="G259" t="str">
        <x:v>Fashion</x:v>
      </x:c>
      <x:c r="H259" t="str">
        <x:v>Backpack</x:v>
      </x:c>
      <x:c r="I259" t="n">
        <x:v>2</x:v>
      </x:c>
      <x:c r="J259" s="4" t="n">
        <x:v>48.59</x:v>
      </x:c>
      <x:c r="K259" s="4" t="n">
        <x:v>21</x:v>
      </x:c>
      <x:c r="L259" s="5" t="n">
        <x:v>0.1</x:v>
      </x:c>
      <x:c r="M259" s="4" t="n">
        <x:f>ROUND(I259*J259*(1-L259),2)</x:f>
        <x:v>87.46</x:v>
      </x:c>
      <x:c r="N259" s="4" t="n">
        <x:f>ROUND(I259*K259,2)</x:f>
        <x:v>42</x:v>
      </x:c>
      <x:c r="O259" s="4" t="n">
        <x:f>ROUND(M259-N259,2)</x:f>
        <x:v>45.46</x:v>
      </x:c>
      <x:c r="P259" s="6" t="n">
        <x:v>3.9</x:v>
      </x:c>
      <x:c r="Q259" t="str">
        <x:v>Yes</x:v>
      </x:c>
    </x:row>
    <x:row r="260">
      <x:c r="A260" t="str">
        <x:v>ORD-00775</x:v>
      </x:c>
      <x:c r="B260" s="3" t="n">
        <x:v>45393.46881938657</x:v>
      </x:c>
      <x:c r="C260" t="str">
        <x:v>2024-04</x:v>
      </x:c>
      <x:c r="D260" t="str">
        <x:v>CUS-0200</x:v>
      </x:c>
      <x:c r="E260" t="str">
        <x:v>North West</x:v>
      </x:c>
      <x:c r="F260" t="str">
        <x:v>Store</x:v>
      </x:c>
      <x:c r="G260" t="str">
        <x:v>Sports</x:v>
      </x:c>
      <x:c r="H260" t="str">
        <x:v>Fitness Tracker</x:v>
      </x:c>
      <x:c r="I260" t="n">
        <x:v>2</x:v>
      </x:c>
      <x:c r="J260" s="4" t="n">
        <x:v>56.67</x:v>
      </x:c>
      <x:c r="K260" s="4" t="n">
        <x:v>27</x:v>
      </x:c>
      <x:c r="L260" s="5" t="n">
        <x:v>0</x:v>
      </x:c>
      <x:c r="M260" s="4" t="n">
        <x:f>ROUND(I260*J260*(1-L260),2)</x:f>
        <x:v>113.34</x:v>
      </x:c>
      <x:c r="N260" s="4" t="n">
        <x:f>ROUND(I260*K260,2)</x:f>
        <x:v>54</x:v>
      </x:c>
      <x:c r="O260" s="4" t="n">
        <x:f>ROUND(M260-N260,2)</x:f>
        <x:v>59.34</x:v>
      </x:c>
      <x:c r="P260" s="6" t="n">
        <x:v>4.3</x:v>
      </x:c>
      <x:c r="Q260" t="str">
        <x:v>No</x:v>
      </x:c>
    </x:row>
    <x:row r="261">
      <x:c r="A261" t="str">
        <x:v>ORD-01130</x:v>
      </x:c>
      <x:c r="B261" s="3" t="n">
        <x:v>45393.69050414352</x:v>
      </x:c>
      <x:c r="C261" t="str">
        <x:v>2024-04</x:v>
      </x:c>
      <x:c r="D261" t="str">
        <x:v>CUS-0551</x:v>
      </x:c>
      <x:c r="E261" t="str">
        <x:v>South East</x:v>
      </x:c>
      <x:c r="F261" t="str">
        <x:v>Store</x:v>
      </x:c>
      <x:c r="G261" t="str">
        <x:v>Books</x:v>
      </x:c>
      <x:c r="H261" t="str">
        <x:v>Business Intelligence Guide</x:v>
      </x:c>
      <x:c r="I261" t="n">
        <x:v>5</x:v>
      </x:c>
      <x:c r="J261" s="4" t="n">
        <x:v>35.81</x:v>
      </x:c>
      <x:c r="K261" s="4" t="n">
        <x:v>12</x:v>
      </x:c>
      <x:c r="L261" s="5" t="n">
        <x:v>0.1</x:v>
      </x:c>
      <x:c r="M261" s="4" t="n">
        <x:f>ROUND(I261*J261*(1-L261),2)</x:f>
        <x:v>161.15</x:v>
      </x:c>
      <x:c r="N261" s="4" t="n">
        <x:f>ROUND(I261*K261,2)</x:f>
        <x:v>60</x:v>
      </x:c>
      <x:c r="O261" s="4" t="n">
        <x:f>ROUND(M261-N261,2)</x:f>
        <x:v>101.15</x:v>
      </x:c>
      <x:c r="P261" s="6" t="n">
        <x:v>3.6</x:v>
      </x:c>
      <x:c r="Q261" t="str">
        <x:v>No</x:v>
      </x:c>
    </x:row>
    <x:row r="262">
      <x:c r="A262" t="str">
        <x:v>ORD-01236</x:v>
      </x:c>
      <x:c r="B262" s="3" t="n">
        <x:v>45395.571325474535</x:v>
      </x:c>
      <x:c r="C262" t="str">
        <x:v>2024-04</x:v>
      </x:c>
      <x:c r="D262" t="str">
        <x:v>CUS-0277</x:v>
      </x:c>
      <x:c r="E262" t="str">
        <x:v>Midlands</x:v>
      </x:c>
      <x:c r="F262" t="str">
        <x:v>Marketplace</x:v>
      </x:c>
      <x:c r="G262" t="str">
        <x:v>Fashion</x:v>
      </x:c>
      <x:c r="H262" t="str">
        <x:v>Winter Jacket</x:v>
      </x:c>
      <x:c r="I262" t="n">
        <x:v>3</x:v>
      </x:c>
      <x:c r="J262" s="4" t="n">
        <x:v>90.85</x:v>
      </x:c>
      <x:c r="K262" s="4" t="n">
        <x:v>46</x:v>
      </x:c>
      <x:c r="L262" s="5" t="n">
        <x:v>0.1</x:v>
      </x:c>
      <x:c r="M262" s="4" t="n">
        <x:f>ROUND(I262*J262*(1-L262),2)</x:f>
        <x:v>245.29</x:v>
      </x:c>
      <x:c r="N262" s="4" t="n">
        <x:f>ROUND(I262*K262,2)</x:f>
        <x:v>138</x:v>
      </x:c>
      <x:c r="O262" s="4" t="n">
        <x:f>ROUND(M262-N262,2)</x:f>
        <x:v>107.29</x:v>
      </x:c>
      <x:c r="P262" s="6" t="n">
        <x:v>4.8</x:v>
      </x:c>
      <x:c r="Q262" t="str">
        <x:v>No</x:v>
      </x:c>
    </x:row>
    <x:row r="263">
      <x:c r="A263" t="str">
        <x:v>ORD-01587</x:v>
      </x:c>
      <x:c r="B263" s="3" t="n">
        <x:v>45395.81789466435</x:v>
      </x:c>
      <x:c r="C263" t="str">
        <x:v>2024-04</x:v>
      </x:c>
      <x:c r="D263" t="str">
        <x:v>CUS-0175</x:v>
      </x:c>
      <x:c r="E263" t="str">
        <x:v>Scotland</x:v>
      </x:c>
      <x:c r="F263" t="str">
        <x:v>Marketplace</x:v>
      </x:c>
      <x:c r="G263" t="str">
        <x:v>Beauty</x:v>
      </x:c>
      <x:c r="H263" t="str">
        <x:v>Hair Dryer</x:v>
      </x:c>
      <x:c r="I263" t="n">
        <x:v>1</x:v>
      </x:c>
      <x:c r="J263" s="4" t="n">
        <x:v>59.9</x:v>
      </x:c>
      <x:c r="K263" s="4" t="n">
        <x:v>29</x:v>
      </x:c>
      <x:c r="L263" s="5" t="n">
        <x:v>0.15</x:v>
      </x:c>
      <x:c r="M263" s="4" t="n">
        <x:f>ROUND(I263*J263*(1-L263),2)</x:f>
        <x:v>50.92</x:v>
      </x:c>
      <x:c r="N263" s="4" t="n">
        <x:f>ROUND(I263*K263,2)</x:f>
        <x:v>29</x:v>
      </x:c>
      <x:c r="O263" s="4" t="n">
        <x:f>ROUND(M263-N263,2)</x:f>
        <x:v>21.92</x:v>
      </x:c>
      <x:c r="P263" s="6" t="n">
        <x:v>4</x:v>
      </x:c>
      <x:c r="Q263" t="str">
        <x:v>No</x:v>
      </x:c>
    </x:row>
    <x:row r="264">
      <x:c r="A264" t="str">
        <x:v>ORD-00551</x:v>
      </x:c>
      <x:c r="B264" s="3" t="n">
        <x:v>45396.43804755787</x:v>
      </x:c>
      <x:c r="C264" t="str">
        <x:v>2024-04</x:v>
      </x:c>
      <x:c r="D264" t="str">
        <x:v>CUS-0299</x:v>
      </x:c>
      <x:c r="E264" t="str">
        <x:v>Wales</x:v>
      </x:c>
      <x:c r="F264" t="str">
        <x:v>Store</x:v>
      </x:c>
      <x:c r="G264" t="str">
        <x:v>Beauty</x:v>
      </x:c>
      <x:c r="H264" t="str">
        <x:v>Hair Dryer</x:v>
      </x:c>
      <x:c r="I264" t="n">
        <x:v>1</x:v>
      </x:c>
      <x:c r="J264" s="4" t="n">
        <x:v>59.14</x:v>
      </x:c>
      <x:c r="K264" s="4" t="n">
        <x:v>29</x:v>
      </x:c>
      <x:c r="L264" s="5" t="n">
        <x:v>0</x:v>
      </x:c>
      <x:c r="M264" s="4" t="n">
        <x:f>ROUND(I264*J264*(1-L264),2)</x:f>
        <x:v>59.14</x:v>
      </x:c>
      <x:c r="N264" s="4" t="n">
        <x:f>ROUND(I264*K264,2)</x:f>
        <x:v>29</x:v>
      </x:c>
      <x:c r="O264" s="4" t="n">
        <x:f>ROUND(M264-N264,2)</x:f>
        <x:v>30.14</x:v>
      </x:c>
      <x:c r="P264" s="6" t="n">
        <x:v>4.3</x:v>
      </x:c>
      <x:c r="Q264" t="str">
        <x:v>No</x:v>
      </x:c>
    </x:row>
    <x:row r="265">
      <x:c r="A265" t="str">
        <x:v>ORD-01673</x:v>
      </x:c>
      <x:c r="B265" s="3" t="n">
        <x:v>45396.489935578706</x:v>
      </x:c>
      <x:c r="C265" t="str">
        <x:v>2024-04</x:v>
      </x:c>
      <x:c r="D265" t="str">
        <x:v>CUS-0119</x:v>
      </x:c>
      <x:c r="E265" t="str">
        <x:v>South West</x:v>
      </x:c>
      <x:c r="F265" t="str">
        <x:v>Online</x:v>
      </x:c>
      <x:c r="G265" t="str">
        <x:v>Electronics</x:v>
      </x:c>
      <x:c r="H265" t="str">
        <x:v>Bluetooth Speaker</x:v>
      </x:c>
      <x:c r="I265" t="n">
        <x:v>3</x:v>
      </x:c>
      <x:c r="J265" s="4" t="n">
        <x:v>67.35</x:v>
      </x:c>
      <x:c r="K265" s="4" t="n">
        <x:v>34</x:v>
      </x:c>
      <x:c r="L265" s="5" t="n">
        <x:v>0.1</x:v>
      </x:c>
      <x:c r="M265" s="4" t="n">
        <x:f>ROUND(I265*J265*(1-L265),2)</x:f>
        <x:v>181.85</x:v>
      </x:c>
      <x:c r="N265" s="4" t="n">
        <x:f>ROUND(I265*K265,2)</x:f>
        <x:v>102</x:v>
      </x:c>
      <x:c r="O265" s="4" t="n">
        <x:f>ROUND(M265-N265,2)</x:f>
        <x:v>79.85</x:v>
      </x:c>
      <x:c r="P265" s="6" t="n">
        <x:v>3.2</x:v>
      </x:c>
      <x:c r="Q265" t="str">
        <x:v>No</x:v>
      </x:c>
    </x:row>
    <x:row r="266">
      <x:c r="A266" t="str">
        <x:v>ORD-01421</x:v>
      </x:c>
      <x:c r="B266" s="3" t="n">
        <x:v>45396.558478252315</x:v>
      </x:c>
      <x:c r="C266" t="str">
        <x:v>2024-04</x:v>
      </x:c>
      <x:c r="D266" t="str">
        <x:v>CUS-0221</x:v>
      </x:c>
      <x:c r="E266" t="str">
        <x:v>South East</x:v>
      </x:c>
      <x:c r="F266" t="str">
        <x:v>Marketplace</x:v>
      </x:c>
      <x:c r="G266" t="str">
        <x:v>Sports</x:v>
      </x:c>
      <x:c r="H266" t="str">
        <x:v>Yoga Mat</x:v>
      </x:c>
      <x:c r="I266" t="n">
        <x:v>4</x:v>
      </x:c>
      <x:c r="J266" s="4" t="n">
        <x:v>30.07</x:v>
      </x:c>
      <x:c r="K266" s="4" t="n">
        <x:v>12</x:v>
      </x:c>
      <x:c r="L266" s="5" t="n">
        <x:v>0</x:v>
      </x:c>
      <x:c r="M266" s="4" t="n">
        <x:f>ROUND(I266*J266*(1-L266),2)</x:f>
        <x:v>120.28</x:v>
      </x:c>
      <x:c r="N266" s="4" t="n">
        <x:f>ROUND(I266*K266,2)</x:f>
        <x:v>48</x:v>
      </x:c>
      <x:c r="O266" s="4" t="n">
        <x:f>ROUND(M266-N266,2)</x:f>
        <x:v>72.28</x:v>
      </x:c>
      <x:c r="P266" s="6" t="n">
        <x:v>3.6</x:v>
      </x:c>
      <x:c r="Q266" t="str">
        <x:v>No</x:v>
      </x:c>
    </x:row>
    <x:row r="267">
      <x:c r="A267" t="str">
        <x:v>ORD-00902</x:v>
      </x:c>
      <x:c r="B267" s="3" t="n">
        <x:v>45397.13285206018</x:v>
      </x:c>
      <x:c r="C267" t="str">
        <x:v>2024-04</x:v>
      </x:c>
      <x:c r="D267" t="str">
        <x:v>CUS-0111</x:v>
      </x:c>
      <x:c r="E267" t="str">
        <x:v>North West</x:v>
      </x:c>
      <x:c r="F267" t="str">
        <x:v>Online</x:v>
      </x:c>
      <x:c r="G267" t="str">
        <x:v>Electronics</x:v>
      </x:c>
      <x:c r="H267" t="str">
        <x:v>Bluetooth Speaker</x:v>
      </x:c>
      <x:c r="I267" t="n">
        <x:v>2</x:v>
      </x:c>
      <x:c r="J267" s="4" t="n">
        <x:v>63.94</x:v>
      </x:c>
      <x:c r="K267" s="4" t="n">
        <x:v>34</x:v>
      </x:c>
      <x:c r="L267" s="5" t="n">
        <x:v>0</x:v>
      </x:c>
      <x:c r="M267" s="4" t="n">
        <x:f>ROUND(I267*J267*(1-L267),2)</x:f>
        <x:v>127.88</x:v>
      </x:c>
      <x:c r="N267" s="4" t="n">
        <x:f>ROUND(I267*K267,2)</x:f>
        <x:v>68</x:v>
      </x:c>
      <x:c r="O267" s="4" t="n">
        <x:f>ROUND(M267-N267,2)</x:f>
        <x:v>59.88</x:v>
      </x:c>
      <x:c r="P267" s="6" t="n">
        <x:v>5</x:v>
      </x:c>
      <x:c r="Q267" t="str">
        <x:v>No</x:v>
      </x:c>
    </x:row>
    <x:row r="268">
      <x:c r="A268" t="str">
        <x:v>ORD-01289</x:v>
      </x:c>
      <x:c r="B268" s="3" t="n">
        <x:v>45397.36943131944</x:v>
      </x:c>
      <x:c r="C268" t="str">
        <x:v>2024-04</x:v>
      </x:c>
      <x:c r="D268" t="str">
        <x:v>CUS-0238</x:v>
      </x:c>
      <x:c r="E268" t="str">
        <x:v>Wales</x:v>
      </x:c>
      <x:c r="F268" t="str">
        <x:v>Marketplace</x:v>
      </x:c>
      <x:c r="G268" t="str">
        <x:v>Fashion</x:v>
      </x:c>
      <x:c r="H268" t="str">
        <x:v>Winter Jacket</x:v>
      </x:c>
      <x:c r="I268" t="n">
        <x:v>4</x:v>
      </x:c>
      <x:c r="J268" s="4" t="n">
        <x:v>91.04</x:v>
      </x:c>
      <x:c r="K268" s="4" t="n">
        <x:v>46</x:v>
      </x:c>
      <x:c r="L268" s="5" t="n">
        <x:v>0.15</x:v>
      </x:c>
      <x:c r="M268" s="4" t="n">
        <x:f>ROUND(I268*J268*(1-L268),2)</x:f>
        <x:v>309.54</x:v>
      </x:c>
      <x:c r="N268" s="4" t="n">
        <x:f>ROUND(I268*K268,2)</x:f>
        <x:v>184</x:v>
      </x:c>
      <x:c r="O268" s="4" t="n">
        <x:f>ROUND(M268-N268,2)</x:f>
        <x:v>125.54</x:v>
      </x:c>
      <x:c r="P268" s="6" t="n">
        <x:v>3.9</x:v>
      </x:c>
      <x:c r="Q268" t="str">
        <x:v>Yes</x:v>
      </x:c>
    </x:row>
    <x:row r="269">
      <x:c r="A269" t="str">
        <x:v>ORD-00925</x:v>
      </x:c>
      <x:c r="B269" s="3" t="n">
        <x:v>45397.41909548611</x:v>
      </x:c>
      <x:c r="C269" t="str">
        <x:v>2024-04</x:v>
      </x:c>
      <x:c r="D269" t="str">
        <x:v>CUS-0251</x:v>
      </x:c>
      <x:c r="E269" t="str">
        <x:v>Wales</x:v>
      </x:c>
      <x:c r="F269" t="str">
        <x:v>Store</x:v>
      </x:c>
      <x:c r="G269" t="str">
        <x:v>Beauty</x:v>
      </x:c>
      <x:c r="H269" t="str">
        <x:v>Hair Dryer</x:v>
      </x:c>
      <x:c r="I269" t="n">
        <x:v>2</x:v>
      </x:c>
      <x:c r="J269" s="4" t="n">
        <x:v>58.59</x:v>
      </x:c>
      <x:c r="K269" s="4" t="n">
        <x:v>29</x:v>
      </x:c>
      <x:c r="L269" s="5" t="n">
        <x:v>0.05</x:v>
      </x:c>
      <x:c r="M269" s="4" t="n">
        <x:f>ROUND(I269*J269*(1-L269),2)</x:f>
        <x:v>111.32</x:v>
      </x:c>
      <x:c r="N269" s="4" t="n">
        <x:f>ROUND(I269*K269,2)</x:f>
        <x:v>58</x:v>
      </x:c>
      <x:c r="O269" s="4" t="n">
        <x:f>ROUND(M269-N269,2)</x:f>
        <x:v>53.32</x:v>
      </x:c>
      <x:c r="P269" s="6" t="n">
        <x:v>4.7</x:v>
      </x:c>
      <x:c r="Q269" t="str">
        <x:v>No</x:v>
      </x:c>
    </x:row>
    <x:row r="270">
      <x:c r="A270" t="str">
        <x:v>ORD-00461</x:v>
      </x:c>
      <x:c r="B270" s="3" t="n">
        <x:v>45397.46858425926</x:v>
      </x:c>
      <x:c r="C270" t="str">
        <x:v>2024-04</x:v>
      </x:c>
      <x:c r="D270" t="str">
        <x:v>CUS-0369</x:v>
      </x:c>
      <x:c r="E270" t="str">
        <x:v>North East</x:v>
      </x:c>
      <x:c r="F270" t="str">
        <x:v>Online</x:v>
      </x:c>
      <x:c r="G270" t="str">
        <x:v>Fashion</x:v>
      </x:c>
      <x:c r="H270" t="str">
        <x:v>Backpack</x:v>
      </x:c>
      <x:c r="I270" t="n">
        <x:v>2</x:v>
      </x:c>
      <x:c r="J270" s="4" t="n">
        <x:v>48.73</x:v>
      </x:c>
      <x:c r="K270" s="4" t="n">
        <x:v>21</x:v>
      </x:c>
      <x:c r="L270" s="5" t="n">
        <x:v>0.1</x:v>
      </x:c>
      <x:c r="M270" s="4" t="n">
        <x:f>ROUND(I270*J270*(1-L270),2)</x:f>
        <x:v>87.71</x:v>
      </x:c>
      <x:c r="N270" s="4" t="n">
        <x:f>ROUND(I270*K270,2)</x:f>
        <x:v>42</x:v>
      </x:c>
      <x:c r="O270" s="4" t="n">
        <x:f>ROUND(M270-N270,2)</x:f>
        <x:v>45.71</x:v>
      </x:c>
      <x:c r="P270" s="6" t="n">
        <x:v>4</x:v>
      </x:c>
      <x:c r="Q270" t="str">
        <x:v>No</x:v>
      </x:c>
    </x:row>
    <x:row r="271">
      <x:c r="A271" t="str">
        <x:v>ORD-00800</x:v>
      </x:c>
      <x:c r="B271" s="3" t="n">
        <x:v>45397.87471379629</x:v>
      </x:c>
      <x:c r="C271" t="str">
        <x:v>2024-04</x:v>
      </x:c>
      <x:c r="D271" t="str">
        <x:v>CUS-0405</x:v>
      </x:c>
      <x:c r="E271" t="str">
        <x:v>North East</x:v>
      </x:c>
      <x:c r="F271" t="str">
        <x:v>Store</x:v>
      </x:c>
      <x:c r="G271" t="str">
        <x:v>Fashion</x:v>
      </x:c>
      <x:c r="H271" t="str">
        <x:v>Classic Trainers</x:v>
      </x:c>
      <x:c r="I271" t="n">
        <x:v>2</x:v>
      </x:c>
      <x:c r="J271" s="4" t="n">
        <x:v>71.69</x:v>
      </x:c>
      <x:c r="K271" s="4" t="n">
        <x:v>32</x:v>
      </x:c>
      <x:c r="L271" s="5" t="n">
        <x:v>0.05</x:v>
      </x:c>
      <x:c r="M271" s="4" t="n">
        <x:f>ROUND(I271*J271*(1-L271),2)</x:f>
        <x:v>136.21</x:v>
      </x:c>
      <x:c r="N271" s="4" t="n">
        <x:f>ROUND(I271*K271,2)</x:f>
        <x:v>64</x:v>
      </x:c>
      <x:c r="O271" s="4" t="n">
        <x:f>ROUND(M271-N271,2)</x:f>
        <x:v>72.21</x:v>
      </x:c>
      <x:c r="P271" s="6" t="n">
        <x:v>4.3</x:v>
      </x:c>
      <x:c r="Q271" t="str">
        <x:v>No</x:v>
      </x:c>
    </x:row>
    <x:row r="272">
      <x:c r="A272" t="str">
        <x:v>ORD-01799</x:v>
      </x:c>
      <x:c r="B272" s="3" t="n">
        <x:v>45398.10574126158</x:v>
      </x:c>
      <x:c r="C272" t="str">
        <x:v>2024-04</x:v>
      </x:c>
      <x:c r="D272" t="str">
        <x:v>CUS-0287</x:v>
      </x:c>
      <x:c r="E272" t="str">
        <x:v>Wales</x:v>
      </x:c>
      <x:c r="F272" t="str">
        <x:v>Marketplace</x:v>
      </x:c>
      <x:c r="G272" t="str">
        <x:v>Sports</x:v>
      </x:c>
      <x:c r="H272" t="str">
        <x:v>Yoga Mat</x:v>
      </x:c>
      <x:c r="I272" t="n">
        <x:v>4</x:v>
      </x:c>
      <x:c r="J272" s="4" t="n">
        <x:v>29.65</x:v>
      </x:c>
      <x:c r="K272" s="4" t="n">
        <x:v>12</x:v>
      </x:c>
      <x:c r="L272" s="5" t="n">
        <x:v>0</x:v>
      </x:c>
      <x:c r="M272" s="4" t="n">
        <x:f>ROUND(I272*J272*(1-L272),2)</x:f>
        <x:v>118.6</x:v>
      </x:c>
      <x:c r="N272" s="4" t="n">
        <x:f>ROUND(I272*K272,2)</x:f>
        <x:v>48</x:v>
      </x:c>
      <x:c r="O272" s="4" t="n">
        <x:f>ROUND(M272-N272,2)</x:f>
        <x:v>70.6</x:v>
      </x:c>
      <x:c r="P272" s="6" t="n">
        <x:v>4.1</x:v>
      </x:c>
      <x:c r="Q272" t="str">
        <x:v>No</x:v>
      </x:c>
    </x:row>
    <x:row r="273">
      <x:c r="A273" t="str">
        <x:v>ORD-00263</x:v>
      </x:c>
      <x:c r="B273" s="3" t="n">
        <x:v>45399.348600625</x:v>
      </x:c>
      <x:c r="C273" t="str">
        <x:v>2024-04</x:v>
      </x:c>
      <x:c r="D273" t="str">
        <x:v>CUS-0472</x:v>
      </x:c>
      <x:c r="E273" t="str">
        <x:v>North West</x:v>
      </x:c>
      <x:c r="F273" t="str">
        <x:v>Online</x:v>
      </x:c>
      <x:c r="G273" t="str">
        <x:v>Sports</x:v>
      </x:c>
      <x:c r="H273" t="str">
        <x:v>Running Shoes</x:v>
      </x:c>
      <x:c r="I273" t="n">
        <x:v>3</x:v>
      </x:c>
      <x:c r="J273" s="4" t="n">
        <x:v>78.14</x:v>
      </x:c>
      <x:c r="K273" s="4" t="n">
        <x:v>38</x:v>
      </x:c>
      <x:c r="L273" s="5" t="n">
        <x:v>0.15</x:v>
      </x:c>
      <x:c r="M273" s="4" t="n">
        <x:f>ROUND(I273*J273*(1-L273),2)</x:f>
        <x:v>199.26</x:v>
      </x:c>
      <x:c r="N273" s="4" t="n">
        <x:f>ROUND(I273*K273,2)</x:f>
        <x:v>114</x:v>
      </x:c>
      <x:c r="O273" s="4" t="n">
        <x:f>ROUND(M273-N273,2)</x:f>
        <x:v>85.26</x:v>
      </x:c>
      <x:c r="P273" s="6" t="n">
        <x:v>4.5</x:v>
      </x:c>
      <x:c r="Q273" t="str">
        <x:v>No</x:v>
      </x:c>
    </x:row>
    <x:row r="274">
      <x:c r="A274" t="str">
        <x:v>ORD-01386</x:v>
      </x:c>
      <x:c r="B274" s="3" t="n">
        <x:v>45399.65826541666</x:v>
      </x:c>
      <x:c r="C274" t="str">
        <x:v>2024-04</x:v>
      </x:c>
      <x:c r="D274" t="str">
        <x:v>CUS-0551</x:v>
      </x:c>
      <x:c r="E274" t="str">
        <x:v>South East</x:v>
      </x:c>
      <x:c r="F274" t="str">
        <x:v>Store</x:v>
      </x:c>
      <x:c r="G274" t="str">
        <x:v>Sports</x:v>
      </x:c>
      <x:c r="H274" t="str">
        <x:v>Fitness Tracker</x:v>
      </x:c>
      <x:c r="I274" t="n">
        <x:v>2</x:v>
      </x:c>
      <x:c r="J274" s="4" t="n">
        <x:v>52.53</x:v>
      </x:c>
      <x:c r="K274" s="4" t="n">
        <x:v>27</x:v>
      </x:c>
      <x:c r="L274" s="5" t="n">
        <x:v>0</x:v>
      </x:c>
      <x:c r="M274" s="4" t="n">
        <x:f>ROUND(I274*J274*(1-L274),2)</x:f>
        <x:v>105.06</x:v>
      </x:c>
      <x:c r="N274" s="4" t="n">
        <x:f>ROUND(I274*K274,2)</x:f>
        <x:v>54</x:v>
      </x:c>
      <x:c r="O274" s="4" t="n">
        <x:f>ROUND(M274-N274,2)</x:f>
        <x:v>51.06</x:v>
      </x:c>
      <x:c r="P274" s="6" t="n">
        <x:v>4.3</x:v>
      </x:c>
      <x:c r="Q274" t="str">
        <x:v>No</x:v>
      </x:c>
    </x:row>
    <x:row r="275">
      <x:c r="A275" t="str">
        <x:v>ORD-00243</x:v>
      </x:c>
      <x:c r="B275" s="3" t="n">
        <x:v>45399.83284297454</x:v>
      </x:c>
      <x:c r="C275" t="str">
        <x:v>2024-04</x:v>
      </x:c>
      <x:c r="D275" t="str">
        <x:v>CUS-0593</x:v>
      </x:c>
      <x:c r="E275" t="str">
        <x:v>Wales</x:v>
      </x:c>
      <x:c r="F275" t="str">
        <x:v>Marketplace</x:v>
      </x:c>
      <x:c r="G275" t="str">
        <x:v>Fashion</x:v>
      </x:c>
      <x:c r="H275" t="str">
        <x:v>Winter Jacket</x:v>
      </x:c>
      <x:c r="I275" t="n">
        <x:v>4</x:v>
      </x:c>
      <x:c r="J275" s="4" t="n">
        <x:v>96.62</x:v>
      </x:c>
      <x:c r="K275" s="4" t="n">
        <x:v>46</x:v>
      </x:c>
      <x:c r="L275" s="5" t="n">
        <x:v>0.05</x:v>
      </x:c>
      <x:c r="M275" s="4" t="n">
        <x:f>ROUND(I275*J275*(1-L275),2)</x:f>
        <x:v>367.16</x:v>
      </x:c>
      <x:c r="N275" s="4" t="n">
        <x:f>ROUND(I275*K275,2)</x:f>
        <x:v>184</x:v>
      </x:c>
      <x:c r="O275" s="4" t="n">
        <x:f>ROUND(M275-N275,2)</x:f>
        <x:v>183.16</x:v>
      </x:c>
      <x:c r="P275" s="6" t="n">
        <x:v>3.3</x:v>
      </x:c>
      <x:c r="Q275" t="str">
        <x:v>No</x:v>
      </x:c>
    </x:row>
    <x:row r="276">
      <x:c r="A276" t="str">
        <x:v>ORD-01635</x:v>
      </x:c>
      <x:c r="B276" s="3" t="n">
        <x:v>45400.92366810185</x:v>
      </x:c>
      <x:c r="C276" t="str">
        <x:v>2024-04</x:v>
      </x:c>
      <x:c r="D276" t="str">
        <x:v>CUS-0219</x:v>
      </x:c>
      <x:c r="E276" t="str">
        <x:v>Scotland</x:v>
      </x:c>
      <x:c r="F276" t="str">
        <x:v>Marketplace</x:v>
      </x:c>
      <x:c r="G276" t="str">
        <x:v>Beauty</x:v>
      </x:c>
      <x:c r="H276" t="str">
        <x:v>Hair Dryer</x:v>
      </x:c>
      <x:c r="I276" t="n">
        <x:v>3</x:v>
      </x:c>
      <x:c r="J276" s="4" t="n">
        <x:v>60.37</x:v>
      </x:c>
      <x:c r="K276" s="4" t="n">
        <x:v>29</x:v>
      </x:c>
      <x:c r="L276" s="5" t="n">
        <x:v>0.1</x:v>
      </x:c>
      <x:c r="M276" s="4" t="n">
        <x:f>ROUND(I276*J276*(1-L276),2)</x:f>
        <x:v>163</x:v>
      </x:c>
      <x:c r="N276" s="4" t="n">
        <x:f>ROUND(I276*K276,2)</x:f>
        <x:v>87</x:v>
      </x:c>
      <x:c r="O276" s="4" t="n">
        <x:f>ROUND(M276-N276,2)</x:f>
        <x:v>76</x:v>
      </x:c>
      <x:c r="P276" s="6" t="n">
        <x:v>4.9</x:v>
      </x:c>
      <x:c r="Q276" t="str">
        <x:v>No</x:v>
      </x:c>
    </x:row>
    <x:row r="277">
      <x:c r="A277" t="str">
        <x:v>ORD-01266</x:v>
      </x:c>
      <x:c r="B277" s="3" t="n">
        <x:v>45401.42409090278</x:v>
      </x:c>
      <x:c r="C277" t="str">
        <x:v>2024-04</x:v>
      </x:c>
      <x:c r="D277" t="str">
        <x:v>CUS-0255</x:v>
      </x:c>
      <x:c r="E277" t="str">
        <x:v>South East</x:v>
      </x:c>
      <x:c r="F277" t="str">
        <x:v>Online</x:v>
      </x:c>
      <x:c r="G277" t="str">
        <x:v>Books</x:v>
      </x:c>
      <x:c r="H277" t="str">
        <x:v>Data Analytics Handbook</x:v>
      </x:c>
      <x:c r="I277" t="n">
        <x:v>4</x:v>
      </x:c>
      <x:c r="J277" s="4" t="n">
        <x:v>41.39</x:v>
      </x:c>
      <x:c r="K277" s="4" t="n">
        <x:v>14</x:v>
      </x:c>
      <x:c r="L277" s="5" t="n">
        <x:v>0</x:v>
      </x:c>
      <x:c r="M277" s="4" t="n">
        <x:f>ROUND(I277*J277*(1-L277),2)</x:f>
        <x:v>165.56</x:v>
      </x:c>
      <x:c r="N277" s="4" t="n">
        <x:f>ROUND(I277*K277,2)</x:f>
        <x:v>56</x:v>
      </x:c>
      <x:c r="O277" s="4" t="n">
        <x:f>ROUND(M277-N277,2)</x:f>
        <x:v>109.56</x:v>
      </x:c>
      <x:c r="P277" s="6" t="n">
        <x:v>4.1</x:v>
      </x:c>
      <x:c r="Q277" t="str">
        <x:v>No</x:v>
      </x:c>
    </x:row>
    <x:row r="278">
      <x:c r="A278" t="str">
        <x:v>ORD-01225</x:v>
      </x:c>
      <x:c r="B278" s="3" t="n">
        <x:v>45401.52788018518</x:v>
      </x:c>
      <x:c r="C278" t="str">
        <x:v>2024-04</x:v>
      </x:c>
      <x:c r="D278" t="str">
        <x:v>CUS-0279</x:v>
      </x:c>
      <x:c r="E278" t="str">
        <x:v>South West</x:v>
      </x:c>
      <x:c r="F278" t="str">
        <x:v>Online</x:v>
      </x:c>
      <x:c r="G278" t="str">
        <x:v>Sports</x:v>
      </x:c>
      <x:c r="H278" t="str">
        <x:v>Fitness Tracker</x:v>
      </x:c>
      <x:c r="I278" t="n">
        <x:v>3</x:v>
      </x:c>
      <x:c r="J278" s="4" t="n">
        <x:v>56.34</x:v>
      </x:c>
      <x:c r="K278" s="4" t="n">
        <x:v>27</x:v>
      </x:c>
      <x:c r="L278" s="5" t="n">
        <x:v>0.05</x:v>
      </x:c>
      <x:c r="M278" s="4" t="n">
        <x:f>ROUND(I278*J278*(1-L278),2)</x:f>
        <x:v>160.57</x:v>
      </x:c>
      <x:c r="N278" s="4" t="n">
        <x:f>ROUND(I278*K278,2)</x:f>
        <x:v>81</x:v>
      </x:c>
      <x:c r="O278" s="4" t="n">
        <x:f>ROUND(M278-N278,2)</x:f>
        <x:v>79.57</x:v>
      </x:c>
      <x:c r="P278" s="6" t="n">
        <x:v>4</x:v>
      </x:c>
      <x:c r="Q278" t="str">
        <x:v>No</x:v>
      </x:c>
    </x:row>
    <x:row r="279">
      <x:c r="A279" t="str">
        <x:v>ORD-01315</x:v>
      </x:c>
      <x:c r="B279" s="3" t="n">
        <x:v>45402.204360613425</x:v>
      </x:c>
      <x:c r="C279" t="str">
        <x:v>2024-04</x:v>
      </x:c>
      <x:c r="D279" t="str">
        <x:v>CUS-0029</x:v>
      </x:c>
      <x:c r="E279" t="str">
        <x:v>London</x:v>
      </x:c>
      <x:c r="F279" t="str">
        <x:v>Marketplace</x:v>
      </x:c>
      <x:c r="G279" t="str">
        <x:v>Electronics</x:v>
      </x:c>
      <x:c r="H279" t="str">
        <x:v>Wireless Headphones</x:v>
      </x:c>
      <x:c r="I279" t="n">
        <x:v>1</x:v>
      </x:c>
      <x:c r="J279" s="4" t="n">
        <x:v>94.41</x:v>
      </x:c>
      <x:c r="K279" s="4" t="n">
        <x:v>48</x:v>
      </x:c>
      <x:c r="L279" s="5" t="n">
        <x:v>0.2</x:v>
      </x:c>
      <x:c r="M279" s="4" t="n">
        <x:f>ROUND(I279*J279*(1-L279),2)</x:f>
        <x:v>75.53</x:v>
      </x:c>
      <x:c r="N279" s="4" t="n">
        <x:f>ROUND(I279*K279,2)</x:f>
        <x:v>48</x:v>
      </x:c>
      <x:c r="O279" s="4" t="n">
        <x:f>ROUND(M279-N279,2)</x:f>
        <x:v>27.53</x:v>
      </x:c>
      <x:c r="P279" s="6" t="n">
        <x:v>3.4</x:v>
      </x:c>
      <x:c r="Q279" t="str">
        <x:v>No</x:v>
      </x:c>
    </x:row>
    <x:row r="280">
      <x:c r="A280" t="str">
        <x:v>ORD-00289</x:v>
      </x:c>
      <x:c r="B280" s="3" t="n">
        <x:v>45402.65844481481</x:v>
      </x:c>
      <x:c r="C280" t="str">
        <x:v>2024-04</x:v>
      </x:c>
      <x:c r="D280" t="str">
        <x:v>CUS-0468</x:v>
      </x:c>
      <x:c r="E280" t="str">
        <x:v>South West</x:v>
      </x:c>
      <x:c r="F280" t="str">
        <x:v>Store</x:v>
      </x:c>
      <x:c r="G280" t="str">
        <x:v>Sports</x:v>
      </x:c>
      <x:c r="H280" t="str">
        <x:v>Yoga Mat</x:v>
      </x:c>
      <x:c r="I280" t="n">
        <x:v>2</x:v>
      </x:c>
      <x:c r="J280" s="4" t="n">
        <x:v>29.57</x:v>
      </x:c>
      <x:c r="K280" s="4" t="n">
        <x:v>12</x:v>
      </x:c>
      <x:c r="L280" s="5" t="n">
        <x:v>0.15</x:v>
      </x:c>
      <x:c r="M280" s="4" t="n">
        <x:f>ROUND(I280*J280*(1-L280),2)</x:f>
        <x:v>50.27</x:v>
      </x:c>
      <x:c r="N280" s="4" t="n">
        <x:f>ROUND(I280*K280,2)</x:f>
        <x:v>24</x:v>
      </x:c>
      <x:c r="O280" s="4" t="n">
        <x:f>ROUND(M280-N280,2)</x:f>
        <x:v>26.27</x:v>
      </x:c>
      <x:c r="P280" s="6" t="n">
        <x:v>3.9</x:v>
      </x:c>
      <x:c r="Q280" t="str">
        <x:v>No</x:v>
      </x:c>
    </x:row>
    <x:row r="281">
      <x:c r="A281" t="str">
        <x:v>ORD-00448</x:v>
      </x:c>
      <x:c r="B281" s="3" t="n">
        <x:v>45404.0248421875</x:v>
      </x:c>
      <x:c r="C281" t="str">
        <x:v>2024-04</x:v>
      </x:c>
      <x:c r="D281" t="str">
        <x:v>CUS-0091</x:v>
      </x:c>
      <x:c r="E281" t="str">
        <x:v>Wales</x:v>
      </x:c>
      <x:c r="F281" t="str">
        <x:v>Store</x:v>
      </x:c>
      <x:c r="G281" t="str">
        <x:v>Electronics</x:v>
      </x:c>
      <x:c r="H281" t="str">
        <x:v>Wireless Headphones</x:v>
      </x:c>
      <x:c r="I281" t="n">
        <x:v>1</x:v>
      </x:c>
      <x:c r="J281" s="4" t="n">
        <x:v>86.77</x:v>
      </x:c>
      <x:c r="K281" s="4" t="n">
        <x:v>48</x:v>
      </x:c>
      <x:c r="L281" s="5" t="n">
        <x:v>0.1</x:v>
      </x:c>
      <x:c r="M281" s="4" t="n">
        <x:f>ROUND(I281*J281*(1-L281),2)</x:f>
        <x:v>78.09</x:v>
      </x:c>
      <x:c r="N281" s="4" t="n">
        <x:f>ROUND(I281*K281,2)</x:f>
        <x:v>48</x:v>
      </x:c>
      <x:c r="O281" s="4" t="n">
        <x:f>ROUND(M281-N281,2)</x:f>
        <x:v>30.09</x:v>
      </x:c>
      <x:c r="P281" s="6" t="n">
        <x:v>4.3</x:v>
      </x:c>
      <x:c r="Q281" t="str">
        <x:v>No</x:v>
      </x:c>
    </x:row>
    <x:row r="282">
      <x:c r="A282" t="str">
        <x:v>ORD-00840</x:v>
      </x:c>
      <x:c r="B282" s="3" t="n">
        <x:v>45404.61285784722</x:v>
      </x:c>
      <x:c r="C282" t="str">
        <x:v>2024-04</x:v>
      </x:c>
      <x:c r="D282" t="str">
        <x:v>CUS-0535</x:v>
      </x:c>
      <x:c r="E282" t="str">
        <x:v>South East</x:v>
      </x:c>
      <x:c r="F282" t="str">
        <x:v>Online</x:v>
      </x:c>
      <x:c r="G282" t="str">
        <x:v>Beauty</x:v>
      </x:c>
      <x:c r="H282" t="str">
        <x:v>Hair Dryer</x:v>
      </x:c>
      <x:c r="I282" t="n">
        <x:v>5</x:v>
      </x:c>
      <x:c r="J282" s="4" t="n">
        <x:v>62.76</x:v>
      </x:c>
      <x:c r="K282" s="4" t="n">
        <x:v>29</x:v>
      </x:c>
      <x:c r="L282" s="5" t="n">
        <x:v>0</x:v>
      </x:c>
      <x:c r="M282" s="4" t="n">
        <x:f>ROUND(I282*J282*(1-L282),2)</x:f>
        <x:v>313.8</x:v>
      </x:c>
      <x:c r="N282" s="4" t="n">
        <x:f>ROUND(I282*K282,2)</x:f>
        <x:v>145</x:v>
      </x:c>
      <x:c r="O282" s="4" t="n">
        <x:f>ROUND(M282-N282,2)</x:f>
        <x:v>168.8</x:v>
      </x:c>
      <x:c r="P282" s="6" t="n">
        <x:v>3.6</x:v>
      </x:c>
      <x:c r="Q282" t="str">
        <x:v>Yes</x:v>
      </x:c>
    </x:row>
    <x:row r="283">
      <x:c r="A283" t="str">
        <x:v>ORD-00237</x:v>
      </x:c>
      <x:c r="B283" s="3" t="n">
        <x:v>45404.81662474537</x:v>
      </x:c>
      <x:c r="C283" t="str">
        <x:v>2024-04</x:v>
      </x:c>
      <x:c r="D283" t="str">
        <x:v>CUS-0314</x:v>
      </x:c>
      <x:c r="E283" t="str">
        <x:v>North East</x:v>
      </x:c>
      <x:c r="F283" t="str">
        <x:v>Store</x:v>
      </x:c>
      <x:c r="G283" t="str">
        <x:v>Sports</x:v>
      </x:c>
      <x:c r="H283" t="str">
        <x:v>Yoga Mat</x:v>
      </x:c>
      <x:c r="I283" t="n">
        <x:v>3</x:v>
      </x:c>
      <x:c r="J283" s="4" t="n">
        <x:v>30.36</x:v>
      </x:c>
      <x:c r="K283" s="4" t="n">
        <x:v>12</x:v>
      </x:c>
      <x:c r="L283" s="5" t="n">
        <x:v>0.15</x:v>
      </x:c>
      <x:c r="M283" s="4" t="n">
        <x:f>ROUND(I283*J283*(1-L283),2)</x:f>
        <x:v>77.42</x:v>
      </x:c>
      <x:c r="N283" s="4" t="n">
        <x:f>ROUND(I283*K283,2)</x:f>
        <x:v>36</x:v>
      </x:c>
      <x:c r="O283" s="4" t="n">
        <x:f>ROUND(M283-N283,2)</x:f>
        <x:v>41.42</x:v>
      </x:c>
      <x:c r="P283" s="6" t="n">
        <x:v>5</x:v>
      </x:c>
      <x:c r="Q283" t="str">
        <x:v>No</x:v>
      </x:c>
    </x:row>
    <x:row r="284">
      <x:c r="A284" t="str">
        <x:v>ORD-01656</x:v>
      </x:c>
      <x:c r="B284" s="3" t="n">
        <x:v>45405.282079351855</x:v>
      </x:c>
      <x:c r="C284" t="str">
        <x:v>2024-04</x:v>
      </x:c>
      <x:c r="D284" t="str">
        <x:v>CUS-0452</x:v>
      </x:c>
      <x:c r="E284" t="str">
        <x:v>North East</x:v>
      </x:c>
      <x:c r="F284" t="str">
        <x:v>Marketplace</x:v>
      </x:c>
      <x:c r="G284" t="str">
        <x:v>Beauty</x:v>
      </x:c>
      <x:c r="H284" t="str">
        <x:v>Skin Care Set</x:v>
      </x:c>
      <x:c r="I284" t="n">
        <x:v>4</x:v>
      </x:c>
      <x:c r="J284" s="4" t="n">
        <x:v>44.14</x:v>
      </x:c>
      <x:c r="K284" s="4" t="n">
        <x:v>18</x:v>
      </x:c>
      <x:c r="L284" s="5" t="n">
        <x:v>0</x:v>
      </x:c>
      <x:c r="M284" s="4" t="n">
        <x:f>ROUND(I284*J284*(1-L284),2)</x:f>
        <x:v>176.56</x:v>
      </x:c>
      <x:c r="N284" s="4" t="n">
        <x:f>ROUND(I284*K284,2)</x:f>
        <x:v>72</x:v>
      </x:c>
      <x:c r="O284" s="4" t="n">
        <x:f>ROUND(M284-N284,2)</x:f>
        <x:v>104.56</x:v>
      </x:c>
      <x:c r="P284" s="6" t="n">
        <x:v>4.1</x:v>
      </x:c>
      <x:c r="Q284" t="str">
        <x:v>No</x:v>
      </x:c>
    </x:row>
    <x:row r="285">
      <x:c r="A285" t="str">
        <x:v>ORD-00359</x:v>
      </x:c>
      <x:c r="B285" s="3" t="n">
        <x:v>45406.74095747685</x:v>
      </x:c>
      <x:c r="C285" t="str">
        <x:v>2024-04</x:v>
      </x:c>
      <x:c r="D285" t="str">
        <x:v>CUS-0337</x:v>
      </x:c>
      <x:c r="E285" t="str">
        <x:v>North West</x:v>
      </x:c>
      <x:c r="F285" t="str">
        <x:v>Marketplace</x:v>
      </x:c>
      <x:c r="G285" t="str">
        <x:v>Home</x:v>
      </x:c>
      <x:c r="H285" t="str">
        <x:v>Air Fryer</x:v>
      </x:c>
      <x:c r="I285" t="n">
        <x:v>2</x:v>
      </x:c>
      <x:c r="J285" s="4" t="n">
        <x:v>115.72</x:v>
      </x:c>
      <x:c r="K285" s="4" t="n">
        <x:v>69</x:v>
      </x:c>
      <x:c r="L285" s="5" t="n">
        <x:v>0</x:v>
      </x:c>
      <x:c r="M285" s="4" t="n">
        <x:f>ROUND(I285*J285*(1-L285),2)</x:f>
        <x:v>231.44</x:v>
      </x:c>
      <x:c r="N285" s="4" t="n">
        <x:f>ROUND(I285*K285,2)</x:f>
        <x:v>138</x:v>
      </x:c>
      <x:c r="O285" s="4" t="n">
        <x:f>ROUND(M285-N285,2)</x:f>
        <x:v>93.44</x:v>
      </x:c>
      <x:c r="P285" s="6" t="n">
        <x:v>5</x:v>
      </x:c>
      <x:c r="Q285" t="str">
        <x:v>No</x:v>
      </x:c>
    </x:row>
    <x:row r="286">
      <x:c r="A286" t="str">
        <x:v>ORD-01697</x:v>
      </x:c>
      <x:c r="B286" s="3" t="n">
        <x:v>45407.63836699074</x:v>
      </x:c>
      <x:c r="C286" t="str">
        <x:v>2024-04</x:v>
      </x:c>
      <x:c r="D286" t="str">
        <x:v>CUS-0196</x:v>
      </x:c>
      <x:c r="E286" t="str">
        <x:v>North West</x:v>
      </x:c>
      <x:c r="F286" t="str">
        <x:v>Online</x:v>
      </x:c>
      <x:c r="G286" t="str">
        <x:v>Sports</x:v>
      </x:c>
      <x:c r="H286" t="str">
        <x:v>Fitness Tracker</x:v>
      </x:c>
      <x:c r="I286" t="n">
        <x:v>2</x:v>
      </x:c>
      <x:c r="J286" s="4" t="n">
        <x:v>56.33</x:v>
      </x:c>
      <x:c r="K286" s="4" t="n">
        <x:v>27</x:v>
      </x:c>
      <x:c r="L286" s="5" t="n">
        <x:v>0.1</x:v>
      </x:c>
      <x:c r="M286" s="4" t="n">
        <x:f>ROUND(I286*J286*(1-L286),2)</x:f>
        <x:v>101.39</x:v>
      </x:c>
      <x:c r="N286" s="4" t="n">
        <x:f>ROUND(I286*K286,2)</x:f>
        <x:v>54</x:v>
      </x:c>
      <x:c r="O286" s="4" t="n">
        <x:f>ROUND(M286-N286,2)</x:f>
        <x:v>47.39</x:v>
      </x:c>
      <x:c r="P286" s="6" t="n">
        <x:v>3.5</x:v>
      </x:c>
      <x:c r="Q286" t="str">
        <x:v>No</x:v>
      </x:c>
    </x:row>
    <x:row r="287">
      <x:c r="A287" t="str">
        <x:v>ORD-00941</x:v>
      </x:c>
      <x:c r="B287" s="3" t="n">
        <x:v>45408.26801351852</x:v>
      </x:c>
      <x:c r="C287" t="str">
        <x:v>2024-04</x:v>
      </x:c>
      <x:c r="D287" t="str">
        <x:v>CUS-0322</x:v>
      </x:c>
      <x:c r="E287" t="str">
        <x:v>South West</x:v>
      </x:c>
      <x:c r="F287" t="str">
        <x:v>Store</x:v>
      </x:c>
      <x:c r="G287" t="str">
        <x:v>Home</x:v>
      </x:c>
      <x:c r="H287" t="str">
        <x:v>Coffee Maker</x:v>
      </x:c>
      <x:c r="I287" t="n">
        <x:v>4</x:v>
      </x:c>
      <x:c r="J287" s="4" t="n">
        <x:v>72.76</x:v>
      </x:c>
      <x:c r="K287" s="4" t="n">
        <x:v>41</x:v>
      </x:c>
      <x:c r="L287" s="5" t="n">
        <x:v>0</x:v>
      </x:c>
      <x:c r="M287" s="4" t="n">
        <x:f>ROUND(I287*J287*(1-L287),2)</x:f>
        <x:v>291.04</x:v>
      </x:c>
      <x:c r="N287" s="4" t="n">
        <x:f>ROUND(I287*K287,2)</x:f>
        <x:v>164</x:v>
      </x:c>
      <x:c r="O287" s="4" t="n">
        <x:f>ROUND(M287-N287,2)</x:f>
        <x:v>127.04</x:v>
      </x:c>
      <x:c r="P287" s="6" t="n">
        <x:v>3.9</x:v>
      </x:c>
      <x:c r="Q287" t="str">
        <x:v>No</x:v>
      </x:c>
    </x:row>
    <x:row r="288">
      <x:c r="A288" t="str">
        <x:v>ORD-00112</x:v>
      </x:c>
      <x:c r="B288" s="3" t="n">
        <x:v>45408.90104952546</x:v>
      </x:c>
      <x:c r="C288" t="str">
        <x:v>2024-04</x:v>
      </x:c>
      <x:c r="D288" t="str">
        <x:v>CUS-0287</x:v>
      </x:c>
      <x:c r="E288" t="str">
        <x:v>Midlands</x:v>
      </x:c>
      <x:c r="F288" t="str">
        <x:v>Marketplace</x:v>
      </x:c>
      <x:c r="G288" t="str">
        <x:v>Fashion</x:v>
      </x:c>
      <x:c r="H288" t="str">
        <x:v>Backpack</x:v>
      </x:c>
      <x:c r="I288" t="n">
        <x:v>5</x:v>
      </x:c>
      <x:c r="J288" s="4" t="n">
        <x:v>51.71</x:v>
      </x:c>
      <x:c r="K288" s="4" t="n">
        <x:v>21</x:v>
      </x:c>
      <x:c r="L288" s="5" t="n">
        <x:v>0</x:v>
      </x:c>
      <x:c r="M288" s="4" t="n">
        <x:f>ROUND(I288*J288*(1-L288),2)</x:f>
        <x:v>258.55</x:v>
      </x:c>
      <x:c r="N288" s="4" t="n">
        <x:f>ROUND(I288*K288,2)</x:f>
        <x:v>105</x:v>
      </x:c>
      <x:c r="O288" s="4" t="n">
        <x:f>ROUND(M288-N288,2)</x:f>
        <x:v>153.55</x:v>
      </x:c>
      <x:c r="P288" s="6" t="n">
        <x:v>3.8</x:v>
      </x:c>
      <x:c r="Q288" t="str">
        <x:v>Yes</x:v>
      </x:c>
    </x:row>
    <x:row r="289">
      <x:c r="A289" t="str">
        <x:v>ORD-00396</x:v>
      </x:c>
      <x:c r="B289" s="3" t="n">
        <x:v>45409.1877991088</x:v>
      </x:c>
      <x:c r="C289" t="str">
        <x:v>2024-04</x:v>
      </x:c>
      <x:c r="D289" t="str">
        <x:v>CUS-0196</x:v>
      </x:c>
      <x:c r="E289" t="str">
        <x:v>Midlands</x:v>
      </x:c>
      <x:c r="F289" t="str">
        <x:v>Online</x:v>
      </x:c>
      <x:c r="G289" t="str">
        <x:v>Sports</x:v>
      </x:c>
      <x:c r="H289" t="str">
        <x:v>Yoga Mat</x:v>
      </x:c>
      <x:c r="I289" t="n">
        <x:v>5</x:v>
      </x:c>
      <x:c r="J289" s="4" t="n">
        <x:v>28.51</x:v>
      </x:c>
      <x:c r="K289" s="4" t="n">
        <x:v>12</x:v>
      </x:c>
      <x:c r="L289" s="5" t="n">
        <x:v>0.1</x:v>
      </x:c>
      <x:c r="M289" s="4" t="n">
        <x:f>ROUND(I289*J289*(1-L289),2)</x:f>
        <x:v>128.3</x:v>
      </x:c>
      <x:c r="N289" s="4" t="n">
        <x:f>ROUND(I289*K289,2)</x:f>
        <x:v>60</x:v>
      </x:c>
      <x:c r="O289" s="4" t="n">
        <x:f>ROUND(M289-N289,2)</x:f>
        <x:v>68.3</x:v>
      </x:c>
      <x:c r="P289" s="6" t="n">
        <x:v>4.9</x:v>
      </x:c>
      <x:c r="Q289" t="str">
        <x:v>Yes</x:v>
      </x:c>
    </x:row>
    <x:row r="290">
      <x:c r="A290" t="str">
        <x:v>ORD-00601</x:v>
      </x:c>
      <x:c r="B290" s="3" t="n">
        <x:v>45410.61959071759</x:v>
      </x:c>
      <x:c r="C290" t="str">
        <x:v>2024-04</x:v>
      </x:c>
      <x:c r="D290" t="str">
        <x:v>CUS-0214</x:v>
      </x:c>
      <x:c r="E290" t="str">
        <x:v>Midlands</x:v>
      </x:c>
      <x:c r="F290" t="str">
        <x:v>Online</x:v>
      </x:c>
      <x:c r="G290" t="str">
        <x:v>Home</x:v>
      </x:c>
      <x:c r="H290" t="str">
        <x:v>Coffee Maker</x:v>
      </x:c>
      <x:c r="I290" t="n">
        <x:v>4</x:v>
      </x:c>
      <x:c r="J290" s="4" t="n">
        <x:v>76.96</x:v>
      </x:c>
      <x:c r="K290" s="4" t="n">
        <x:v>41</x:v>
      </x:c>
      <x:c r="L290" s="5" t="n">
        <x:v>0.1</x:v>
      </x:c>
      <x:c r="M290" s="4" t="n">
        <x:f>ROUND(I290*J290*(1-L290),2)</x:f>
        <x:v>277.06</x:v>
      </x:c>
      <x:c r="N290" s="4" t="n">
        <x:f>ROUND(I290*K290,2)</x:f>
        <x:v>164</x:v>
      </x:c>
      <x:c r="O290" s="4" t="n">
        <x:f>ROUND(M290-N290,2)</x:f>
        <x:v>113.06</x:v>
      </x:c>
      <x:c r="P290" s="6" t="n">
        <x:v>4.4</x:v>
      </x:c>
      <x:c r="Q290" t="str">
        <x:v>No</x:v>
      </x:c>
    </x:row>
    <x:row r="291">
      <x:c r="A291" t="str">
        <x:v>ORD-00739</x:v>
      </x:c>
      <x:c r="B291" s="3" t="n">
        <x:v>45410.81646140046</x:v>
      </x:c>
      <x:c r="C291" t="str">
        <x:v>2024-04</x:v>
      </x:c>
      <x:c r="D291" t="str">
        <x:v>CUS-0056</x:v>
      </x:c>
      <x:c r="E291" t="str">
        <x:v>North West</x:v>
      </x:c>
      <x:c r="F291" t="str">
        <x:v>Marketplace</x:v>
      </x:c>
      <x:c r="G291" t="str">
        <x:v>Electronics</x:v>
      </x:c>
      <x:c r="H291" t="str">
        <x:v>Smart Watch</x:v>
      </x:c>
      <x:c r="I291" t="n">
        <x:v>1</x:v>
      </x:c>
      <x:c r="J291" s="4" t="n">
        <x:v>160.36</x:v>
      </x:c>
      <x:c r="K291" s="4" t="n">
        <x:v>92</x:v>
      </x:c>
      <x:c r="L291" s="5" t="n">
        <x:v>0.1</x:v>
      </x:c>
      <x:c r="M291" s="4" t="n">
        <x:f>ROUND(I291*J291*(1-L291),2)</x:f>
        <x:v>144.32</x:v>
      </x:c>
      <x:c r="N291" s="4" t="n">
        <x:f>ROUND(I291*K291,2)</x:f>
        <x:v>92</x:v>
      </x:c>
      <x:c r="O291" s="4" t="n">
        <x:f>ROUND(M291-N291,2)</x:f>
        <x:v>52.32</x:v>
      </x:c>
      <x:c r="P291" s="6" t="n">
        <x:v>3.5</x:v>
      </x:c>
      <x:c r="Q291" t="str">
        <x:v>No</x:v>
      </x:c>
    </x:row>
    <x:row r="292">
      <x:c r="A292" t="str">
        <x:v>ORD-00008</x:v>
      </x:c>
      <x:c r="B292" s="3" t="n">
        <x:v>45411.152162997685</x:v>
      </x:c>
      <x:c r="C292" t="str">
        <x:v>2024-04</x:v>
      </x:c>
      <x:c r="D292" t="str">
        <x:v>CUS-0570</x:v>
      </x:c>
      <x:c r="E292" t="str">
        <x:v>North East</x:v>
      </x:c>
      <x:c r="F292" t="str">
        <x:v>Online</x:v>
      </x:c>
      <x:c r="G292" t="str">
        <x:v>Fashion</x:v>
      </x:c>
      <x:c r="H292" t="str">
        <x:v>Winter Jacket</x:v>
      </x:c>
      <x:c r="I292" t="n">
        <x:v>4</x:v>
      </x:c>
      <x:c r="J292" s="4" t="n">
        <x:v>97.55</x:v>
      </x:c>
      <x:c r="K292" s="4" t="n">
        <x:v>46</x:v>
      </x:c>
      <x:c r="L292" s="5" t="n">
        <x:v>0</x:v>
      </x:c>
      <x:c r="M292" s="4" t="n">
        <x:f>ROUND(I292*J292*(1-L292),2)</x:f>
        <x:v>390.2</x:v>
      </x:c>
      <x:c r="N292" s="4" t="n">
        <x:f>ROUND(I292*K292,2)</x:f>
        <x:v>184</x:v>
      </x:c>
      <x:c r="O292" s="4" t="n">
        <x:f>ROUND(M292-N292,2)</x:f>
        <x:v>206.2</x:v>
      </x:c>
      <x:c r="P292" s="6" t="n">
        <x:v>4.5</x:v>
      </x:c>
      <x:c r="Q292" t="str">
        <x:v>No</x:v>
      </x:c>
    </x:row>
    <x:row r="293">
      <x:c r="A293" t="str">
        <x:v>ORD-01555</x:v>
      </x:c>
      <x:c r="B293" s="3" t="n">
        <x:v>45411.280352650465</x:v>
      </x:c>
      <x:c r="C293" t="str">
        <x:v>2024-04</x:v>
      </x:c>
      <x:c r="D293" t="str">
        <x:v>CUS-0394</x:v>
      </x:c>
      <x:c r="E293" t="str">
        <x:v>Midlands</x:v>
      </x:c>
      <x:c r="F293" t="str">
        <x:v>Online</x:v>
      </x:c>
      <x:c r="G293" t="str">
        <x:v>Beauty</x:v>
      </x:c>
      <x:c r="H293" t="str">
        <x:v>Hair Dryer</x:v>
      </x:c>
      <x:c r="I293" t="n">
        <x:v>5</x:v>
      </x:c>
      <x:c r="J293" s="4" t="n">
        <x:v>61.4</x:v>
      </x:c>
      <x:c r="K293" s="4" t="n">
        <x:v>29</x:v>
      </x:c>
      <x:c r="L293" s="5" t="n">
        <x:v>0</x:v>
      </x:c>
      <x:c r="M293" s="4" t="n">
        <x:f>ROUND(I293*J293*(1-L293),2)</x:f>
        <x:v>307</x:v>
      </x:c>
      <x:c r="N293" s="4" t="n">
        <x:f>ROUND(I293*K293,2)</x:f>
        <x:v>145</x:v>
      </x:c>
      <x:c r="O293" s="4" t="n">
        <x:f>ROUND(M293-N293,2)</x:f>
        <x:v>162</x:v>
      </x:c>
      <x:c r="P293" s="6" t="n">
        <x:v>4.2</x:v>
      </x:c>
      <x:c r="Q293" t="str">
        <x:v>No</x:v>
      </x:c>
    </x:row>
    <x:row r="294">
      <x:c r="A294" t="str">
        <x:v>ORD-00870</x:v>
      </x:c>
      <x:c r="B294" s="3" t="n">
        <x:v>45411.49716957176</x:v>
      </x:c>
      <x:c r="C294" t="str">
        <x:v>2024-04</x:v>
      </x:c>
      <x:c r="D294" t="str">
        <x:v>CUS-0187</x:v>
      </x:c>
      <x:c r="E294" t="str">
        <x:v>North East</x:v>
      </x:c>
      <x:c r="F294" t="str">
        <x:v>Marketplace</x:v>
      </x:c>
      <x:c r="G294" t="str">
        <x:v>Home</x:v>
      </x:c>
      <x:c r="H294" t="str">
        <x:v>Coffee Maker</x:v>
      </x:c>
      <x:c r="I294" t="n">
        <x:v>5</x:v>
      </x:c>
      <x:c r="J294" s="4" t="n">
        <x:v>75.09</x:v>
      </x:c>
      <x:c r="K294" s="4" t="n">
        <x:v>41</x:v>
      </x:c>
      <x:c r="L294" s="5" t="n">
        <x:v>0.05</x:v>
      </x:c>
      <x:c r="M294" s="4" t="n">
        <x:f>ROUND(I294*J294*(1-L294),2)</x:f>
        <x:v>356.68</x:v>
      </x:c>
      <x:c r="N294" s="4" t="n">
        <x:f>ROUND(I294*K294,2)</x:f>
        <x:v>205</x:v>
      </x:c>
      <x:c r="O294" s="4" t="n">
        <x:f>ROUND(M294-N294,2)</x:f>
        <x:v>151.68</x:v>
      </x:c>
      <x:c r="P294" s="6" t="n">
        <x:v>4.2</x:v>
      </x:c>
      <x:c r="Q294" t="str">
        <x:v>No</x:v>
      </x:c>
    </x:row>
    <x:row r="295">
      <x:c r="A295" t="str">
        <x:v>ORD-01088</x:v>
      </x:c>
      <x:c r="B295" s="3" t="n">
        <x:v>45411.756163645834</x:v>
      </x:c>
      <x:c r="C295" t="str">
        <x:v>2024-04</x:v>
      </x:c>
      <x:c r="D295" t="str">
        <x:v>CUS-0501</x:v>
      </x:c>
      <x:c r="E295" t="str">
        <x:v>Midlands</x:v>
      </x:c>
      <x:c r="F295" t="str">
        <x:v>Marketplace</x:v>
      </x:c>
      <x:c r="G295" t="str">
        <x:v>Beauty</x:v>
      </x:c>
      <x:c r="H295" t="str">
        <x:v>Skin Care Set</x:v>
      </x:c>
      <x:c r="I295" t="n">
        <x:v>5</x:v>
      </x:c>
      <x:c r="J295" s="4" t="n">
        <x:v>46.81</x:v>
      </x:c>
      <x:c r="K295" s="4" t="n">
        <x:v>18</x:v>
      </x:c>
      <x:c r="L295" s="5" t="n">
        <x:v>0</x:v>
      </x:c>
      <x:c r="M295" s="4" t="n">
        <x:f>ROUND(I295*J295*(1-L295),2)</x:f>
        <x:v>234.05</x:v>
      </x:c>
      <x:c r="N295" s="4" t="n">
        <x:f>ROUND(I295*K295,2)</x:f>
        <x:v>90</x:v>
      </x:c>
      <x:c r="O295" s="4" t="n">
        <x:f>ROUND(M295-N295,2)</x:f>
        <x:v>144.05</x:v>
      </x:c>
      <x:c r="P295" s="6" t="n">
        <x:v>3.5</x:v>
      </x:c>
      <x:c r="Q295" t="str">
        <x:v>No</x:v>
      </x:c>
    </x:row>
    <x:row r="296">
      <x:c r="A296" t="str">
        <x:v>ORD-00490</x:v>
      </x:c>
      <x:c r="B296" s="3" t="n">
        <x:v>45412.25468248843</x:v>
      </x:c>
      <x:c r="C296" t="str">
        <x:v>2024-04</x:v>
      </x:c>
      <x:c r="D296" t="str">
        <x:v>CUS-0241</x:v>
      </x:c>
      <x:c r="E296" t="str">
        <x:v>Midlands</x:v>
      </x:c>
      <x:c r="F296" t="str">
        <x:v>Store</x:v>
      </x:c>
      <x:c r="G296" t="str">
        <x:v>Sports</x:v>
      </x:c>
      <x:c r="H296" t="str">
        <x:v>Fitness Tracker</x:v>
      </x:c>
      <x:c r="I296" t="n">
        <x:v>1</x:v>
      </x:c>
      <x:c r="J296" s="4" t="n">
        <x:v>55.18</x:v>
      </x:c>
      <x:c r="K296" s="4" t="n">
        <x:v>27</x:v>
      </x:c>
      <x:c r="L296" s="5" t="n">
        <x:v>0.15</x:v>
      </x:c>
      <x:c r="M296" s="4" t="n">
        <x:f>ROUND(I296*J296*(1-L296),2)</x:f>
        <x:v>46.9</x:v>
      </x:c>
      <x:c r="N296" s="4" t="n">
        <x:f>ROUND(I296*K296,2)</x:f>
        <x:v>27</x:v>
      </x:c>
      <x:c r="O296" s="4" t="n">
        <x:f>ROUND(M296-N296,2)</x:f>
        <x:v>19.9</x:v>
      </x:c>
      <x:c r="P296" s="6" t="n">
        <x:v>5</x:v>
      </x:c>
      <x:c r="Q296" t="str">
        <x:v>No</x:v>
      </x:c>
    </x:row>
    <x:row r="297">
      <x:c r="A297" t="str">
        <x:v>ORD-00378</x:v>
      </x:c>
      <x:c r="B297" s="3" t="n">
        <x:v>45412.641895787034</x:v>
      </x:c>
      <x:c r="C297" t="str">
        <x:v>2024-04</x:v>
      </x:c>
      <x:c r="D297" t="str">
        <x:v>CUS-0379</x:v>
      </x:c>
      <x:c r="E297" t="str">
        <x:v>Scotland</x:v>
      </x:c>
      <x:c r="F297" t="str">
        <x:v>Online</x:v>
      </x:c>
      <x:c r="G297" t="str">
        <x:v>Sports</x:v>
      </x:c>
      <x:c r="H297" t="str">
        <x:v>Running Shoes</x:v>
      </x:c>
      <x:c r="I297" t="n">
        <x:v>1</x:v>
      </x:c>
      <x:c r="J297" s="4" t="n">
        <x:v>78.63</x:v>
      </x:c>
      <x:c r="K297" s="4" t="n">
        <x:v>38</x:v>
      </x:c>
      <x:c r="L297" s="5" t="n">
        <x:v>0.15</x:v>
      </x:c>
      <x:c r="M297" s="4" t="n">
        <x:f>ROUND(I297*J297*(1-L297),2)</x:f>
        <x:v>66.84</x:v>
      </x:c>
      <x:c r="N297" s="4" t="n">
        <x:f>ROUND(I297*K297,2)</x:f>
        <x:v>38</x:v>
      </x:c>
      <x:c r="O297" s="4" t="n">
        <x:f>ROUND(M297-N297,2)</x:f>
        <x:v>28.84</x:v>
      </x:c>
      <x:c r="P297" s="6" t="n">
        <x:v>4</x:v>
      </x:c>
      <x:c r="Q297" t="str">
        <x:v>No</x:v>
      </x:c>
    </x:row>
    <x:row r="298">
      <x:c r="A298" t="str">
        <x:v>ORD-00980</x:v>
      </x:c>
      <x:c r="B298" s="3" t="n">
        <x:v>45412.8156728125</x:v>
      </x:c>
      <x:c r="C298" t="str">
        <x:v>2024-04</x:v>
      </x:c>
      <x:c r="D298" t="str">
        <x:v>CUS-0306</x:v>
      </x:c>
      <x:c r="E298" t="str">
        <x:v>North West</x:v>
      </x:c>
      <x:c r="F298" t="str">
        <x:v>Marketplace</x:v>
      </x:c>
      <x:c r="G298" t="str">
        <x:v>Fashion</x:v>
      </x:c>
      <x:c r="H298" t="str">
        <x:v>Backpack</x:v>
      </x:c>
      <x:c r="I298" t="n">
        <x:v>3</x:v>
      </x:c>
      <x:c r="J298" s="4" t="n">
        <x:v>50.51</x:v>
      </x:c>
      <x:c r="K298" s="4" t="n">
        <x:v>21</x:v>
      </x:c>
      <x:c r="L298" s="5" t="n">
        <x:v>0</x:v>
      </x:c>
      <x:c r="M298" s="4" t="n">
        <x:f>ROUND(I298*J298*(1-L298),2)</x:f>
        <x:v>151.53</x:v>
      </x:c>
      <x:c r="N298" s="4" t="n">
        <x:f>ROUND(I298*K298,2)</x:f>
        <x:v>63</x:v>
      </x:c>
      <x:c r="O298" s="4" t="n">
        <x:f>ROUND(M298-N298,2)</x:f>
        <x:v>88.53</x:v>
      </x:c>
      <x:c r="P298" s="6" t="n">
        <x:v>4.9</x:v>
      </x:c>
      <x:c r="Q298" t="str">
        <x:v>No</x:v>
      </x:c>
    </x:row>
    <x:row r="299">
      <x:c r="A299" t="str">
        <x:v>ORD-00248</x:v>
      </x:c>
      <x:c r="B299" s="3" t="n">
        <x:v>45413.17700363426</x:v>
      </x:c>
      <x:c r="C299" t="str">
        <x:v>2024-05</x:v>
      </x:c>
      <x:c r="D299" t="str">
        <x:v>CUS-0246</x:v>
      </x:c>
      <x:c r="E299" t="str">
        <x:v>North West</x:v>
      </x:c>
      <x:c r="F299" t="str">
        <x:v>Online</x:v>
      </x:c>
      <x:c r="G299" t="str">
        <x:v>Sports</x:v>
      </x:c>
      <x:c r="H299" t="str">
        <x:v>Fitness Tracker</x:v>
      </x:c>
      <x:c r="I299" t="n">
        <x:v>2</x:v>
      </x:c>
      <x:c r="J299" s="4" t="n">
        <x:v>55.25</x:v>
      </x:c>
      <x:c r="K299" s="4" t="n">
        <x:v>27</x:v>
      </x:c>
      <x:c r="L299" s="5" t="n">
        <x:v>0.15</x:v>
      </x:c>
      <x:c r="M299" s="4" t="n">
        <x:f>ROUND(I299*J299*(1-L299),2)</x:f>
        <x:v>93.93</x:v>
      </x:c>
      <x:c r="N299" s="4" t="n">
        <x:f>ROUND(I299*K299,2)</x:f>
        <x:v>54</x:v>
      </x:c>
      <x:c r="O299" s="4" t="n">
        <x:f>ROUND(M299-N299,2)</x:f>
        <x:v>39.93</x:v>
      </x:c>
      <x:c r="P299" s="6" t="n">
        <x:v>4.8</x:v>
      </x:c>
      <x:c r="Q299" t="str">
        <x:v>No</x:v>
      </x:c>
    </x:row>
    <x:row r="300">
      <x:c r="A300" t="str">
        <x:v>ORD-00083</x:v>
      </x:c>
      <x:c r="B300" s="3" t="n">
        <x:v>45413.99861800926</x:v>
      </x:c>
      <x:c r="C300" t="str">
        <x:v>2024-05</x:v>
      </x:c>
      <x:c r="D300" t="str">
        <x:v>CUS-0404</x:v>
      </x:c>
      <x:c r="E300" t="str">
        <x:v>Scotland</x:v>
      </x:c>
      <x:c r="F300" t="str">
        <x:v>Online</x:v>
      </x:c>
      <x:c r="G300" t="str">
        <x:v>Books</x:v>
      </x:c>
      <x:c r="H300" t="str">
        <x:v>Business Intelligence Guide</x:v>
      </x:c>
      <x:c r="I300" t="n">
        <x:v>4</x:v>
      </x:c>
      <x:c r="J300" s="4" t="n">
        <x:v>36.72</x:v>
      </x:c>
      <x:c r="K300" s="4" t="n">
        <x:v>12</x:v>
      </x:c>
      <x:c r="L300" s="5" t="n">
        <x:v>0</x:v>
      </x:c>
      <x:c r="M300" s="4" t="n">
        <x:f>ROUND(I300*J300*(1-L300),2)</x:f>
        <x:v>146.88</x:v>
      </x:c>
      <x:c r="N300" s="4" t="n">
        <x:f>ROUND(I300*K300,2)</x:f>
        <x:v>48</x:v>
      </x:c>
      <x:c r="O300" s="4" t="n">
        <x:f>ROUND(M300-N300,2)</x:f>
        <x:v>98.88</x:v>
      </x:c>
      <x:c r="P300" s="6" t="n">
        <x:v>4.6</x:v>
      </x:c>
      <x:c r="Q300" t="str">
        <x:v>No</x:v>
      </x:c>
    </x:row>
    <x:row r="301">
      <x:c r="A301" t="str">
        <x:v>ORD-00567</x:v>
      </x:c>
      <x:c r="B301" s="3" t="n">
        <x:v>45414.37209938657</x:v>
      </x:c>
      <x:c r="C301" t="str">
        <x:v>2024-05</x:v>
      </x:c>
      <x:c r="D301" t="str">
        <x:v>CUS-0328</x:v>
      </x:c>
      <x:c r="E301" t="str">
        <x:v>Wales</x:v>
      </x:c>
      <x:c r="F301" t="str">
        <x:v>Store</x:v>
      </x:c>
      <x:c r="G301" t="str">
        <x:v>Fashion</x:v>
      </x:c>
      <x:c r="H301" t="str">
        <x:v>Winter Jacket</x:v>
      </x:c>
      <x:c r="I301" t="n">
        <x:v>4</x:v>
      </x:c>
      <x:c r="J301" s="4" t="n">
        <x:v>91.8</x:v>
      </x:c>
      <x:c r="K301" s="4" t="n">
        <x:v>46</x:v>
      </x:c>
      <x:c r="L301" s="5" t="n">
        <x:v>0</x:v>
      </x:c>
      <x:c r="M301" s="4" t="n">
        <x:f>ROUND(I301*J301*(1-L301),2)</x:f>
        <x:v>367.2</x:v>
      </x:c>
      <x:c r="N301" s="4" t="n">
        <x:f>ROUND(I301*K301,2)</x:f>
        <x:v>184</x:v>
      </x:c>
      <x:c r="O301" s="4" t="n">
        <x:f>ROUND(M301-N301,2)</x:f>
        <x:v>183.2</x:v>
      </x:c>
      <x:c r="P301" s="6" t="n">
        <x:v>5</x:v>
      </x:c>
      <x:c r="Q301" t="str">
        <x:v>No</x:v>
      </x:c>
    </x:row>
    <x:row r="302">
      <x:c r="A302" t="str">
        <x:v>ORD-01703</x:v>
      </x:c>
      <x:c r="B302" s="3" t="n">
        <x:v>45416.34681490741</x:v>
      </x:c>
      <x:c r="C302" t="str">
        <x:v>2024-05</x:v>
      </x:c>
      <x:c r="D302" t="str">
        <x:v>CUS-0008</x:v>
      </x:c>
      <x:c r="E302" t="str">
        <x:v>North West</x:v>
      </x:c>
      <x:c r="F302" t="str">
        <x:v>Online</x:v>
      </x:c>
      <x:c r="G302" t="str">
        <x:v>Home</x:v>
      </x:c>
      <x:c r="H302" t="str">
        <x:v>Air Fryer</x:v>
      </x:c>
      <x:c r="I302" t="n">
        <x:v>4</x:v>
      </x:c>
      <x:c r="J302" s="4" t="n">
        <x:v>118.45</x:v>
      </x:c>
      <x:c r="K302" s="4" t="n">
        <x:v>69</x:v>
      </x:c>
      <x:c r="L302" s="5" t="n">
        <x:v>0</x:v>
      </x:c>
      <x:c r="M302" s="4" t="n">
        <x:f>ROUND(I302*J302*(1-L302),2)</x:f>
        <x:v>473.8</x:v>
      </x:c>
      <x:c r="N302" s="4" t="n">
        <x:f>ROUND(I302*K302,2)</x:f>
        <x:v>276</x:v>
      </x:c>
      <x:c r="O302" s="4" t="n">
        <x:f>ROUND(M302-N302,2)</x:f>
        <x:v>197.8</x:v>
      </x:c>
      <x:c r="P302" s="6" t="n">
        <x:v>3.7</x:v>
      </x:c>
      <x:c r="Q302" t="str">
        <x:v>No</x:v>
      </x:c>
    </x:row>
    <x:row r="303">
      <x:c r="A303" t="str">
        <x:v>ORD-00016</x:v>
      </x:c>
      <x:c r="B303" s="3" t="n">
        <x:v>45416.769442743054</x:v>
      </x:c>
      <x:c r="C303" t="str">
        <x:v>2024-05</x:v>
      </x:c>
      <x:c r="D303" t="str">
        <x:v>CUS-0603</x:v>
      </x:c>
      <x:c r="E303" t="str">
        <x:v>Midlands</x:v>
      </x:c>
      <x:c r="F303" t="str">
        <x:v>Marketplace</x:v>
      </x:c>
      <x:c r="G303" t="str">
        <x:v>Books</x:v>
      </x:c>
      <x:c r="H303" t="str">
        <x:v>Data Analytics Handbook</x:v>
      </x:c>
      <x:c r="I303" t="n">
        <x:v>1</x:v>
      </x:c>
      <x:c r="J303" s="4" t="n">
        <x:v>41.88</x:v>
      </x:c>
      <x:c r="K303" s="4" t="n">
        <x:v>14</x:v>
      </x:c>
      <x:c r="L303" s="5" t="n">
        <x:v>0</x:v>
      </x:c>
      <x:c r="M303" s="4" t="n">
        <x:f>ROUND(I303*J303*(1-L303),2)</x:f>
        <x:v>41.88</x:v>
      </x:c>
      <x:c r="N303" s="4" t="n">
        <x:f>ROUND(I303*K303,2)</x:f>
        <x:v>14</x:v>
      </x:c>
      <x:c r="O303" s="4" t="n">
        <x:f>ROUND(M303-N303,2)</x:f>
        <x:v>27.88</x:v>
      </x:c>
      <x:c r="P303" s="6" t="n">
        <x:v>5</x:v>
      </x:c>
      <x:c r="Q303" t="str">
        <x:v>No</x:v>
      </x:c>
    </x:row>
    <x:row r="304">
      <x:c r="A304" t="str">
        <x:v>ORD-01114</x:v>
      </x:c>
      <x:c r="B304" s="3" t="n">
        <x:v>45417.27906787037</x:v>
      </x:c>
      <x:c r="C304" t="str">
        <x:v>2024-05</x:v>
      </x:c>
      <x:c r="D304" t="str">
        <x:v>CUS-0148</x:v>
      </x:c>
      <x:c r="E304" t="str">
        <x:v>Midlands</x:v>
      </x:c>
      <x:c r="F304" t="str">
        <x:v>Online</x:v>
      </x:c>
      <x:c r="G304" t="str">
        <x:v>Books</x:v>
      </x:c>
      <x:c r="H304" t="str">
        <x:v>Business Intelligence Guide</x:v>
      </x:c>
      <x:c r="I304" t="n">
        <x:v>1</x:v>
      </x:c>
      <x:c r="J304" s="4" t="n">
        <x:v>34.64</x:v>
      </x:c>
      <x:c r="K304" s="4" t="n">
        <x:v>12</x:v>
      </x:c>
      <x:c r="L304" s="5" t="n">
        <x:v>0</x:v>
      </x:c>
      <x:c r="M304" s="4" t="n">
        <x:f>ROUND(I304*J304*(1-L304),2)</x:f>
        <x:v>34.64</x:v>
      </x:c>
      <x:c r="N304" s="4" t="n">
        <x:f>ROUND(I304*K304,2)</x:f>
        <x:v>12</x:v>
      </x:c>
      <x:c r="O304" s="4" t="n">
        <x:f>ROUND(M304-N304,2)</x:f>
        <x:v>22.64</x:v>
      </x:c>
      <x:c r="P304" s="6" t="n">
        <x:v>3.9</x:v>
      </x:c>
      <x:c r="Q304" t="str">
        <x:v>No</x:v>
      </x:c>
    </x:row>
    <x:row r="305">
      <x:c r="A305" t="str">
        <x:v>ORD-00486</x:v>
      </x:c>
      <x:c r="B305" s="3" t="n">
        <x:v>45417.514838414354</x:v>
      </x:c>
      <x:c r="C305" t="str">
        <x:v>2024-05</x:v>
      </x:c>
      <x:c r="D305" t="str">
        <x:v>CUS-0352</x:v>
      </x:c>
      <x:c r="E305" t="str">
        <x:v>North West</x:v>
      </x:c>
      <x:c r="F305" t="str">
        <x:v>Store</x:v>
      </x:c>
      <x:c r="G305" t="str">
        <x:v>Sports</x:v>
      </x:c>
      <x:c r="H305" t="str">
        <x:v>Fitness Tracker</x:v>
      </x:c>
      <x:c r="I305" t="n">
        <x:v>4</x:v>
      </x:c>
      <x:c r="J305" s="4" t="n">
        <x:v>52.36</x:v>
      </x:c>
      <x:c r="K305" s="4" t="n">
        <x:v>27</x:v>
      </x:c>
      <x:c r="L305" s="5" t="n">
        <x:v>0</x:v>
      </x:c>
      <x:c r="M305" s="4" t="n">
        <x:f>ROUND(I305*J305*(1-L305),2)</x:f>
        <x:v>209.44</x:v>
      </x:c>
      <x:c r="N305" s="4" t="n">
        <x:f>ROUND(I305*K305,2)</x:f>
        <x:v>108</x:v>
      </x:c>
      <x:c r="O305" s="4" t="n">
        <x:f>ROUND(M305-N305,2)</x:f>
        <x:v>101.44</x:v>
      </x:c>
      <x:c r="P305" s="6" t="n">
        <x:v>4.6</x:v>
      </x:c>
      <x:c r="Q305" t="str">
        <x:v>No</x:v>
      </x:c>
    </x:row>
    <x:row r="306">
      <x:c r="A306" t="str">
        <x:v>ORD-01490</x:v>
      </x:c>
      <x:c r="B306" s="3" t="n">
        <x:v>45417.69359815972</x:v>
      </x:c>
      <x:c r="C306" t="str">
        <x:v>2024-05</x:v>
      </x:c>
      <x:c r="D306" t="str">
        <x:v>CUS-0454</x:v>
      </x:c>
      <x:c r="E306" t="str">
        <x:v>North West</x:v>
      </x:c>
      <x:c r="F306" t="str">
        <x:v>Store</x:v>
      </x:c>
      <x:c r="G306" t="str">
        <x:v>Electronics</x:v>
      </x:c>
      <x:c r="H306" t="str">
        <x:v>Bluetooth Speaker</x:v>
      </x:c>
      <x:c r="I306" t="n">
        <x:v>1</x:v>
      </x:c>
      <x:c r="J306" s="4" t="n">
        <x:v>64.77</x:v>
      </x:c>
      <x:c r="K306" s="4" t="n">
        <x:v>34</x:v>
      </x:c>
      <x:c r="L306" s="5" t="n">
        <x:v>0.1</x:v>
      </x:c>
      <x:c r="M306" s="4" t="n">
        <x:f>ROUND(I306*J306*(1-L306),2)</x:f>
        <x:v>58.29</x:v>
      </x:c>
      <x:c r="N306" s="4" t="n">
        <x:f>ROUND(I306*K306,2)</x:f>
        <x:v>34</x:v>
      </x:c>
      <x:c r="O306" s="4" t="n">
        <x:f>ROUND(M306-N306,2)</x:f>
        <x:v>24.29</x:v>
      </x:c>
      <x:c r="P306" s="6" t="n">
        <x:v>3.7</x:v>
      </x:c>
      <x:c r="Q306" t="str">
        <x:v>No</x:v>
      </x:c>
    </x:row>
    <x:row r="307">
      <x:c r="A307" t="str">
        <x:v>ORD-00079</x:v>
      </x:c>
      <x:c r="B307" s="3" t="n">
        <x:v>45418.1405203125</x:v>
      </x:c>
      <x:c r="C307" t="str">
        <x:v>2024-05</x:v>
      </x:c>
      <x:c r="D307" t="str">
        <x:v>CUS-0249</x:v>
      </x:c>
      <x:c r="E307" t="str">
        <x:v>South East</x:v>
      </x:c>
      <x:c r="F307" t="str">
        <x:v>Marketplace</x:v>
      </x:c>
      <x:c r="G307" t="str">
        <x:v>Home</x:v>
      </x:c>
      <x:c r="H307" t="str">
        <x:v>Coffee Maker</x:v>
      </x:c>
      <x:c r="I307" t="n">
        <x:v>2</x:v>
      </x:c>
      <x:c r="J307" s="4" t="n">
        <x:v>71.52</x:v>
      </x:c>
      <x:c r="K307" s="4" t="n">
        <x:v>41</x:v>
      </x:c>
      <x:c r="L307" s="5" t="n">
        <x:v>0</x:v>
      </x:c>
      <x:c r="M307" s="4" t="n">
        <x:f>ROUND(I307*J307*(1-L307),2)</x:f>
        <x:v>143.04</x:v>
      </x:c>
      <x:c r="N307" s="4" t="n">
        <x:f>ROUND(I307*K307,2)</x:f>
        <x:v>82</x:v>
      </x:c>
      <x:c r="O307" s="4" t="n">
        <x:f>ROUND(M307-N307,2)</x:f>
        <x:v>61.04</x:v>
      </x:c>
      <x:c r="P307" s="6" t="n">
        <x:v>5</x:v>
      </x:c>
      <x:c r="Q307" t="str">
        <x:v>No</x:v>
      </x:c>
    </x:row>
    <x:row r="308">
      <x:c r="A308" t="str">
        <x:v>ORD-00857</x:v>
      </x:c>
      <x:c r="B308" s="3" t="n">
        <x:v>45418.79216118056</x:v>
      </x:c>
      <x:c r="C308" t="str">
        <x:v>2024-05</x:v>
      </x:c>
      <x:c r="D308" t="str">
        <x:v>CUS-0323</x:v>
      </x:c>
      <x:c r="E308" t="str">
        <x:v>Scotland</x:v>
      </x:c>
      <x:c r="F308" t="str">
        <x:v>Marketplace</x:v>
      </x:c>
      <x:c r="G308" t="str">
        <x:v>Electronics</x:v>
      </x:c>
      <x:c r="H308" t="str">
        <x:v>Smart Watch</x:v>
      </x:c>
      <x:c r="I308" t="n">
        <x:v>1</x:v>
      </x:c>
      <x:c r="J308" s="4" t="n">
        <x:v>161.01</x:v>
      </x:c>
      <x:c r="K308" s="4" t="n">
        <x:v>92</x:v>
      </x:c>
      <x:c r="L308" s="5" t="n">
        <x:v>0.1</x:v>
      </x:c>
      <x:c r="M308" s="4" t="n">
        <x:f>ROUND(I308*J308*(1-L308),2)</x:f>
        <x:v>144.91</x:v>
      </x:c>
      <x:c r="N308" s="4" t="n">
        <x:f>ROUND(I308*K308,2)</x:f>
        <x:v>92</x:v>
      </x:c>
      <x:c r="O308" s="4" t="n">
        <x:f>ROUND(M308-N308,2)</x:f>
        <x:v>52.91</x:v>
      </x:c>
      <x:c r="P308" s="6" t="n">
        <x:v>4.4</x:v>
      </x:c>
      <x:c r="Q308" t="str">
        <x:v>No</x:v>
      </x:c>
    </x:row>
    <x:row r="309">
      <x:c r="A309" t="str">
        <x:v>ORD-00238</x:v>
      </x:c>
      <x:c r="B309" s="3" t="n">
        <x:v>45421.15291553241</x:v>
      </x:c>
      <x:c r="C309" t="str">
        <x:v>2024-05</x:v>
      </x:c>
      <x:c r="D309" t="str">
        <x:v>CUS-0471</x:v>
      </x:c>
      <x:c r="E309" t="str">
        <x:v>Midlands</x:v>
      </x:c>
      <x:c r="F309" t="str">
        <x:v>Online</x:v>
      </x:c>
      <x:c r="G309" t="str">
        <x:v>Books</x:v>
      </x:c>
      <x:c r="H309" t="str">
        <x:v>Business Intelligence Guide</x:v>
      </x:c>
      <x:c r="I309" t="n">
        <x:v>3</x:v>
      </x:c>
      <x:c r="J309" s="4" t="n">
        <x:v>35.99</x:v>
      </x:c>
      <x:c r="K309" s="4" t="n">
        <x:v>12</x:v>
      </x:c>
      <x:c r="L309" s="5" t="n">
        <x:v>0</x:v>
      </x:c>
      <x:c r="M309" s="4" t="n">
        <x:f>ROUND(I309*J309*(1-L309),2)</x:f>
        <x:v>107.97</x:v>
      </x:c>
      <x:c r="N309" s="4" t="n">
        <x:f>ROUND(I309*K309,2)</x:f>
        <x:v>36</x:v>
      </x:c>
      <x:c r="O309" s="4" t="n">
        <x:f>ROUND(M309-N309,2)</x:f>
        <x:v>71.97</x:v>
      </x:c>
      <x:c r="P309" s="6" t="n">
        <x:v>3.2</x:v>
      </x:c>
      <x:c r="Q309" t="str">
        <x:v>Yes</x:v>
      </x:c>
    </x:row>
    <x:row r="310">
      <x:c r="A310" t="str">
        <x:v>ORD-01514</x:v>
      </x:c>
      <x:c r="B310" s="3" t="n">
        <x:v>45421.155024479165</x:v>
      </x:c>
      <x:c r="C310" t="str">
        <x:v>2024-05</x:v>
      </x:c>
      <x:c r="D310" t="str">
        <x:v>CUS-0042</x:v>
      </x:c>
      <x:c r="E310" t="str">
        <x:v>Scotland</x:v>
      </x:c>
      <x:c r="F310" t="str">
        <x:v>Online</x:v>
      </x:c>
      <x:c r="G310" t="str">
        <x:v>Beauty</x:v>
      </x:c>
      <x:c r="H310" t="str">
        <x:v>Skin Care Set</x:v>
      </x:c>
      <x:c r="I310" t="n">
        <x:v>5</x:v>
      </x:c>
      <x:c r="J310" s="4" t="n">
        <x:v>43.12</x:v>
      </x:c>
      <x:c r="K310" s="4" t="n">
        <x:v>18</x:v>
      </x:c>
      <x:c r="L310" s="5" t="n">
        <x:v>0</x:v>
      </x:c>
      <x:c r="M310" s="4" t="n">
        <x:f>ROUND(I310*J310*(1-L310),2)</x:f>
        <x:v>215.6</x:v>
      </x:c>
      <x:c r="N310" s="4" t="n">
        <x:f>ROUND(I310*K310,2)</x:f>
        <x:v>90</x:v>
      </x:c>
      <x:c r="O310" s="4" t="n">
        <x:f>ROUND(M310-N310,2)</x:f>
        <x:v>125.6</x:v>
      </x:c>
      <x:c r="P310" s="6" t="n">
        <x:v>4.2</x:v>
      </x:c>
      <x:c r="Q310" t="str">
        <x:v>No</x:v>
      </x:c>
    </x:row>
    <x:row r="311">
      <x:c r="A311" t="str">
        <x:v>ORD-00507</x:v>
      </x:c>
      <x:c r="B311" s="3" t="n">
        <x:v>45421.17546564815</x:v>
      </x:c>
      <x:c r="C311" t="str">
        <x:v>2024-05</x:v>
      </x:c>
      <x:c r="D311" t="str">
        <x:v>CUS-0104</x:v>
      </x:c>
      <x:c r="E311" t="str">
        <x:v>North West</x:v>
      </x:c>
      <x:c r="F311" t="str">
        <x:v>Store</x:v>
      </x:c>
      <x:c r="G311" t="str">
        <x:v>Sports</x:v>
      </x:c>
      <x:c r="H311" t="str">
        <x:v>Running Shoes</x:v>
      </x:c>
      <x:c r="I311" t="n">
        <x:v>3</x:v>
      </x:c>
      <x:c r="J311" s="4" t="n">
        <x:v>83.14</x:v>
      </x:c>
      <x:c r="K311" s="4" t="n">
        <x:v>38</x:v>
      </x:c>
      <x:c r="L311" s="5" t="n">
        <x:v>0</x:v>
      </x:c>
      <x:c r="M311" s="4" t="n">
        <x:f>ROUND(I311*J311*(1-L311),2)</x:f>
        <x:v>249.42</x:v>
      </x:c>
      <x:c r="N311" s="4" t="n">
        <x:f>ROUND(I311*K311,2)</x:f>
        <x:v>114</x:v>
      </x:c>
      <x:c r="O311" s="4" t="n">
        <x:f>ROUND(M311-N311,2)</x:f>
        <x:v>135.42</x:v>
      </x:c>
      <x:c r="P311" s="6" t="n">
        <x:v>4.7</x:v>
      </x:c>
      <x:c r="Q311" t="str">
        <x:v>No</x:v>
      </x:c>
    </x:row>
    <x:row r="312">
      <x:c r="A312" t="str">
        <x:v>ORD-00835</x:v>
      </x:c>
      <x:c r="B312" s="3" t="n">
        <x:v>45421.36147956018</x:v>
      </x:c>
      <x:c r="C312" t="str">
        <x:v>2024-05</x:v>
      </x:c>
      <x:c r="D312" t="str">
        <x:v>CUS-0615</x:v>
      </x:c>
      <x:c r="E312" t="str">
        <x:v>South East</x:v>
      </x:c>
      <x:c r="F312" t="str">
        <x:v>Store</x:v>
      </x:c>
      <x:c r="G312" t="str">
        <x:v>Sports</x:v>
      </x:c>
      <x:c r="H312" t="str">
        <x:v>Fitness Tracker</x:v>
      </x:c>
      <x:c r="I312" t="n">
        <x:v>2</x:v>
      </x:c>
      <x:c r="J312" s="4" t="n">
        <x:v>53.32</x:v>
      </x:c>
      <x:c r="K312" s="4" t="n">
        <x:v>27</x:v>
      </x:c>
      <x:c r="L312" s="5" t="n">
        <x:v>0.2</x:v>
      </x:c>
      <x:c r="M312" s="4" t="n">
        <x:f>ROUND(I312*J312*(1-L312),2)</x:f>
        <x:v>85.31</x:v>
      </x:c>
      <x:c r="N312" s="4" t="n">
        <x:f>ROUND(I312*K312,2)</x:f>
        <x:v>54</x:v>
      </x:c>
      <x:c r="O312" s="4" t="n">
        <x:f>ROUND(M312-N312,2)</x:f>
        <x:v>31.31</x:v>
      </x:c>
      <x:c r="P312" s="6" t="n">
        <x:v>3.4</x:v>
      </x:c>
      <x:c r="Q312" t="str">
        <x:v>No</x:v>
      </x:c>
    </x:row>
    <x:row r="313">
      <x:c r="A313" t="str">
        <x:v>ORD-01471</x:v>
      </x:c>
      <x:c r="B313" s="3" t="n">
        <x:v>45421.492023252315</x:v>
      </x:c>
      <x:c r="C313" t="str">
        <x:v>2024-05</x:v>
      </x:c>
      <x:c r="D313" t="str">
        <x:v>CUS-0354</x:v>
      </x:c>
      <x:c r="E313" t="str">
        <x:v>Midlands</x:v>
      </x:c>
      <x:c r="F313" t="str">
        <x:v>Online</x:v>
      </x:c>
      <x:c r="G313" t="str">
        <x:v>Home</x:v>
      </x:c>
      <x:c r="H313" t="str">
        <x:v>Coffee Maker</x:v>
      </x:c>
      <x:c r="I313" t="n">
        <x:v>4</x:v>
      </x:c>
      <x:c r="J313" s="4" t="n">
        <x:v>77.53</x:v>
      </x:c>
      <x:c r="K313" s="4" t="n">
        <x:v>41</x:v>
      </x:c>
      <x:c r="L313" s="5" t="n">
        <x:v>0</x:v>
      </x:c>
      <x:c r="M313" s="4" t="n">
        <x:f>ROUND(I313*J313*(1-L313),2)</x:f>
        <x:v>310.12</x:v>
      </x:c>
      <x:c r="N313" s="4" t="n">
        <x:f>ROUND(I313*K313,2)</x:f>
        <x:v>164</x:v>
      </x:c>
      <x:c r="O313" s="4" t="n">
        <x:f>ROUND(M313-N313,2)</x:f>
        <x:v>146.12</x:v>
      </x:c>
      <x:c r="P313" s="6" t="n">
        <x:v>4.2</x:v>
      </x:c>
      <x:c r="Q313" t="str">
        <x:v>No</x:v>
      </x:c>
    </x:row>
    <x:row r="314">
      <x:c r="A314" t="str">
        <x:v>ORD-00945</x:v>
      </x:c>
      <x:c r="B314" s="3" t="n">
        <x:v>45421.8608971875</x:v>
      </x:c>
      <x:c r="C314" t="str">
        <x:v>2024-05</x:v>
      </x:c>
      <x:c r="D314" t="str">
        <x:v>CUS-0556</x:v>
      </x:c>
      <x:c r="E314" t="str">
        <x:v>North West</x:v>
      </x:c>
      <x:c r="F314" t="str">
        <x:v>Store</x:v>
      </x:c>
      <x:c r="G314" t="str">
        <x:v>Home</x:v>
      </x:c>
      <x:c r="H314" t="str">
        <x:v>Desk Lamp</x:v>
      </x:c>
      <x:c r="I314" t="n">
        <x:v>5</x:v>
      </x:c>
      <x:c r="J314" s="4" t="n">
        <x:v>35.23</x:v>
      </x:c>
      <x:c r="K314" s="4" t="n">
        <x:v>17</x:v>
      </x:c>
      <x:c r="L314" s="5" t="n">
        <x:v>0</x:v>
      </x:c>
      <x:c r="M314" s="4" t="n">
        <x:f>ROUND(I314*J314*(1-L314),2)</x:f>
        <x:v>176.15</x:v>
      </x:c>
      <x:c r="N314" s="4" t="n">
        <x:f>ROUND(I314*K314,2)</x:f>
        <x:v>85</x:v>
      </x:c>
      <x:c r="O314" s="4" t="n">
        <x:f>ROUND(M314-N314,2)</x:f>
        <x:v>91.15</x:v>
      </x:c>
      <x:c r="P314" s="6" t="n">
        <x:v>3.6</x:v>
      </x:c>
      <x:c r="Q314" t="str">
        <x:v>No</x:v>
      </x:c>
    </x:row>
    <x:row r="315">
      <x:c r="A315" t="str">
        <x:v>ORD-00142</x:v>
      </x:c>
      <x:c r="B315" s="3" t="n">
        <x:v>45422.88219960648</x:v>
      </x:c>
      <x:c r="C315" t="str">
        <x:v>2024-05</x:v>
      </x:c>
      <x:c r="D315" t="str">
        <x:v>CUS-0476</x:v>
      </x:c>
      <x:c r="E315" t="str">
        <x:v>Wales</x:v>
      </x:c>
      <x:c r="F315" t="str">
        <x:v>Online</x:v>
      </x:c>
      <x:c r="G315" t="str">
        <x:v>Electronics</x:v>
      </x:c>
      <x:c r="H315" t="str">
        <x:v>Smart Watch</x:v>
      </x:c>
      <x:c r="I315" t="n">
        <x:v>2</x:v>
      </x:c>
      <x:c r="J315" s="4" t="n">
        <x:v>157.75</x:v>
      </x:c>
      <x:c r="K315" s="4" t="n">
        <x:v>92</x:v>
      </x:c>
      <x:c r="L315" s="5" t="n">
        <x:v>0.05</x:v>
      </x:c>
      <x:c r="M315" s="4" t="n">
        <x:f>ROUND(I315*J315*(1-L315),2)</x:f>
        <x:v>299.72</x:v>
      </x:c>
      <x:c r="N315" s="4" t="n">
        <x:f>ROUND(I315*K315,2)</x:f>
        <x:v>184</x:v>
      </x:c>
      <x:c r="O315" s="4" t="n">
        <x:f>ROUND(M315-N315,2)</x:f>
        <x:v>115.72</x:v>
      </x:c>
      <x:c r="P315" s="6" t="n">
        <x:v>5</x:v>
      </x:c>
      <x:c r="Q315" t="str">
        <x:v>No</x:v>
      </x:c>
    </x:row>
    <x:row r="316">
      <x:c r="A316" t="str">
        <x:v>ORD-00097</x:v>
      </x:c>
      <x:c r="B316" s="3" t="n">
        <x:v>45423.69265603009</x:v>
      </x:c>
      <x:c r="C316" t="str">
        <x:v>2024-05</x:v>
      </x:c>
      <x:c r="D316" t="str">
        <x:v>CUS-0189</x:v>
      </x:c>
      <x:c r="E316" t="str">
        <x:v>North West</x:v>
      </x:c>
      <x:c r="F316" t="str">
        <x:v>Marketplace</x:v>
      </x:c>
      <x:c r="G316" t="str">
        <x:v>Electronics</x:v>
      </x:c>
      <x:c r="H316" t="str">
        <x:v>Wireless Headphones</x:v>
      </x:c>
      <x:c r="I316" t="n">
        <x:v>1</x:v>
      </x:c>
      <x:c r="J316" s="4" t="n">
        <x:v>92.29</x:v>
      </x:c>
      <x:c r="K316" s="4" t="n">
        <x:v>48</x:v>
      </x:c>
      <x:c r="L316" s="5" t="n">
        <x:v>0</x:v>
      </x:c>
      <x:c r="M316" s="4" t="n">
        <x:f>ROUND(I316*J316*(1-L316),2)</x:f>
        <x:v>92.29</x:v>
      </x:c>
      <x:c r="N316" s="4" t="n">
        <x:f>ROUND(I316*K316,2)</x:f>
        <x:v>48</x:v>
      </x:c>
      <x:c r="O316" s="4" t="n">
        <x:f>ROUND(M316-N316,2)</x:f>
        <x:v>44.29</x:v>
      </x:c>
      <x:c r="P316" s="6" t="n">
        <x:v>4.6</x:v>
      </x:c>
      <x:c r="Q316" t="str">
        <x:v>No</x:v>
      </x:c>
    </x:row>
    <x:row r="317">
      <x:c r="A317" t="str">
        <x:v>ORD-01677</x:v>
      </x:c>
      <x:c r="B317" s="3" t="n">
        <x:v>45423.87049116898</x:v>
      </x:c>
      <x:c r="C317" t="str">
        <x:v>2024-05</x:v>
      </x:c>
      <x:c r="D317" t="str">
        <x:v>CUS-0389</x:v>
      </x:c>
      <x:c r="E317" t="str">
        <x:v>Midlands</x:v>
      </x:c>
      <x:c r="F317" t="str">
        <x:v>Store</x:v>
      </x:c>
      <x:c r="G317" t="str">
        <x:v>Sports</x:v>
      </x:c>
      <x:c r="H317" t="str">
        <x:v>Fitness Tracker</x:v>
      </x:c>
      <x:c r="I317" t="n">
        <x:v>1</x:v>
      </x:c>
      <x:c r="J317" s="4" t="n">
        <x:v>56.81</x:v>
      </x:c>
      <x:c r="K317" s="4" t="n">
        <x:v>27</x:v>
      </x:c>
      <x:c r="L317" s="5" t="n">
        <x:v>0.1</x:v>
      </x:c>
      <x:c r="M317" s="4" t="n">
        <x:f>ROUND(I317*J317*(1-L317),2)</x:f>
        <x:v>51.13</x:v>
      </x:c>
      <x:c r="N317" s="4" t="n">
        <x:f>ROUND(I317*K317,2)</x:f>
        <x:v>27</x:v>
      </x:c>
      <x:c r="O317" s="4" t="n">
        <x:f>ROUND(M317-N317,2)</x:f>
        <x:v>24.13</x:v>
      </x:c>
      <x:c r="P317" s="6" t="n">
        <x:v>4.6</x:v>
      </x:c>
      <x:c r="Q317" t="str">
        <x:v>No</x:v>
      </x:c>
    </x:row>
    <x:row r="318">
      <x:c r="A318" t="str">
        <x:v>ORD-01603</x:v>
      </x:c>
      <x:c r="B318" s="3" t="n">
        <x:v>45423.88400892361</x:v>
      </x:c>
      <x:c r="C318" t="str">
        <x:v>2024-05</x:v>
      </x:c>
      <x:c r="D318" t="str">
        <x:v>CUS-0536</x:v>
      </x:c>
      <x:c r="E318" t="str">
        <x:v>Wales</x:v>
      </x:c>
      <x:c r="F318" t="str">
        <x:v>Marketplace</x:v>
      </x:c>
      <x:c r="G318" t="str">
        <x:v>Home</x:v>
      </x:c>
      <x:c r="H318" t="str">
        <x:v>Desk Lamp</x:v>
      </x:c>
      <x:c r="I318" t="n">
        <x:v>5</x:v>
      </x:c>
      <x:c r="J318" s="4" t="n">
        <x:v>36.1</x:v>
      </x:c>
      <x:c r="K318" s="4" t="n">
        <x:v>17</x:v>
      </x:c>
      <x:c r="L318" s="5" t="n">
        <x:v>0.2</x:v>
      </x:c>
      <x:c r="M318" s="4" t="n">
        <x:f>ROUND(I318*J318*(1-L318),2)</x:f>
        <x:v>144.4</x:v>
      </x:c>
      <x:c r="N318" s="4" t="n">
        <x:f>ROUND(I318*K318,2)</x:f>
        <x:v>85</x:v>
      </x:c>
      <x:c r="O318" s="4" t="n">
        <x:f>ROUND(M318-N318,2)</x:f>
        <x:v>59.4</x:v>
      </x:c>
      <x:c r="P318" s="6" t="n">
        <x:v>3.4</x:v>
      </x:c>
      <x:c r="Q318" t="str">
        <x:v>No</x:v>
      </x:c>
    </x:row>
    <x:row r="319">
      <x:c r="A319" t="str">
        <x:v>ORD-01651</x:v>
      </x:c>
      <x:c r="B319" s="3" t="n">
        <x:v>45424.21606067129</x:v>
      </x:c>
      <x:c r="C319" t="str">
        <x:v>2024-05</x:v>
      </x:c>
      <x:c r="D319" t="str">
        <x:v>CUS-0375</x:v>
      </x:c>
      <x:c r="E319" t="str">
        <x:v>South East</x:v>
      </x:c>
      <x:c r="F319" t="str">
        <x:v>Marketplace</x:v>
      </x:c>
      <x:c r="G319" t="str">
        <x:v>Sports</x:v>
      </x:c>
      <x:c r="H319" t="str">
        <x:v>Yoga Mat</x:v>
      </x:c>
      <x:c r="I319" t="n">
        <x:v>4</x:v>
      </x:c>
      <x:c r="J319" s="4" t="n">
        <x:v>29.01</x:v>
      </x:c>
      <x:c r="K319" s="4" t="n">
        <x:v>12</x:v>
      </x:c>
      <x:c r="L319" s="5" t="n">
        <x:v>0.2</x:v>
      </x:c>
      <x:c r="M319" s="4" t="n">
        <x:f>ROUND(I319*J319*(1-L319),2)</x:f>
        <x:v>92.83</x:v>
      </x:c>
      <x:c r="N319" s="4" t="n">
        <x:f>ROUND(I319*K319,2)</x:f>
        <x:v>48</x:v>
      </x:c>
      <x:c r="O319" s="4" t="n">
        <x:f>ROUND(M319-N319,2)</x:f>
        <x:v>44.83</x:v>
      </x:c>
      <x:c r="P319" s="6" t="n">
        <x:v>5</x:v>
      </x:c>
      <x:c r="Q319" t="str">
        <x:v>No</x:v>
      </x:c>
    </x:row>
    <x:row r="320">
      <x:c r="A320" t="str">
        <x:v>ORD-00890</x:v>
      </x:c>
      <x:c r="B320" s="3" t="n">
        <x:v>45424.86703016204</x:v>
      </x:c>
      <x:c r="C320" t="str">
        <x:v>2024-05</x:v>
      </x:c>
      <x:c r="D320" t="str">
        <x:v>CUS-0079</x:v>
      </x:c>
      <x:c r="E320" t="str">
        <x:v>North East</x:v>
      </x:c>
      <x:c r="F320" t="str">
        <x:v>Marketplace</x:v>
      </x:c>
      <x:c r="G320" t="str">
        <x:v>Beauty</x:v>
      </x:c>
      <x:c r="H320" t="str">
        <x:v>Hair Dryer</x:v>
      </x:c>
      <x:c r="I320" t="n">
        <x:v>2</x:v>
      </x:c>
      <x:c r="J320" s="4" t="n">
        <x:v>59.9</x:v>
      </x:c>
      <x:c r="K320" s="4" t="n">
        <x:v>29</x:v>
      </x:c>
      <x:c r="L320" s="5" t="n">
        <x:v>0.15</x:v>
      </x:c>
      <x:c r="M320" s="4" t="n">
        <x:f>ROUND(I320*J320*(1-L320),2)</x:f>
        <x:v>101.83</x:v>
      </x:c>
      <x:c r="N320" s="4" t="n">
        <x:f>ROUND(I320*K320,2)</x:f>
        <x:v>58</x:v>
      </x:c>
      <x:c r="O320" s="4" t="n">
        <x:f>ROUND(M320-N320,2)</x:f>
        <x:v>43.83</x:v>
      </x:c>
      <x:c r="P320" s="6" t="n">
        <x:v>5</x:v>
      </x:c>
      <x:c r="Q320" t="str">
        <x:v>No</x:v>
      </x:c>
    </x:row>
    <x:row r="321">
      <x:c r="A321" t="str">
        <x:v>ORD-01612</x:v>
      </x:c>
      <x:c r="B321" s="3" t="n">
        <x:v>45425.27315528935</x:v>
      </x:c>
      <x:c r="C321" t="str">
        <x:v>2024-05</x:v>
      </x:c>
      <x:c r="D321" t="str">
        <x:v>CUS-0606</x:v>
      </x:c>
      <x:c r="E321" t="str">
        <x:v>London</x:v>
      </x:c>
      <x:c r="F321" t="str">
        <x:v>Online</x:v>
      </x:c>
      <x:c r="G321" t="str">
        <x:v>Beauty</x:v>
      </x:c>
      <x:c r="H321" t="str">
        <x:v>Hair Dryer</x:v>
      </x:c>
      <x:c r="I321" t="n">
        <x:v>5</x:v>
      </x:c>
      <x:c r="J321" s="4" t="n">
        <x:v>57.1</x:v>
      </x:c>
      <x:c r="K321" s="4" t="n">
        <x:v>29</x:v>
      </x:c>
      <x:c r="L321" s="5" t="n">
        <x:v>0.15</x:v>
      </x:c>
      <x:c r="M321" s="4" t="n">
        <x:f>ROUND(I321*J321*(1-L321),2)</x:f>
        <x:v>242.68</x:v>
      </x:c>
      <x:c r="N321" s="4" t="n">
        <x:f>ROUND(I321*K321,2)</x:f>
        <x:v>145</x:v>
      </x:c>
      <x:c r="O321" s="4" t="n">
        <x:f>ROUND(M321-N321,2)</x:f>
        <x:v>97.68</x:v>
      </x:c>
      <x:c r="P321" s="6" t="n">
        <x:v>4.8</x:v>
      </x:c>
      <x:c r="Q321" t="str">
        <x:v>Yes</x:v>
      </x:c>
    </x:row>
    <x:row r="322">
      <x:c r="A322" t="str">
        <x:v>ORD-01557</x:v>
      </x:c>
      <x:c r="B322" s="3" t="n">
        <x:v>45425.81147175926</x:v>
      </x:c>
      <x:c r="C322" t="str">
        <x:v>2024-05</x:v>
      </x:c>
      <x:c r="D322" t="str">
        <x:v>CUS-0546</x:v>
      </x:c>
      <x:c r="E322" t="str">
        <x:v>South East</x:v>
      </x:c>
      <x:c r="F322" t="str">
        <x:v>Store</x:v>
      </x:c>
      <x:c r="G322" t="str">
        <x:v>Home</x:v>
      </x:c>
      <x:c r="H322" t="str">
        <x:v>Air Fryer</x:v>
      </x:c>
      <x:c r="I322" t="n">
        <x:v>2</x:v>
      </x:c>
      <x:c r="J322" s="4" t="n">
        <x:v>114.36</x:v>
      </x:c>
      <x:c r="K322" s="4" t="n">
        <x:v>69</x:v>
      </x:c>
      <x:c r="L322" s="5" t="n">
        <x:v>0.15</x:v>
      </x:c>
      <x:c r="M322" s="4" t="n">
        <x:f>ROUND(I322*J322*(1-L322),2)</x:f>
        <x:v>194.41</x:v>
      </x:c>
      <x:c r="N322" s="4" t="n">
        <x:f>ROUND(I322*K322,2)</x:f>
        <x:v>138</x:v>
      </x:c>
      <x:c r="O322" s="4" t="n">
        <x:f>ROUND(M322-N322,2)</x:f>
        <x:v>56.41</x:v>
      </x:c>
      <x:c r="P322" s="6" t="n">
        <x:v>4.6</x:v>
      </x:c>
      <x:c r="Q322" t="str">
        <x:v>No</x:v>
      </x:c>
    </x:row>
    <x:row r="323">
      <x:c r="A323" t="str">
        <x:v>ORD-01660</x:v>
      </x:c>
      <x:c r="B323" s="3" t="n">
        <x:v>45426.11598724537</x:v>
      </x:c>
      <x:c r="C323" t="str">
        <x:v>2024-05</x:v>
      </x:c>
      <x:c r="D323" t="str">
        <x:v>CUS-0192</x:v>
      </x:c>
      <x:c r="E323" t="str">
        <x:v>Midlands</x:v>
      </x:c>
      <x:c r="F323" t="str">
        <x:v>Marketplace</x:v>
      </x:c>
      <x:c r="G323" t="str">
        <x:v>Fashion</x:v>
      </x:c>
      <x:c r="H323" t="str">
        <x:v>Backpack</x:v>
      </x:c>
      <x:c r="I323" t="n">
        <x:v>1</x:v>
      </x:c>
      <x:c r="J323" s="4" t="n">
        <x:v>49.32</x:v>
      </x:c>
      <x:c r="K323" s="4" t="n">
        <x:v>21</x:v>
      </x:c>
      <x:c r="L323" s="5" t="n">
        <x:v>0</x:v>
      </x:c>
      <x:c r="M323" s="4" t="n">
        <x:f>ROUND(I323*J323*(1-L323),2)</x:f>
        <x:v>49.32</x:v>
      </x:c>
      <x:c r="N323" s="4" t="n">
        <x:f>ROUND(I323*K323,2)</x:f>
        <x:v>21</x:v>
      </x:c>
      <x:c r="O323" s="4" t="n">
        <x:f>ROUND(M323-N323,2)</x:f>
        <x:v>28.32</x:v>
      </x:c>
      <x:c r="P323" s="6" t="n">
        <x:v>3.9</x:v>
      </x:c>
      <x:c r="Q323" t="str">
        <x:v>No</x:v>
      </x:c>
    </x:row>
    <x:row r="324">
      <x:c r="A324" t="str">
        <x:v>ORD-01235</x:v>
      </x:c>
      <x:c r="B324" s="3" t="n">
        <x:v>45426.61000299769</x:v>
      </x:c>
      <x:c r="C324" t="str">
        <x:v>2024-05</x:v>
      </x:c>
      <x:c r="D324" t="str">
        <x:v>CUS-0618</x:v>
      </x:c>
      <x:c r="E324" t="str">
        <x:v>South West</x:v>
      </x:c>
      <x:c r="F324" t="str">
        <x:v>Marketplace</x:v>
      </x:c>
      <x:c r="G324" t="str">
        <x:v>Electronics</x:v>
      </x:c>
      <x:c r="H324" t="str">
        <x:v>Smart Watch</x:v>
      </x:c>
      <x:c r="I324" t="n">
        <x:v>1</x:v>
      </x:c>
      <x:c r="J324" s="4" t="n">
        <x:v>156.55</x:v>
      </x:c>
      <x:c r="K324" s="4" t="n">
        <x:v>92</x:v>
      </x:c>
      <x:c r="L324" s="5" t="n">
        <x:v>0.2</x:v>
      </x:c>
      <x:c r="M324" s="4" t="n">
        <x:f>ROUND(I324*J324*(1-L324),2)</x:f>
        <x:v>125.24</x:v>
      </x:c>
      <x:c r="N324" s="4" t="n">
        <x:f>ROUND(I324*K324,2)</x:f>
        <x:v>92</x:v>
      </x:c>
      <x:c r="O324" s="4" t="n">
        <x:f>ROUND(M324-N324,2)</x:f>
        <x:v>33.24</x:v>
      </x:c>
      <x:c r="P324" s="6" t="n">
        <x:v>4.9</x:v>
      </x:c>
      <x:c r="Q324" t="str">
        <x:v>No</x:v>
      </x:c>
    </x:row>
    <x:row r="325">
      <x:c r="A325" t="str">
        <x:v>ORD-01464</x:v>
      </x:c>
      <x:c r="B325" s="3" t="n">
        <x:v>45426.87097377315</x:v>
      </x:c>
      <x:c r="C325" t="str">
        <x:v>2024-05</x:v>
      </x:c>
      <x:c r="D325" t="str">
        <x:v>CUS-0287</x:v>
      </x:c>
      <x:c r="E325" t="str">
        <x:v>Wales</x:v>
      </x:c>
      <x:c r="F325" t="str">
        <x:v>Online</x:v>
      </x:c>
      <x:c r="G325" t="str">
        <x:v>Electronics</x:v>
      </x:c>
      <x:c r="H325" t="str">
        <x:v>Bluetooth Speaker</x:v>
      </x:c>
      <x:c r="I325" t="n">
        <x:v>1</x:v>
      </x:c>
      <x:c r="J325" s="4" t="n">
        <x:v>62.88</x:v>
      </x:c>
      <x:c r="K325" s="4" t="n">
        <x:v>34</x:v>
      </x:c>
      <x:c r="L325" s="5" t="n">
        <x:v>0.2</x:v>
      </x:c>
      <x:c r="M325" s="4" t="n">
        <x:f>ROUND(I325*J325*(1-L325),2)</x:f>
        <x:v>50.3</x:v>
      </x:c>
      <x:c r="N325" s="4" t="n">
        <x:f>ROUND(I325*K325,2)</x:f>
        <x:v>34</x:v>
      </x:c>
      <x:c r="O325" s="4" t="n">
        <x:f>ROUND(M325-N325,2)</x:f>
        <x:v>16.3</x:v>
      </x:c>
      <x:c r="P325" s="6" t="n">
        <x:v>4.1</x:v>
      </x:c>
      <x:c r="Q325" t="str">
        <x:v>No</x:v>
      </x:c>
    </x:row>
    <x:row r="326">
      <x:c r="A326" t="str">
        <x:v>ORD-00156</x:v>
      </x:c>
      <x:c r="B326" s="3" t="n">
        <x:v>45426.944455</x:v>
      </x:c>
      <x:c r="C326" t="str">
        <x:v>2024-05</x:v>
      </x:c>
      <x:c r="D326" t="str">
        <x:v>CUS-0521</x:v>
      </x:c>
      <x:c r="E326" t="str">
        <x:v>London</x:v>
      </x:c>
      <x:c r="F326" t="str">
        <x:v>Online</x:v>
      </x:c>
      <x:c r="G326" t="str">
        <x:v>Fashion</x:v>
      </x:c>
      <x:c r="H326" t="str">
        <x:v>Classic Trainers</x:v>
      </x:c>
      <x:c r="I326" t="n">
        <x:v>5</x:v>
      </x:c>
      <x:c r="J326" s="4" t="n">
        <x:v>69.2</x:v>
      </x:c>
      <x:c r="K326" s="4" t="n">
        <x:v>32</x:v>
      </x:c>
      <x:c r="L326" s="5" t="n">
        <x:v>0</x:v>
      </x:c>
      <x:c r="M326" s="4" t="n">
        <x:f>ROUND(I326*J326*(1-L326),2)</x:f>
        <x:v>346</x:v>
      </x:c>
      <x:c r="N326" s="4" t="n">
        <x:f>ROUND(I326*K326,2)</x:f>
        <x:v>160</x:v>
      </x:c>
      <x:c r="O326" s="4" t="n">
        <x:f>ROUND(M326-N326,2)</x:f>
        <x:v>186</x:v>
      </x:c>
      <x:c r="P326" s="6" t="n">
        <x:v>4.2</x:v>
      </x:c>
      <x:c r="Q326" t="str">
        <x:v>No</x:v>
      </x:c>
    </x:row>
    <x:row r="327">
      <x:c r="A327" t="str">
        <x:v>ORD-01208</x:v>
      </x:c>
      <x:c r="B327" s="3" t="n">
        <x:v>45426.96974462963</x:v>
      </x:c>
      <x:c r="C327" t="str">
        <x:v>2024-05</x:v>
      </x:c>
      <x:c r="D327" t="str">
        <x:v>CUS-0436</x:v>
      </x:c>
      <x:c r="E327" t="str">
        <x:v>South West</x:v>
      </x:c>
      <x:c r="F327" t="str">
        <x:v>Marketplace</x:v>
      </x:c>
      <x:c r="G327" t="str">
        <x:v>Home</x:v>
      </x:c>
      <x:c r="H327" t="str">
        <x:v>Desk Lamp</x:v>
      </x:c>
      <x:c r="I327" t="n">
        <x:v>5</x:v>
      </x:c>
      <x:c r="J327" s="4" t="n">
        <x:v>33.68</x:v>
      </x:c>
      <x:c r="K327" s="4" t="n">
        <x:v>17</x:v>
      </x:c>
      <x:c r="L327" s="5" t="n">
        <x:v>0.05</x:v>
      </x:c>
      <x:c r="M327" s="4" t="n">
        <x:f>ROUND(I327*J327*(1-L327),2)</x:f>
        <x:v>159.98</x:v>
      </x:c>
      <x:c r="N327" s="4" t="n">
        <x:f>ROUND(I327*K327,2)</x:f>
        <x:v>85</x:v>
      </x:c>
      <x:c r="O327" s="4" t="n">
        <x:f>ROUND(M327-N327,2)</x:f>
        <x:v>74.98</x:v>
      </x:c>
      <x:c r="P327" s="6" t="n">
        <x:v>3.9</x:v>
      </x:c>
      <x:c r="Q327" t="str">
        <x:v>No</x:v>
      </x:c>
    </x:row>
    <x:row r="328">
      <x:c r="A328" t="str">
        <x:v>ORD-00014</x:v>
      </x:c>
      <x:c r="B328" s="3" t="n">
        <x:v>45427.25418063658</x:v>
      </x:c>
      <x:c r="C328" t="str">
        <x:v>2024-05</x:v>
      </x:c>
      <x:c r="D328" t="str">
        <x:v>CUS-0174</x:v>
      </x:c>
      <x:c r="E328" t="str">
        <x:v>Scotland</x:v>
      </x:c>
      <x:c r="F328" t="str">
        <x:v>Store</x:v>
      </x:c>
      <x:c r="G328" t="str">
        <x:v>Books</x:v>
      </x:c>
      <x:c r="H328" t="str">
        <x:v>Data Analytics Handbook</x:v>
      </x:c>
      <x:c r="I328" t="n">
        <x:v>1</x:v>
      </x:c>
      <x:c r="J328" s="4" t="n">
        <x:v>39.68</x:v>
      </x:c>
      <x:c r="K328" s="4" t="n">
        <x:v>14</x:v>
      </x:c>
      <x:c r="L328" s="5" t="n">
        <x:v>0.2</x:v>
      </x:c>
      <x:c r="M328" s="4" t="n">
        <x:f>ROUND(I328*J328*(1-L328),2)</x:f>
        <x:v>31.74</x:v>
      </x:c>
      <x:c r="N328" s="4" t="n">
        <x:f>ROUND(I328*K328,2)</x:f>
        <x:v>14</x:v>
      </x:c>
      <x:c r="O328" s="4" t="n">
        <x:f>ROUND(M328-N328,2)</x:f>
        <x:v>17.74</x:v>
      </x:c>
      <x:c r="P328" s="6" t="n">
        <x:v>5</x:v>
      </x:c>
      <x:c r="Q328" t="str">
        <x:v>No</x:v>
      </x:c>
    </x:row>
    <x:row r="329">
      <x:c r="A329" t="str">
        <x:v>ORD-01166</x:v>
      </x:c>
      <x:c r="B329" s="3" t="n">
        <x:v>45427.29355844908</x:v>
      </x:c>
      <x:c r="C329" t="str">
        <x:v>2024-05</x:v>
      </x:c>
      <x:c r="D329" t="str">
        <x:v>CUS-0582</x:v>
      </x:c>
      <x:c r="E329" t="str">
        <x:v>Midlands</x:v>
      </x:c>
      <x:c r="F329" t="str">
        <x:v>Store</x:v>
      </x:c>
      <x:c r="G329" t="str">
        <x:v>Fashion</x:v>
      </x:c>
      <x:c r="H329" t="str">
        <x:v>Classic Trainers</x:v>
      </x:c>
      <x:c r="I329" t="n">
        <x:v>3</x:v>
      </x:c>
      <x:c r="J329" s="4" t="n">
        <x:v>69.11</x:v>
      </x:c>
      <x:c r="K329" s="4" t="n">
        <x:v>32</x:v>
      </x:c>
      <x:c r="L329" s="5" t="n">
        <x:v>0</x:v>
      </x:c>
      <x:c r="M329" s="4" t="n">
        <x:f>ROUND(I329*J329*(1-L329),2)</x:f>
        <x:v>207.33</x:v>
      </x:c>
      <x:c r="N329" s="4" t="n">
        <x:f>ROUND(I329*K329,2)</x:f>
        <x:v>96</x:v>
      </x:c>
      <x:c r="O329" s="4" t="n">
        <x:f>ROUND(M329-N329,2)</x:f>
        <x:v>111.33</x:v>
      </x:c>
      <x:c r="P329" s="6" t="n">
        <x:v>4.9</x:v>
      </x:c>
      <x:c r="Q329" t="str">
        <x:v>No</x:v>
      </x:c>
    </x:row>
    <x:row r="330">
      <x:c r="A330" t="str">
        <x:v>ORD-01364</x:v>
      </x:c>
      <x:c r="B330" s="3" t="n">
        <x:v>45427.91808490741</x:v>
      </x:c>
      <x:c r="C330" t="str">
        <x:v>2024-05</x:v>
      </x:c>
      <x:c r="D330" t="str">
        <x:v>CUS-0362</x:v>
      </x:c>
      <x:c r="E330" t="str">
        <x:v>South West</x:v>
      </x:c>
      <x:c r="F330" t="str">
        <x:v>Store</x:v>
      </x:c>
      <x:c r="G330" t="str">
        <x:v>Fashion</x:v>
      </x:c>
      <x:c r="H330" t="str">
        <x:v>Classic Trainers</x:v>
      </x:c>
      <x:c r="I330" t="n">
        <x:v>3</x:v>
      </x:c>
      <x:c r="J330" s="4" t="n">
        <x:v>71.76</x:v>
      </x:c>
      <x:c r="K330" s="4" t="n">
        <x:v>32</x:v>
      </x:c>
      <x:c r="L330" s="5" t="n">
        <x:v>0</x:v>
      </x:c>
      <x:c r="M330" s="4" t="n">
        <x:f>ROUND(I330*J330*(1-L330),2)</x:f>
        <x:v>215.28</x:v>
      </x:c>
      <x:c r="N330" s="4" t="n">
        <x:f>ROUND(I330*K330,2)</x:f>
        <x:v>96</x:v>
      </x:c>
      <x:c r="O330" s="4" t="n">
        <x:f>ROUND(M330-N330,2)</x:f>
        <x:v>119.28</x:v>
      </x:c>
      <x:c r="P330" s="6" t="n">
        <x:v>4.1</x:v>
      </x:c>
      <x:c r="Q330" t="str">
        <x:v>No</x:v>
      </x:c>
    </x:row>
    <x:row r="331">
      <x:c r="A331" t="str">
        <x:v>ORD-01577</x:v>
      </x:c>
      <x:c r="B331" s="3" t="n">
        <x:v>45428.4348346875</x:v>
      </x:c>
      <x:c r="C331" t="str">
        <x:v>2024-05</x:v>
      </x:c>
      <x:c r="D331" t="str">
        <x:v>CUS-0036</x:v>
      </x:c>
      <x:c r="E331" t="str">
        <x:v>North West</x:v>
      </x:c>
      <x:c r="F331" t="str">
        <x:v>Online</x:v>
      </x:c>
      <x:c r="G331" t="str">
        <x:v>Electronics</x:v>
      </x:c>
      <x:c r="H331" t="str">
        <x:v>Wireless Headphones</x:v>
      </x:c>
      <x:c r="I331" t="n">
        <x:v>4</x:v>
      </x:c>
      <x:c r="J331" s="4" t="n">
        <x:v>92.98</x:v>
      </x:c>
      <x:c r="K331" s="4" t="n">
        <x:v>48</x:v>
      </x:c>
      <x:c r="L331" s="5" t="n">
        <x:v>0</x:v>
      </x:c>
      <x:c r="M331" s="4" t="n">
        <x:f>ROUND(I331*J331*(1-L331),2)</x:f>
        <x:v>371.92</x:v>
      </x:c>
      <x:c r="N331" s="4" t="n">
        <x:f>ROUND(I331*K331,2)</x:f>
        <x:v>192</x:v>
      </x:c>
      <x:c r="O331" s="4" t="n">
        <x:f>ROUND(M331-N331,2)</x:f>
        <x:v>179.92</x:v>
      </x:c>
      <x:c r="P331" s="6" t="n">
        <x:v>4.8</x:v>
      </x:c>
      <x:c r="Q331" t="str">
        <x:v>No</x:v>
      </x:c>
    </x:row>
    <x:row r="332">
      <x:c r="A332" t="str">
        <x:v>ORD-00690</x:v>
      </x:c>
      <x:c r="B332" s="3" t="n">
        <x:v>45428.529751041664</x:v>
      </x:c>
      <x:c r="C332" t="str">
        <x:v>2024-05</x:v>
      </x:c>
      <x:c r="D332" t="str">
        <x:v>CUS-0150</x:v>
      </x:c>
      <x:c r="E332" t="str">
        <x:v>Midlands</x:v>
      </x:c>
      <x:c r="F332" t="str">
        <x:v>Online</x:v>
      </x:c>
      <x:c r="G332" t="str">
        <x:v>Sports</x:v>
      </x:c>
      <x:c r="H332" t="str">
        <x:v>Yoga Mat</x:v>
      </x:c>
      <x:c r="I332" t="n">
        <x:v>3</x:v>
      </x:c>
      <x:c r="J332" s="4" t="n">
        <x:v>29.47</x:v>
      </x:c>
      <x:c r="K332" s="4" t="n">
        <x:v>12</x:v>
      </x:c>
      <x:c r="L332" s="5" t="n">
        <x:v>0.2</x:v>
      </x:c>
      <x:c r="M332" s="4" t="n">
        <x:f>ROUND(I332*J332*(1-L332),2)</x:f>
        <x:v>70.73</x:v>
      </x:c>
      <x:c r="N332" s="4" t="n">
        <x:f>ROUND(I332*K332,2)</x:f>
        <x:v>36</x:v>
      </x:c>
      <x:c r="O332" s="4" t="n">
        <x:f>ROUND(M332-N332,2)</x:f>
        <x:v>34.73</x:v>
      </x:c>
      <x:c r="P332" s="6" t="n">
        <x:v>4.3</x:v>
      </x:c>
      <x:c r="Q332" t="str">
        <x:v>No</x:v>
      </x:c>
    </x:row>
    <x:row r="333">
      <x:c r="A333" t="str">
        <x:v>ORD-00450</x:v>
      </x:c>
      <x:c r="B333" s="3" t="n">
        <x:v>45428.700060069445</x:v>
      </x:c>
      <x:c r="C333" t="str">
        <x:v>2024-05</x:v>
      </x:c>
      <x:c r="D333" t="str">
        <x:v>CUS-0151</x:v>
      </x:c>
      <x:c r="E333" t="str">
        <x:v>Midlands</x:v>
      </x:c>
      <x:c r="F333" t="str">
        <x:v>Marketplace</x:v>
      </x:c>
      <x:c r="G333" t="str">
        <x:v>Beauty</x:v>
      </x:c>
      <x:c r="H333" t="str">
        <x:v>Skin Care Set</x:v>
      </x:c>
      <x:c r="I333" t="n">
        <x:v>1</x:v>
      </x:c>
      <x:c r="J333" s="4" t="n">
        <x:v>44.16</x:v>
      </x:c>
      <x:c r="K333" s="4" t="n">
        <x:v>18</x:v>
      </x:c>
      <x:c r="L333" s="5" t="n">
        <x:v>0.05</x:v>
      </x:c>
      <x:c r="M333" s="4" t="n">
        <x:f>ROUND(I333*J333*(1-L333),2)</x:f>
        <x:v>41.95</x:v>
      </x:c>
      <x:c r="N333" s="4" t="n">
        <x:f>ROUND(I333*K333,2)</x:f>
        <x:v>18</x:v>
      </x:c>
      <x:c r="O333" s="4" t="n">
        <x:f>ROUND(M333-N333,2)</x:f>
        <x:v>23.95</x:v>
      </x:c>
      <x:c r="P333" s="6" t="n">
        <x:v>4.1</x:v>
      </x:c>
      <x:c r="Q333" t="str">
        <x:v>No</x:v>
      </x:c>
    </x:row>
    <x:row r="334">
      <x:c r="A334" t="str">
        <x:v>ORD-00667</x:v>
      </x:c>
      <x:c r="B334" s="3" t="n">
        <x:v>45428.89000258102</x:v>
      </x:c>
      <x:c r="C334" t="str">
        <x:v>2024-05</x:v>
      </x:c>
      <x:c r="D334" t="str">
        <x:v>CUS-0036</x:v>
      </x:c>
      <x:c r="E334" t="str">
        <x:v>South West</x:v>
      </x:c>
      <x:c r="F334" t="str">
        <x:v>Online</x:v>
      </x:c>
      <x:c r="G334" t="str">
        <x:v>Books</x:v>
      </x:c>
      <x:c r="H334" t="str">
        <x:v>Data Analytics Handbook</x:v>
      </x:c>
      <x:c r="I334" t="n">
        <x:v>2</x:v>
      </x:c>
      <x:c r="J334" s="4" t="n">
        <x:v>38.85</x:v>
      </x:c>
      <x:c r="K334" s="4" t="n">
        <x:v>14</x:v>
      </x:c>
      <x:c r="L334" s="5" t="n">
        <x:v>0.1</x:v>
      </x:c>
      <x:c r="M334" s="4" t="n">
        <x:f>ROUND(I334*J334*(1-L334),2)</x:f>
        <x:v>69.93</x:v>
      </x:c>
      <x:c r="N334" s="4" t="n">
        <x:f>ROUND(I334*K334,2)</x:f>
        <x:v>28</x:v>
      </x:c>
      <x:c r="O334" s="4" t="n">
        <x:f>ROUND(M334-N334,2)</x:f>
        <x:v>41.93</x:v>
      </x:c>
      <x:c r="P334" s="6" t="n">
        <x:v>4.1</x:v>
      </x:c>
      <x:c r="Q334" t="str">
        <x:v>No</x:v>
      </x:c>
    </x:row>
    <x:row r="335">
      <x:c r="A335" t="str">
        <x:v>ORD-00058</x:v>
      </x:c>
      <x:c r="B335" s="3" t="n">
        <x:v>45428.99998136574</x:v>
      </x:c>
      <x:c r="C335" t="str">
        <x:v>2024-05</x:v>
      </x:c>
      <x:c r="D335" t="str">
        <x:v>CUS-0461</x:v>
      </x:c>
      <x:c r="E335" t="str">
        <x:v>London</x:v>
      </x:c>
      <x:c r="F335" t="str">
        <x:v>Store</x:v>
      </x:c>
      <x:c r="G335" t="str">
        <x:v>Fashion</x:v>
      </x:c>
      <x:c r="H335" t="str">
        <x:v>Backpack</x:v>
      </x:c>
      <x:c r="I335" t="n">
        <x:v>1</x:v>
      </x:c>
      <x:c r="J335" s="4" t="n">
        <x:v>47.99</x:v>
      </x:c>
      <x:c r="K335" s="4" t="n">
        <x:v>21</x:v>
      </x:c>
      <x:c r="L335" s="5" t="n">
        <x:v>0</x:v>
      </x:c>
      <x:c r="M335" s="4" t="n">
        <x:f>ROUND(I335*J335*(1-L335),2)</x:f>
        <x:v>47.99</x:v>
      </x:c>
      <x:c r="N335" s="4" t="n">
        <x:f>ROUND(I335*K335,2)</x:f>
        <x:v>21</x:v>
      </x:c>
      <x:c r="O335" s="4" t="n">
        <x:f>ROUND(M335-N335,2)</x:f>
        <x:v>26.99</x:v>
      </x:c>
      <x:c r="P335" s="6" t="n">
        <x:v>4.1</x:v>
      </x:c>
      <x:c r="Q335" t="str">
        <x:v>No</x:v>
      </x:c>
    </x:row>
    <x:row r="336">
      <x:c r="A336" t="str">
        <x:v>ORD-00479</x:v>
      </x:c>
      <x:c r="B336" s="3" t="n">
        <x:v>45429.08920996528</x:v>
      </x:c>
      <x:c r="C336" t="str">
        <x:v>2024-05</x:v>
      </x:c>
      <x:c r="D336" t="str">
        <x:v>CUS-0435</x:v>
      </x:c>
      <x:c r="E336" t="str">
        <x:v>South East</x:v>
      </x:c>
      <x:c r="F336" t="str">
        <x:v>Marketplace</x:v>
      </x:c>
      <x:c r="G336" t="str">
        <x:v>Electronics</x:v>
      </x:c>
      <x:c r="H336" t="str">
        <x:v>Smart Watch</x:v>
      </x:c>
      <x:c r="I336" t="n">
        <x:v>4</x:v>
      </x:c>
      <x:c r="J336" s="4" t="n">
        <x:v>166.03</x:v>
      </x:c>
      <x:c r="K336" s="4" t="n">
        <x:v>92</x:v>
      </x:c>
      <x:c r="L336" s="5" t="n">
        <x:v>0</x:v>
      </x:c>
      <x:c r="M336" s="4" t="n">
        <x:f>ROUND(I336*J336*(1-L336),2)</x:f>
        <x:v>664.12</x:v>
      </x:c>
      <x:c r="N336" s="4" t="n">
        <x:f>ROUND(I336*K336,2)</x:f>
        <x:v>368</x:v>
      </x:c>
      <x:c r="O336" s="4" t="n">
        <x:f>ROUND(M336-N336,2)</x:f>
        <x:v>296.12</x:v>
      </x:c>
      <x:c r="P336" s="6" t="n">
        <x:v>4.4</x:v>
      </x:c>
      <x:c r="Q336" t="str">
        <x:v>No</x:v>
      </x:c>
    </x:row>
    <x:row r="337">
      <x:c r="A337" t="str">
        <x:v>ORD-00877</x:v>
      </x:c>
      <x:c r="B337" s="3" t="n">
        <x:v>45429.2650225</x:v>
      </x:c>
      <x:c r="C337" t="str">
        <x:v>2024-05</x:v>
      </x:c>
      <x:c r="D337" t="str">
        <x:v>CUS-0424</x:v>
      </x:c>
      <x:c r="E337" t="str">
        <x:v>South East</x:v>
      </x:c>
      <x:c r="F337" t="str">
        <x:v>Store</x:v>
      </x:c>
      <x:c r="G337" t="str">
        <x:v>Books</x:v>
      </x:c>
      <x:c r="H337" t="str">
        <x:v>Business Intelligence Guide</x:v>
      </x:c>
      <x:c r="I337" t="n">
        <x:v>2</x:v>
      </x:c>
      <x:c r="J337" s="4" t="n">
        <x:v>34.84</x:v>
      </x:c>
      <x:c r="K337" s="4" t="n">
        <x:v>12</x:v>
      </x:c>
      <x:c r="L337" s="5" t="n">
        <x:v>0.05</x:v>
      </x:c>
      <x:c r="M337" s="4" t="n">
        <x:f>ROUND(I337*J337*(1-L337),2)</x:f>
        <x:v>66.2</x:v>
      </x:c>
      <x:c r="N337" s="4" t="n">
        <x:f>ROUND(I337*K337,2)</x:f>
        <x:v>24</x:v>
      </x:c>
      <x:c r="O337" s="4" t="n">
        <x:f>ROUND(M337-N337,2)</x:f>
        <x:v>42.2</x:v>
      </x:c>
      <x:c r="P337" s="6" t="n">
        <x:v>4.4</x:v>
      </x:c>
      <x:c r="Q337" t="str">
        <x:v>No</x:v>
      </x:c>
    </x:row>
    <x:row r="338">
      <x:c r="A338" t="str">
        <x:v>ORD-00855</x:v>
      </x:c>
      <x:c r="B338" s="3" t="n">
        <x:v>45429.594309224536</x:v>
      </x:c>
      <x:c r="C338" t="str">
        <x:v>2024-05</x:v>
      </x:c>
      <x:c r="D338" t="str">
        <x:v>CUS-0194</x:v>
      </x:c>
      <x:c r="E338" t="str">
        <x:v>Midlands</x:v>
      </x:c>
      <x:c r="F338" t="str">
        <x:v>Marketplace</x:v>
      </x:c>
      <x:c r="G338" t="str">
        <x:v>Beauty</x:v>
      </x:c>
      <x:c r="H338" t="str">
        <x:v>Hair Dryer</x:v>
      </x:c>
      <x:c r="I338" t="n">
        <x:v>3</x:v>
      </x:c>
      <x:c r="J338" s="4" t="n">
        <x:v>60.79</x:v>
      </x:c>
      <x:c r="K338" s="4" t="n">
        <x:v>29</x:v>
      </x:c>
      <x:c r="L338" s="5" t="n">
        <x:v>0.15</x:v>
      </x:c>
      <x:c r="M338" s="4" t="n">
        <x:f>ROUND(I338*J338*(1-L338),2)</x:f>
        <x:v>155.01</x:v>
      </x:c>
      <x:c r="N338" s="4" t="n">
        <x:f>ROUND(I338*K338,2)</x:f>
        <x:v>87</x:v>
      </x:c>
      <x:c r="O338" s="4" t="n">
        <x:f>ROUND(M338-N338,2)</x:f>
        <x:v>68.01</x:v>
      </x:c>
      <x:c r="P338" s="6" t="n">
        <x:v>3.9</x:v>
      </x:c>
      <x:c r="Q338" t="str">
        <x:v>No</x:v>
      </x:c>
    </x:row>
    <x:row r="339">
      <x:c r="A339" t="str">
        <x:v>ORD-01361</x:v>
      </x:c>
      <x:c r="B339" s="3" t="n">
        <x:v>45429.70344462963</x:v>
      </x:c>
      <x:c r="C339" t="str">
        <x:v>2024-05</x:v>
      </x:c>
      <x:c r="D339" t="str">
        <x:v>CUS-0119</x:v>
      </x:c>
      <x:c r="E339" t="str">
        <x:v>North East</x:v>
      </x:c>
      <x:c r="F339" t="str">
        <x:v>Marketplace</x:v>
      </x:c>
      <x:c r="G339" t="str">
        <x:v>Fashion</x:v>
      </x:c>
      <x:c r="H339" t="str">
        <x:v>Backpack</x:v>
      </x:c>
      <x:c r="I339" t="n">
        <x:v>2</x:v>
      </x:c>
      <x:c r="J339" s="4" t="n">
        <x:v>51.7</x:v>
      </x:c>
      <x:c r="K339" s="4" t="n">
        <x:v>21</x:v>
      </x:c>
      <x:c r="L339" s="5" t="n">
        <x:v>0.2</x:v>
      </x:c>
      <x:c r="M339" s="4" t="n">
        <x:f>ROUND(I339*J339*(1-L339),2)</x:f>
        <x:v>82.72</x:v>
      </x:c>
      <x:c r="N339" s="4" t="n">
        <x:f>ROUND(I339*K339,2)</x:f>
        <x:v>42</x:v>
      </x:c>
      <x:c r="O339" s="4" t="n">
        <x:f>ROUND(M339-N339,2)</x:f>
        <x:v>40.72</x:v>
      </x:c>
      <x:c r="P339" s="6" t="n">
        <x:v>3.9</x:v>
      </x:c>
      <x:c r="Q339" t="str">
        <x:v>No</x:v>
      </x:c>
    </x:row>
    <x:row r="340">
      <x:c r="A340" t="str">
        <x:v>ORD-01223</x:v>
      </x:c>
      <x:c r="B340" s="3" t="n">
        <x:v>45429.87773699074</x:v>
      </x:c>
      <x:c r="C340" t="str">
        <x:v>2024-05</x:v>
      </x:c>
      <x:c r="D340" t="str">
        <x:v>CUS-0607</x:v>
      </x:c>
      <x:c r="E340" t="str">
        <x:v>North West</x:v>
      </x:c>
      <x:c r="F340" t="str">
        <x:v>Marketplace</x:v>
      </x:c>
      <x:c r="G340" t="str">
        <x:v>Electronics</x:v>
      </x:c>
      <x:c r="H340" t="str">
        <x:v>Smart Watch</x:v>
      </x:c>
      <x:c r="I340" t="n">
        <x:v>4</x:v>
      </x:c>
      <x:c r="J340" s="4" t="n">
        <x:v>157.56</x:v>
      </x:c>
      <x:c r="K340" s="4" t="n">
        <x:v>92</x:v>
      </x:c>
      <x:c r="L340" s="5" t="n">
        <x:v>0</x:v>
      </x:c>
      <x:c r="M340" s="4" t="n">
        <x:f>ROUND(I340*J340*(1-L340),2)</x:f>
        <x:v>630.24</x:v>
      </x:c>
      <x:c r="N340" s="4" t="n">
        <x:f>ROUND(I340*K340,2)</x:f>
        <x:v>368</x:v>
      </x:c>
      <x:c r="O340" s="4" t="n">
        <x:f>ROUND(M340-N340,2)</x:f>
        <x:v>262.24</x:v>
      </x:c>
      <x:c r="P340" s="6" t="n">
        <x:v>4.2</x:v>
      </x:c>
      <x:c r="Q340" t="str">
        <x:v>No</x:v>
      </x:c>
    </x:row>
    <x:row r="341">
      <x:c r="A341" t="str">
        <x:v>ORD-00889</x:v>
      </x:c>
      <x:c r="B341" s="3" t="n">
        <x:v>45430.09077487268</x:v>
      </x:c>
      <x:c r="C341" t="str">
        <x:v>2024-05</x:v>
      </x:c>
      <x:c r="D341" t="str">
        <x:v>CUS-0600</x:v>
      </x:c>
      <x:c r="E341" t="str">
        <x:v>North East</x:v>
      </x:c>
      <x:c r="F341" t="str">
        <x:v>Store</x:v>
      </x:c>
      <x:c r="G341" t="str">
        <x:v>Beauty</x:v>
      </x:c>
      <x:c r="H341" t="str">
        <x:v>Hair Dryer</x:v>
      </x:c>
      <x:c r="I341" t="n">
        <x:v>5</x:v>
      </x:c>
      <x:c r="J341" s="4" t="n">
        <x:v>57.62</x:v>
      </x:c>
      <x:c r="K341" s="4" t="n">
        <x:v>29</x:v>
      </x:c>
      <x:c r="L341" s="5" t="n">
        <x:v>0.2</x:v>
      </x:c>
      <x:c r="M341" s="4" t="n">
        <x:f>ROUND(I341*J341*(1-L341),2)</x:f>
        <x:v>230.48</x:v>
      </x:c>
      <x:c r="N341" s="4" t="n">
        <x:f>ROUND(I341*K341,2)</x:f>
        <x:v>145</x:v>
      </x:c>
      <x:c r="O341" s="4" t="n">
        <x:f>ROUND(M341-N341,2)</x:f>
        <x:v>85.48</x:v>
      </x:c>
      <x:c r="P341" s="6" t="n">
        <x:v>3.8</x:v>
      </x:c>
      <x:c r="Q341" t="str">
        <x:v>Yes</x:v>
      </x:c>
    </x:row>
    <x:row r="342">
      <x:c r="A342" t="str">
        <x:v>ORD-00778</x:v>
      </x:c>
      <x:c r="B342" s="3" t="n">
        <x:v>45430.09201393519</x:v>
      </x:c>
      <x:c r="C342" t="str">
        <x:v>2024-05</x:v>
      </x:c>
      <x:c r="D342" t="str">
        <x:v>CUS-0141</x:v>
      </x:c>
      <x:c r="E342" t="str">
        <x:v>Scotland</x:v>
      </x:c>
      <x:c r="F342" t="str">
        <x:v>Online</x:v>
      </x:c>
      <x:c r="G342" t="str">
        <x:v>Fashion</x:v>
      </x:c>
      <x:c r="H342" t="str">
        <x:v>Backpack</x:v>
      </x:c>
      <x:c r="I342" t="n">
        <x:v>1</x:v>
      </x:c>
      <x:c r="J342" s="4" t="n">
        <x:v>52.26</x:v>
      </x:c>
      <x:c r="K342" s="4" t="n">
        <x:v>21</x:v>
      </x:c>
      <x:c r="L342" s="5" t="n">
        <x:v>0.05</x:v>
      </x:c>
      <x:c r="M342" s="4" t="n">
        <x:f>ROUND(I342*J342*(1-L342),2)</x:f>
        <x:v>49.65</x:v>
      </x:c>
      <x:c r="N342" s="4" t="n">
        <x:f>ROUND(I342*K342,2)</x:f>
        <x:v>21</x:v>
      </x:c>
      <x:c r="O342" s="4" t="n">
        <x:f>ROUND(M342-N342,2)</x:f>
        <x:v>28.65</x:v>
      </x:c>
      <x:c r="P342" s="6" t="n">
        <x:v>4.9</x:v>
      </x:c>
      <x:c r="Q342" t="str">
        <x:v>No</x:v>
      </x:c>
    </x:row>
    <x:row r="343">
      <x:c r="A343" t="str">
        <x:v>ORD-01609</x:v>
      </x:c>
      <x:c r="B343" s="3" t="n">
        <x:v>45430.43384587963</x:v>
      </x:c>
      <x:c r="C343" t="str">
        <x:v>2024-05</x:v>
      </x:c>
      <x:c r="D343" t="str">
        <x:v>CUS-0434</x:v>
      </x:c>
      <x:c r="E343" t="str">
        <x:v>Scotland</x:v>
      </x:c>
      <x:c r="F343" t="str">
        <x:v>Marketplace</x:v>
      </x:c>
      <x:c r="G343" t="str">
        <x:v>Electronics</x:v>
      </x:c>
      <x:c r="H343" t="str">
        <x:v>Smart Watch</x:v>
      </x:c>
      <x:c r="I343" t="n">
        <x:v>1</x:v>
      </x:c>
      <x:c r="J343" s="4" t="n">
        <x:v>156.91</x:v>
      </x:c>
      <x:c r="K343" s="4" t="n">
        <x:v>92</x:v>
      </x:c>
      <x:c r="L343" s="5" t="n">
        <x:v>0.2</x:v>
      </x:c>
      <x:c r="M343" s="4" t="n">
        <x:f>ROUND(I343*J343*(1-L343),2)</x:f>
        <x:v>125.53</x:v>
      </x:c>
      <x:c r="N343" s="4" t="n">
        <x:f>ROUND(I343*K343,2)</x:f>
        <x:v>92</x:v>
      </x:c>
      <x:c r="O343" s="4" t="n">
        <x:f>ROUND(M343-N343,2)</x:f>
        <x:v>33.53</x:v>
      </x:c>
      <x:c r="P343" s="6" t="n">
        <x:v>4.1</x:v>
      </x:c>
      <x:c r="Q343" t="str">
        <x:v>No</x:v>
      </x:c>
    </x:row>
    <x:row r="344">
      <x:c r="A344" t="str">
        <x:v>ORD-01472</x:v>
      </x:c>
      <x:c r="B344" s="3" t="n">
        <x:v>45430.47454636574</x:v>
      </x:c>
      <x:c r="C344" t="str">
        <x:v>2024-05</x:v>
      </x:c>
      <x:c r="D344" t="str">
        <x:v>CUS-0427</x:v>
      </x:c>
      <x:c r="E344" t="str">
        <x:v>South West</x:v>
      </x:c>
      <x:c r="F344" t="str">
        <x:v>Marketplace</x:v>
      </x:c>
      <x:c r="G344" t="str">
        <x:v>Books</x:v>
      </x:c>
      <x:c r="H344" t="str">
        <x:v>Data Analytics Handbook</x:v>
      </x:c>
      <x:c r="I344" t="n">
        <x:v>2</x:v>
      </x:c>
      <x:c r="J344" s="4" t="n">
        <x:v>39.27</x:v>
      </x:c>
      <x:c r="K344" s="4" t="n">
        <x:v>14</x:v>
      </x:c>
      <x:c r="L344" s="5" t="n">
        <x:v>0.05</x:v>
      </x:c>
      <x:c r="M344" s="4" t="n">
        <x:f>ROUND(I344*J344*(1-L344),2)</x:f>
        <x:v>74.61</x:v>
      </x:c>
      <x:c r="N344" s="4" t="n">
        <x:f>ROUND(I344*K344,2)</x:f>
        <x:v>28</x:v>
      </x:c>
      <x:c r="O344" s="4" t="n">
        <x:f>ROUND(M344-N344,2)</x:f>
        <x:v>46.61</x:v>
      </x:c>
      <x:c r="P344" s="6" t="n">
        <x:v>4.8</x:v>
      </x:c>
      <x:c r="Q344" t="str">
        <x:v>No</x:v>
      </x:c>
    </x:row>
    <x:row r="345">
      <x:c r="A345" t="str">
        <x:v>ORD-00784</x:v>
      </x:c>
      <x:c r="B345" s="3" t="n">
        <x:v>45430.75878996528</x:v>
      </x:c>
      <x:c r="C345" t="str">
        <x:v>2024-05</x:v>
      </x:c>
      <x:c r="D345" t="str">
        <x:v>CUS-0206</x:v>
      </x:c>
      <x:c r="E345" t="str">
        <x:v>Scotland</x:v>
      </x:c>
      <x:c r="F345" t="str">
        <x:v>Store</x:v>
      </x:c>
      <x:c r="G345" t="str">
        <x:v>Electronics</x:v>
      </x:c>
      <x:c r="H345" t="str">
        <x:v>Wireless Headphones</x:v>
      </x:c>
      <x:c r="I345" t="n">
        <x:v>5</x:v>
      </x:c>
      <x:c r="J345" s="4" t="n">
        <x:v>91.91</x:v>
      </x:c>
      <x:c r="K345" s="4" t="n">
        <x:v>48</x:v>
      </x:c>
      <x:c r="L345" s="5" t="n">
        <x:v>0.15</x:v>
      </x:c>
      <x:c r="M345" s="4" t="n">
        <x:f>ROUND(I345*J345*(1-L345),2)</x:f>
        <x:v>390.62</x:v>
      </x:c>
      <x:c r="N345" s="4" t="n">
        <x:f>ROUND(I345*K345,2)</x:f>
        <x:v>240</x:v>
      </x:c>
      <x:c r="O345" s="4" t="n">
        <x:f>ROUND(M345-N345,2)</x:f>
        <x:v>150.62</x:v>
      </x:c>
      <x:c r="P345" s="6" t="n">
        <x:v>5</x:v>
      </x:c>
      <x:c r="Q345" t="str">
        <x:v>No</x:v>
      </x:c>
    </x:row>
    <x:row r="346">
      <x:c r="A346" t="str">
        <x:v>ORD-00700</x:v>
      </x:c>
      <x:c r="B346" s="3" t="n">
        <x:v>45430.85074449074</x:v>
      </x:c>
      <x:c r="C346" t="str">
        <x:v>2024-05</x:v>
      </x:c>
      <x:c r="D346" t="str">
        <x:v>CUS-0163</x:v>
      </x:c>
      <x:c r="E346" t="str">
        <x:v>London</x:v>
      </x:c>
      <x:c r="F346" t="str">
        <x:v>Store</x:v>
      </x:c>
      <x:c r="G346" t="str">
        <x:v>Fashion</x:v>
      </x:c>
      <x:c r="H346" t="str">
        <x:v>Classic Trainers</x:v>
      </x:c>
      <x:c r="I346" t="n">
        <x:v>1</x:v>
      </x:c>
      <x:c r="J346" s="4" t="n">
        <x:v>67.61</x:v>
      </x:c>
      <x:c r="K346" s="4" t="n">
        <x:v>32</x:v>
      </x:c>
      <x:c r="L346" s="5" t="n">
        <x:v>0.2</x:v>
      </x:c>
      <x:c r="M346" s="4" t="n">
        <x:f>ROUND(I346*J346*(1-L346),2)</x:f>
        <x:v>54.09</x:v>
      </x:c>
      <x:c r="N346" s="4" t="n">
        <x:f>ROUND(I346*K346,2)</x:f>
        <x:v>32</x:v>
      </x:c>
      <x:c r="O346" s="4" t="n">
        <x:f>ROUND(M346-N346,2)</x:f>
        <x:v>22.09</x:v>
      </x:c>
      <x:c r="P346" s="6" t="n">
        <x:v>4.9</x:v>
      </x:c>
      <x:c r="Q346" t="str">
        <x:v>No</x:v>
      </x:c>
    </x:row>
    <x:row r="347">
      <x:c r="A347" t="str">
        <x:v>ORD-01756</x:v>
      </x:c>
      <x:c r="B347" s="3" t="n">
        <x:v>45430.99225440972</x:v>
      </x:c>
      <x:c r="C347" t="str">
        <x:v>2024-05</x:v>
      </x:c>
      <x:c r="D347" t="str">
        <x:v>CUS-0218</x:v>
      </x:c>
      <x:c r="E347" t="str">
        <x:v>Midlands</x:v>
      </x:c>
      <x:c r="F347" t="str">
        <x:v>Store</x:v>
      </x:c>
      <x:c r="G347" t="str">
        <x:v>Sports</x:v>
      </x:c>
      <x:c r="H347" t="str">
        <x:v>Running Shoes</x:v>
      </x:c>
      <x:c r="I347" t="n">
        <x:v>5</x:v>
      </x:c>
      <x:c r="J347" s="4" t="n">
        <x:v>76.77</x:v>
      </x:c>
      <x:c r="K347" s="4" t="n">
        <x:v>38</x:v>
      </x:c>
      <x:c r="L347" s="5" t="n">
        <x:v>0.1</x:v>
      </x:c>
      <x:c r="M347" s="4" t="n">
        <x:f>ROUND(I347*J347*(1-L347),2)</x:f>
        <x:v>345.47</x:v>
      </x:c>
      <x:c r="N347" s="4" t="n">
        <x:f>ROUND(I347*K347,2)</x:f>
        <x:v>190</x:v>
      </x:c>
      <x:c r="O347" s="4" t="n">
        <x:f>ROUND(M347-N347,2)</x:f>
        <x:v>155.47</x:v>
      </x:c>
      <x:c r="P347" s="6" t="n">
        <x:v>4.6</x:v>
      </x:c>
      <x:c r="Q347" t="str">
        <x:v>No</x:v>
      </x:c>
    </x:row>
    <x:row r="348">
      <x:c r="A348" t="str">
        <x:v>ORD-01778</x:v>
      </x:c>
      <x:c r="B348" s="3" t="n">
        <x:v>45432.841577569445</x:v>
      </x:c>
      <x:c r="C348" t="str">
        <x:v>2024-05</x:v>
      </x:c>
      <x:c r="D348" t="str">
        <x:v>CUS-0078</x:v>
      </x:c>
      <x:c r="E348" t="str">
        <x:v>South West</x:v>
      </x:c>
      <x:c r="F348" t="str">
        <x:v>Marketplace</x:v>
      </x:c>
      <x:c r="G348" t="str">
        <x:v>Electronics</x:v>
      </x:c>
      <x:c r="H348" t="str">
        <x:v>Bluetooth Speaker</x:v>
      </x:c>
      <x:c r="I348" t="n">
        <x:v>2</x:v>
      </x:c>
      <x:c r="J348" s="4" t="n">
        <x:v>65.35</x:v>
      </x:c>
      <x:c r="K348" s="4" t="n">
        <x:v>34</x:v>
      </x:c>
      <x:c r="L348" s="5" t="n">
        <x:v>0</x:v>
      </x:c>
      <x:c r="M348" s="4" t="n">
        <x:f>ROUND(I348*J348*(1-L348),2)</x:f>
        <x:v>130.7</x:v>
      </x:c>
      <x:c r="N348" s="4" t="n">
        <x:f>ROUND(I348*K348,2)</x:f>
        <x:v>68</x:v>
      </x:c>
      <x:c r="O348" s="4" t="n">
        <x:f>ROUND(M348-N348,2)</x:f>
        <x:v>62.7</x:v>
      </x:c>
      <x:c r="P348" s="6" t="n">
        <x:v>4.8</x:v>
      </x:c>
      <x:c r="Q348" t="str">
        <x:v>No</x:v>
      </x:c>
    </x:row>
    <x:row r="349">
      <x:c r="A349" t="str">
        <x:v>ORD-00588</x:v>
      </x:c>
      <x:c r="B349" s="3" t="n">
        <x:v>45433.05334003472</x:v>
      </x:c>
      <x:c r="C349" t="str">
        <x:v>2024-05</x:v>
      </x:c>
      <x:c r="D349" t="str">
        <x:v>CUS-0380</x:v>
      </x:c>
      <x:c r="E349" t="str">
        <x:v>Scotland</x:v>
      </x:c>
      <x:c r="F349" t="str">
        <x:v>Marketplace</x:v>
      </x:c>
      <x:c r="G349" t="str">
        <x:v>Electronics</x:v>
      </x:c>
      <x:c r="H349" t="str">
        <x:v>Wireless Headphones</x:v>
      </x:c>
      <x:c r="I349" t="n">
        <x:v>5</x:v>
      </x:c>
      <x:c r="J349" s="4" t="n">
        <x:v>90.37</x:v>
      </x:c>
      <x:c r="K349" s="4" t="n">
        <x:v>48</x:v>
      </x:c>
      <x:c r="L349" s="5" t="n">
        <x:v>0.2</x:v>
      </x:c>
      <x:c r="M349" s="4" t="n">
        <x:f>ROUND(I349*J349*(1-L349),2)</x:f>
        <x:v>361.48</x:v>
      </x:c>
      <x:c r="N349" s="4" t="n">
        <x:f>ROUND(I349*K349,2)</x:f>
        <x:v>240</x:v>
      </x:c>
      <x:c r="O349" s="4" t="n">
        <x:f>ROUND(M349-N349,2)</x:f>
        <x:v>121.48</x:v>
      </x:c>
      <x:c r="P349" s="6" t="n">
        <x:v>4.1</x:v>
      </x:c>
      <x:c r="Q349" t="str">
        <x:v>No</x:v>
      </x:c>
    </x:row>
    <x:row r="350">
      <x:c r="A350" t="str">
        <x:v>ORD-00669</x:v>
      </x:c>
      <x:c r="B350" s="3" t="n">
        <x:v>45433.23131964121</x:v>
      </x:c>
      <x:c r="C350" t="str">
        <x:v>2024-05</x:v>
      </x:c>
      <x:c r="D350" t="str">
        <x:v>CUS-0197</x:v>
      </x:c>
      <x:c r="E350" t="str">
        <x:v>Wales</x:v>
      </x:c>
      <x:c r="F350" t="str">
        <x:v>Marketplace</x:v>
      </x:c>
      <x:c r="G350" t="str">
        <x:v>Beauty</x:v>
      </x:c>
      <x:c r="H350" t="str">
        <x:v>Hair Dryer</x:v>
      </x:c>
      <x:c r="I350" t="n">
        <x:v>1</x:v>
      </x:c>
      <x:c r="J350" s="4" t="n">
        <x:v>57.48</x:v>
      </x:c>
      <x:c r="K350" s="4" t="n">
        <x:v>29</x:v>
      </x:c>
      <x:c r="L350" s="5" t="n">
        <x:v>0.05</x:v>
      </x:c>
      <x:c r="M350" s="4" t="n">
        <x:f>ROUND(I350*J350*(1-L350),2)</x:f>
        <x:v>54.61</x:v>
      </x:c>
      <x:c r="N350" s="4" t="n">
        <x:f>ROUND(I350*K350,2)</x:f>
        <x:v>29</x:v>
      </x:c>
      <x:c r="O350" s="4" t="n">
        <x:f>ROUND(M350-N350,2)</x:f>
        <x:v>25.61</x:v>
      </x:c>
      <x:c r="P350" s="6" t="n">
        <x:v>5</x:v>
      </x:c>
      <x:c r="Q350" t="str">
        <x:v>No</x:v>
      </x:c>
    </x:row>
    <x:row r="351">
      <x:c r="A351" t="str">
        <x:v>ORD-00221</x:v>
      </x:c>
      <x:c r="B351" s="3" t="n">
        <x:v>45433.75312998843</x:v>
      </x:c>
      <x:c r="C351" t="str">
        <x:v>2024-05</x:v>
      </x:c>
      <x:c r="D351" t="str">
        <x:v>CUS-0303</x:v>
      </x:c>
      <x:c r="E351" t="str">
        <x:v>Wales</x:v>
      </x:c>
      <x:c r="F351" t="str">
        <x:v>Online</x:v>
      </x:c>
      <x:c r="G351" t="str">
        <x:v>Fashion</x:v>
      </x:c>
      <x:c r="H351" t="str">
        <x:v>Backpack</x:v>
      </x:c>
      <x:c r="I351" t="n">
        <x:v>5</x:v>
      </x:c>
      <x:c r="J351" s="4" t="n">
        <x:v>48.92</x:v>
      </x:c>
      <x:c r="K351" s="4" t="n">
        <x:v>21</x:v>
      </x:c>
      <x:c r="L351" s="5" t="n">
        <x:v>0.1</x:v>
      </x:c>
      <x:c r="M351" s="4" t="n">
        <x:f>ROUND(I351*J351*(1-L351),2)</x:f>
        <x:v>220.14</x:v>
      </x:c>
      <x:c r="N351" s="4" t="n">
        <x:f>ROUND(I351*K351,2)</x:f>
        <x:v>105</x:v>
      </x:c>
      <x:c r="O351" s="4" t="n">
        <x:f>ROUND(M351-N351,2)</x:f>
        <x:v>115.14</x:v>
      </x:c>
      <x:c r="P351" s="6" t="n">
        <x:v>4.5</x:v>
      </x:c>
      <x:c r="Q351" t="str">
        <x:v>No</x:v>
      </x:c>
    </x:row>
    <x:row r="352">
      <x:c r="A352" t="str">
        <x:v>ORD-00991</x:v>
      </x:c>
      <x:c r="B352" s="3" t="n">
        <x:v>45434.42631715278</x:v>
      </x:c>
      <x:c r="C352" t="str">
        <x:v>2024-05</x:v>
      </x:c>
      <x:c r="D352" t="str">
        <x:v>CUS-0193</x:v>
      </x:c>
      <x:c r="E352" t="str">
        <x:v>North West</x:v>
      </x:c>
      <x:c r="F352" t="str">
        <x:v>Online</x:v>
      </x:c>
      <x:c r="G352" t="str">
        <x:v>Fashion</x:v>
      </x:c>
      <x:c r="H352" t="str">
        <x:v>Backpack</x:v>
      </x:c>
      <x:c r="I352" t="n">
        <x:v>5</x:v>
      </x:c>
      <x:c r="J352" s="4" t="n">
        <x:v>49</x:v>
      </x:c>
      <x:c r="K352" s="4" t="n">
        <x:v>21</x:v>
      </x:c>
      <x:c r="L352" s="5" t="n">
        <x:v>0</x:v>
      </x:c>
      <x:c r="M352" s="4" t="n">
        <x:f>ROUND(I352*J352*(1-L352),2)</x:f>
        <x:v>245</x:v>
      </x:c>
      <x:c r="N352" s="4" t="n">
        <x:f>ROUND(I352*K352,2)</x:f>
        <x:v>105</x:v>
      </x:c>
      <x:c r="O352" s="4" t="n">
        <x:f>ROUND(M352-N352,2)</x:f>
        <x:v>140</x:v>
      </x:c>
      <x:c r="P352" s="6" t="n">
        <x:v>5</x:v>
      </x:c>
      <x:c r="Q352" t="str">
        <x:v>No</x:v>
      </x:c>
    </x:row>
    <x:row r="353">
      <x:c r="A353" t="str">
        <x:v>ORD-00848</x:v>
      </x:c>
      <x:c r="B353" s="3" t="n">
        <x:v>45435.49459148148</x:v>
      </x:c>
      <x:c r="C353" t="str">
        <x:v>2024-05</x:v>
      </x:c>
      <x:c r="D353" t="str">
        <x:v>CUS-0358</x:v>
      </x:c>
      <x:c r="E353" t="str">
        <x:v>Wales</x:v>
      </x:c>
      <x:c r="F353" t="str">
        <x:v>Marketplace</x:v>
      </x:c>
      <x:c r="G353" t="str">
        <x:v>Sports</x:v>
      </x:c>
      <x:c r="H353" t="str">
        <x:v>Yoga Mat</x:v>
      </x:c>
      <x:c r="I353" t="n">
        <x:v>1</x:v>
      </x:c>
      <x:c r="J353" s="4" t="n">
        <x:v>31.3</x:v>
      </x:c>
      <x:c r="K353" s="4" t="n">
        <x:v>12</x:v>
      </x:c>
      <x:c r="L353" s="5" t="n">
        <x:v>0</x:v>
      </x:c>
      <x:c r="M353" s="4" t="n">
        <x:f>ROUND(I353*J353*(1-L353),2)</x:f>
        <x:v>31.3</x:v>
      </x:c>
      <x:c r="N353" s="4" t="n">
        <x:f>ROUND(I353*K353,2)</x:f>
        <x:v>12</x:v>
      </x:c>
      <x:c r="O353" s="4" t="n">
        <x:f>ROUND(M353-N353,2)</x:f>
        <x:v>19.3</x:v>
      </x:c>
      <x:c r="P353" s="6" t="n">
        <x:v>3.7</x:v>
      </x:c>
      <x:c r="Q353" t="str">
        <x:v>No</x:v>
      </x:c>
    </x:row>
    <x:row r="354">
      <x:c r="A354" t="str">
        <x:v>ORD-00542</x:v>
      </x:c>
      <x:c r="B354" s="3" t="n">
        <x:v>45435.89084903935</x:v>
      </x:c>
      <x:c r="C354" t="str">
        <x:v>2024-05</x:v>
      </x:c>
      <x:c r="D354" t="str">
        <x:v>CUS-0088</x:v>
      </x:c>
      <x:c r="E354" t="str">
        <x:v>Scotland</x:v>
      </x:c>
      <x:c r="F354" t="str">
        <x:v>Online</x:v>
      </x:c>
      <x:c r="G354" t="str">
        <x:v>Electronics</x:v>
      </x:c>
      <x:c r="H354" t="str">
        <x:v>Wireless Headphones</x:v>
      </x:c>
      <x:c r="I354" t="n">
        <x:v>5</x:v>
      </x:c>
      <x:c r="J354" s="4" t="n">
        <x:v>89.51</x:v>
      </x:c>
      <x:c r="K354" s="4" t="n">
        <x:v>48</x:v>
      </x:c>
      <x:c r="L354" s="5" t="n">
        <x:v>0</x:v>
      </x:c>
      <x:c r="M354" s="4" t="n">
        <x:f>ROUND(I354*J354*(1-L354),2)</x:f>
        <x:v>447.55</x:v>
      </x:c>
      <x:c r="N354" s="4" t="n">
        <x:f>ROUND(I354*K354,2)</x:f>
        <x:v>240</x:v>
      </x:c>
      <x:c r="O354" s="4" t="n">
        <x:f>ROUND(M354-N354,2)</x:f>
        <x:v>207.55</x:v>
      </x:c>
      <x:c r="P354" s="6" t="n">
        <x:v>4.6</x:v>
      </x:c>
      <x:c r="Q354" t="str">
        <x:v>No</x:v>
      </x:c>
    </x:row>
    <x:row r="355">
      <x:c r="A355" t="str">
        <x:v>ORD-01582</x:v>
      </x:c>
      <x:c r="B355" s="3" t="n">
        <x:v>45435.89851247685</x:v>
      </x:c>
      <x:c r="C355" t="str">
        <x:v>2024-05</x:v>
      </x:c>
      <x:c r="D355" t="str">
        <x:v>CUS-0458</x:v>
      </x:c>
      <x:c r="E355" t="str">
        <x:v>London</x:v>
      </x:c>
      <x:c r="F355" t="str">
        <x:v>Online</x:v>
      </x:c>
      <x:c r="G355" t="str">
        <x:v>Sports</x:v>
      </x:c>
      <x:c r="H355" t="str">
        <x:v>Yoga Mat</x:v>
      </x:c>
      <x:c r="I355" t="n">
        <x:v>3</x:v>
      </x:c>
      <x:c r="J355" s="4" t="n">
        <x:v>29.81</x:v>
      </x:c>
      <x:c r="K355" s="4" t="n">
        <x:v>12</x:v>
      </x:c>
      <x:c r="L355" s="5" t="n">
        <x:v>0</x:v>
      </x:c>
      <x:c r="M355" s="4" t="n">
        <x:f>ROUND(I355*J355*(1-L355),2)</x:f>
        <x:v>89.43</x:v>
      </x:c>
      <x:c r="N355" s="4" t="n">
        <x:f>ROUND(I355*K355,2)</x:f>
        <x:v>36</x:v>
      </x:c>
      <x:c r="O355" s="4" t="n">
        <x:f>ROUND(M355-N355,2)</x:f>
        <x:v>53.43</x:v>
      </x:c>
      <x:c r="P355" s="6" t="n">
        <x:v>3.9</x:v>
      </x:c>
      <x:c r="Q355" t="str">
        <x:v>No</x:v>
      </x:c>
    </x:row>
    <x:row r="356">
      <x:c r="A356" t="str">
        <x:v>ORD-01389</x:v>
      </x:c>
      <x:c r="B356" s="3" t="n">
        <x:v>45436.437266099536</x:v>
      </x:c>
      <x:c r="C356" t="str">
        <x:v>2024-05</x:v>
      </x:c>
      <x:c r="D356" t="str">
        <x:v>CUS-0167</x:v>
      </x:c>
      <x:c r="E356" t="str">
        <x:v>Scotland</x:v>
      </x:c>
      <x:c r="F356" t="str">
        <x:v>Marketplace</x:v>
      </x:c>
      <x:c r="G356" t="str">
        <x:v>Books</x:v>
      </x:c>
      <x:c r="H356" t="str">
        <x:v>Data Analytics Handbook</x:v>
      </x:c>
      <x:c r="I356" t="n">
        <x:v>1</x:v>
      </x:c>
      <x:c r="J356" s="4" t="n">
        <x:v>40.63</x:v>
      </x:c>
      <x:c r="K356" s="4" t="n">
        <x:v>14</x:v>
      </x:c>
      <x:c r="L356" s="5" t="n">
        <x:v>0</x:v>
      </x:c>
      <x:c r="M356" s="4" t="n">
        <x:f>ROUND(I356*J356*(1-L356),2)</x:f>
        <x:v>40.63</x:v>
      </x:c>
      <x:c r="N356" s="4" t="n">
        <x:f>ROUND(I356*K356,2)</x:f>
        <x:v>14</x:v>
      </x:c>
      <x:c r="O356" s="4" t="n">
        <x:f>ROUND(M356-N356,2)</x:f>
        <x:v>26.63</x:v>
      </x:c>
      <x:c r="P356" s="6" t="n">
        <x:v>4</x:v>
      </x:c>
      <x:c r="Q356" t="str">
        <x:v>No</x:v>
      </x:c>
    </x:row>
    <x:row r="357">
      <x:c r="A357" t="str">
        <x:v>ORD-01259</x:v>
      </x:c>
      <x:c r="B357" s="3" t="n">
        <x:v>45436.574707025466</x:v>
      </x:c>
      <x:c r="C357" t="str">
        <x:v>2024-05</x:v>
      </x:c>
      <x:c r="D357" t="str">
        <x:v>CUS-0205</x:v>
      </x:c>
      <x:c r="E357" t="str">
        <x:v>North East</x:v>
      </x:c>
      <x:c r="F357" t="str">
        <x:v>Online</x:v>
      </x:c>
      <x:c r="G357" t="str">
        <x:v>Home</x:v>
      </x:c>
      <x:c r="H357" t="str">
        <x:v>Desk Lamp</x:v>
      </x:c>
      <x:c r="I357" t="n">
        <x:v>3</x:v>
      </x:c>
      <x:c r="J357" s="4" t="n">
        <x:v>34.73</x:v>
      </x:c>
      <x:c r="K357" s="4" t="n">
        <x:v>17</x:v>
      </x:c>
      <x:c r="L357" s="5" t="n">
        <x:v>0.2</x:v>
      </x:c>
      <x:c r="M357" s="4" t="n">
        <x:f>ROUND(I357*J357*(1-L357),2)</x:f>
        <x:v>83.35</x:v>
      </x:c>
      <x:c r="N357" s="4" t="n">
        <x:f>ROUND(I357*K357,2)</x:f>
        <x:v>51</x:v>
      </x:c>
      <x:c r="O357" s="4" t="n">
        <x:f>ROUND(M357-N357,2)</x:f>
        <x:v>32.35</x:v>
      </x:c>
      <x:c r="P357" s="6" t="n">
        <x:v>3.3</x:v>
      </x:c>
      <x:c r="Q357" t="str">
        <x:v>No</x:v>
      </x:c>
    </x:row>
    <x:row r="358">
      <x:c r="A358" t="str">
        <x:v>ORD-00556</x:v>
      </x:c>
      <x:c r="B358" s="3" t="n">
        <x:v>45436.7787744213</x:v>
      </x:c>
      <x:c r="C358" t="str">
        <x:v>2024-05</x:v>
      </x:c>
      <x:c r="D358" t="str">
        <x:v>CUS-0029</x:v>
      </x:c>
      <x:c r="E358" t="str">
        <x:v>South East</x:v>
      </x:c>
      <x:c r="F358" t="str">
        <x:v>Marketplace</x:v>
      </x:c>
      <x:c r="G358" t="str">
        <x:v>Fashion</x:v>
      </x:c>
      <x:c r="H358" t="str">
        <x:v>Backpack</x:v>
      </x:c>
      <x:c r="I358" t="n">
        <x:v>3</x:v>
      </x:c>
      <x:c r="J358" s="4" t="n">
        <x:v>50.15</x:v>
      </x:c>
      <x:c r="K358" s="4" t="n">
        <x:v>21</x:v>
      </x:c>
      <x:c r="L358" s="5" t="n">
        <x:v>0.2</x:v>
      </x:c>
      <x:c r="M358" s="4" t="n">
        <x:f>ROUND(I358*J358*(1-L358),2)</x:f>
        <x:v>120.36</x:v>
      </x:c>
      <x:c r="N358" s="4" t="n">
        <x:f>ROUND(I358*K358,2)</x:f>
        <x:v>63</x:v>
      </x:c>
      <x:c r="O358" s="4" t="n">
        <x:f>ROUND(M358-N358,2)</x:f>
        <x:v>57.36</x:v>
      </x:c>
      <x:c r="P358" s="6" t="n">
        <x:v>3.4</x:v>
      </x:c>
      <x:c r="Q358" t="str">
        <x:v>No</x:v>
      </x:c>
    </x:row>
    <x:row r="359">
      <x:c r="A359" t="str">
        <x:v>ORD-00403</x:v>
      </x:c>
      <x:c r="B359" s="3" t="n">
        <x:v>45437.321006238424</x:v>
      </x:c>
      <x:c r="C359" t="str">
        <x:v>2024-05</x:v>
      </x:c>
      <x:c r="D359" t="str">
        <x:v>CUS-0197</x:v>
      </x:c>
      <x:c r="E359" t="str">
        <x:v>North East</x:v>
      </x:c>
      <x:c r="F359" t="str">
        <x:v>Online</x:v>
      </x:c>
      <x:c r="G359" t="str">
        <x:v>Electronics</x:v>
      </x:c>
      <x:c r="H359" t="str">
        <x:v>Wireless Headphones</x:v>
      </x:c>
      <x:c r="I359" t="n">
        <x:v>3</x:v>
      </x:c>
      <x:c r="J359" s="4" t="n">
        <x:v>87.77</x:v>
      </x:c>
      <x:c r="K359" s="4" t="n">
        <x:v>48</x:v>
      </x:c>
      <x:c r="L359" s="5" t="n">
        <x:v>0.2</x:v>
      </x:c>
      <x:c r="M359" s="4" t="n">
        <x:f>ROUND(I359*J359*(1-L359),2)</x:f>
        <x:v>210.65</x:v>
      </x:c>
      <x:c r="N359" s="4" t="n">
        <x:f>ROUND(I359*K359,2)</x:f>
        <x:v>144</x:v>
      </x:c>
      <x:c r="O359" s="4" t="n">
        <x:f>ROUND(M359-N359,2)</x:f>
        <x:v>66.65</x:v>
      </x:c>
      <x:c r="P359" s="6" t="n">
        <x:v>4.7</x:v>
      </x:c>
      <x:c r="Q359" t="str">
        <x:v>No</x:v>
      </x:c>
    </x:row>
    <x:row r="360">
      <x:c r="A360" t="str">
        <x:v>ORD-01085</x:v>
      </x:c>
      <x:c r="B360" s="3" t="n">
        <x:v>45437.34337449074</x:v>
      </x:c>
      <x:c r="C360" t="str">
        <x:v>2024-05</x:v>
      </x:c>
      <x:c r="D360" t="str">
        <x:v>CUS-0320</x:v>
      </x:c>
      <x:c r="E360" t="str">
        <x:v>South West</x:v>
      </x:c>
      <x:c r="F360" t="str">
        <x:v>Online</x:v>
      </x:c>
      <x:c r="G360" t="str">
        <x:v>Electronics</x:v>
      </x:c>
      <x:c r="H360" t="str">
        <x:v>Wireless Headphones</x:v>
      </x:c>
      <x:c r="I360" t="n">
        <x:v>2</x:v>
      </x:c>
      <x:c r="J360" s="4" t="n">
        <x:v>92.29</x:v>
      </x:c>
      <x:c r="K360" s="4" t="n">
        <x:v>48</x:v>
      </x:c>
      <x:c r="L360" s="5" t="n">
        <x:v>0</x:v>
      </x:c>
      <x:c r="M360" s="4" t="n">
        <x:f>ROUND(I360*J360*(1-L360),2)</x:f>
        <x:v>184.58</x:v>
      </x:c>
      <x:c r="N360" s="4" t="n">
        <x:f>ROUND(I360*K360,2)</x:f>
        <x:v>96</x:v>
      </x:c>
      <x:c r="O360" s="4" t="n">
        <x:f>ROUND(M360-N360,2)</x:f>
        <x:v>88.58</x:v>
      </x:c>
      <x:c r="P360" s="6" t="n">
        <x:v>3.9</x:v>
      </x:c>
      <x:c r="Q360" t="str">
        <x:v>No</x:v>
      </x:c>
    </x:row>
    <x:row r="361">
      <x:c r="A361" t="str">
        <x:v>ORD-01202</x:v>
      </x:c>
      <x:c r="B361" s="3" t="n">
        <x:v>45437.40207170139</x:v>
      </x:c>
      <x:c r="C361" t="str">
        <x:v>2024-05</x:v>
      </x:c>
      <x:c r="D361" t="str">
        <x:v>CUS-0267</x:v>
      </x:c>
      <x:c r="E361" t="str">
        <x:v>London</x:v>
      </x:c>
      <x:c r="F361" t="str">
        <x:v>Marketplace</x:v>
      </x:c>
      <x:c r="G361" t="str">
        <x:v>Beauty</x:v>
      </x:c>
      <x:c r="H361" t="str">
        <x:v>Hair Dryer</x:v>
      </x:c>
      <x:c r="I361" t="n">
        <x:v>3</x:v>
      </x:c>
      <x:c r="J361" s="4" t="n">
        <x:v>58.25</x:v>
      </x:c>
      <x:c r="K361" s="4" t="n">
        <x:v>29</x:v>
      </x:c>
      <x:c r="L361" s="5" t="n">
        <x:v>0.05</x:v>
      </x:c>
      <x:c r="M361" s="4" t="n">
        <x:f>ROUND(I361*J361*(1-L361),2)</x:f>
        <x:v>166.01</x:v>
      </x:c>
      <x:c r="N361" s="4" t="n">
        <x:f>ROUND(I361*K361,2)</x:f>
        <x:v>87</x:v>
      </x:c>
      <x:c r="O361" s="4" t="n">
        <x:f>ROUND(M361-N361,2)</x:f>
        <x:v>79.01</x:v>
      </x:c>
      <x:c r="P361" s="6" t="n">
        <x:v>4.8</x:v>
      </x:c>
      <x:c r="Q361" t="str">
        <x:v>No</x:v>
      </x:c>
    </x:row>
    <x:row r="362">
      <x:c r="A362" t="str">
        <x:v>ORD-01620</x:v>
      </x:c>
      <x:c r="B362" s="3" t="n">
        <x:v>45437.67447</x:v>
      </x:c>
      <x:c r="C362" t="str">
        <x:v>2024-05</x:v>
      </x:c>
      <x:c r="D362" t="str">
        <x:v>CUS-0149</x:v>
      </x:c>
      <x:c r="E362" t="str">
        <x:v>North West</x:v>
      </x:c>
      <x:c r="F362" t="str">
        <x:v>Store</x:v>
      </x:c>
      <x:c r="G362" t="str">
        <x:v>Books</x:v>
      </x:c>
      <x:c r="H362" t="str">
        <x:v>Business Intelligence Guide</x:v>
      </x:c>
      <x:c r="I362" t="n">
        <x:v>5</x:v>
      </x:c>
      <x:c r="J362" s="4" t="n">
        <x:v>36.24</x:v>
      </x:c>
      <x:c r="K362" s="4" t="n">
        <x:v>12</x:v>
      </x:c>
      <x:c r="L362" s="5" t="n">
        <x:v>0</x:v>
      </x:c>
      <x:c r="M362" s="4" t="n">
        <x:f>ROUND(I362*J362*(1-L362),2)</x:f>
        <x:v>181.2</x:v>
      </x:c>
      <x:c r="N362" s="4" t="n">
        <x:f>ROUND(I362*K362,2)</x:f>
        <x:v>60</x:v>
      </x:c>
      <x:c r="O362" s="4" t="n">
        <x:f>ROUND(M362-N362,2)</x:f>
        <x:v>121.2</x:v>
      </x:c>
      <x:c r="P362" s="6" t="n">
        <x:v>4.4</x:v>
      </x:c>
      <x:c r="Q362" t="str">
        <x:v>No</x:v>
      </x:c>
    </x:row>
    <x:row r="363">
      <x:c r="A363" t="str">
        <x:v>ORD-00831</x:v>
      </x:c>
      <x:c r="B363" s="3" t="n">
        <x:v>45438.02300134259</x:v>
      </x:c>
      <x:c r="C363" t="str">
        <x:v>2024-05</x:v>
      </x:c>
      <x:c r="D363" t="str">
        <x:v>CUS-0291</x:v>
      </x:c>
      <x:c r="E363" t="str">
        <x:v>North East</x:v>
      </x:c>
      <x:c r="F363" t="str">
        <x:v>Store</x:v>
      </x:c>
      <x:c r="G363" t="str">
        <x:v>Fashion</x:v>
      </x:c>
      <x:c r="H363" t="str">
        <x:v>Backpack</x:v>
      </x:c>
      <x:c r="I363" t="n">
        <x:v>1</x:v>
      </x:c>
      <x:c r="J363" s="4" t="n">
        <x:v>48.73</x:v>
      </x:c>
      <x:c r="K363" s="4" t="n">
        <x:v>21</x:v>
      </x:c>
      <x:c r="L363" s="5" t="n">
        <x:v>0.2</x:v>
      </x:c>
      <x:c r="M363" s="4" t="n">
        <x:f>ROUND(I363*J363*(1-L363),2)</x:f>
        <x:v>38.98</x:v>
      </x:c>
      <x:c r="N363" s="4" t="n">
        <x:f>ROUND(I363*K363,2)</x:f>
        <x:v>21</x:v>
      </x:c>
      <x:c r="O363" s="4" t="n">
        <x:f>ROUND(M363-N363,2)</x:f>
        <x:v>17.98</x:v>
      </x:c>
      <x:c r="P363" s="6" t="n">
        <x:v>4.5</x:v>
      </x:c>
      <x:c r="Q363" t="str">
        <x:v>No</x:v>
      </x:c>
    </x:row>
    <x:row r="364">
      <x:c r="A364" t="str">
        <x:v>ORD-00856</x:v>
      </x:c>
      <x:c r="B364" s="3" t="n">
        <x:v>45438.3628215625</x:v>
      </x:c>
      <x:c r="C364" t="str">
        <x:v>2024-05</x:v>
      </x:c>
      <x:c r="D364" t="str">
        <x:v>CUS-0116</x:v>
      </x:c>
      <x:c r="E364" t="str">
        <x:v>South West</x:v>
      </x:c>
      <x:c r="F364" t="str">
        <x:v>Online</x:v>
      </x:c>
      <x:c r="G364" t="str">
        <x:v>Sports</x:v>
      </x:c>
      <x:c r="H364" t="str">
        <x:v>Fitness Tracker</x:v>
      </x:c>
      <x:c r="I364" t="n">
        <x:v>3</x:v>
      </x:c>
      <x:c r="J364" s="4" t="n">
        <x:v>54.85</x:v>
      </x:c>
      <x:c r="K364" s="4" t="n">
        <x:v>27</x:v>
      </x:c>
      <x:c r="L364" s="5" t="n">
        <x:v>0</x:v>
      </x:c>
      <x:c r="M364" s="4" t="n">
        <x:f>ROUND(I364*J364*(1-L364),2)</x:f>
        <x:v>164.55</x:v>
      </x:c>
      <x:c r="N364" s="4" t="n">
        <x:f>ROUND(I364*K364,2)</x:f>
        <x:v>81</x:v>
      </x:c>
      <x:c r="O364" s="4" t="n">
        <x:f>ROUND(M364-N364,2)</x:f>
        <x:v>83.55</x:v>
      </x:c>
      <x:c r="P364" s="6" t="n">
        <x:v>5</x:v>
      </x:c>
      <x:c r="Q364" t="str">
        <x:v>No</x:v>
      </x:c>
    </x:row>
    <x:row r="365">
      <x:c r="A365" t="str">
        <x:v>ORD-01686</x:v>
      </x:c>
      <x:c r="B365" s="3" t="n">
        <x:v>45438.64437765046</x:v>
      </x:c>
      <x:c r="C365" t="str">
        <x:v>2024-05</x:v>
      </x:c>
      <x:c r="D365" t="str">
        <x:v>CUS-0169</x:v>
      </x:c>
      <x:c r="E365" t="str">
        <x:v>South West</x:v>
      </x:c>
      <x:c r="F365" t="str">
        <x:v>Marketplace</x:v>
      </x:c>
      <x:c r="G365" t="str">
        <x:v>Sports</x:v>
      </x:c>
      <x:c r="H365" t="str">
        <x:v>Fitness Tracker</x:v>
      </x:c>
      <x:c r="I365" t="n">
        <x:v>1</x:v>
      </x:c>
      <x:c r="J365" s="4" t="n">
        <x:v>55.35</x:v>
      </x:c>
      <x:c r="K365" s="4" t="n">
        <x:v>27</x:v>
      </x:c>
      <x:c r="L365" s="5" t="n">
        <x:v>0.2</x:v>
      </x:c>
      <x:c r="M365" s="4" t="n">
        <x:f>ROUND(I365*J365*(1-L365),2)</x:f>
        <x:v>44.28</x:v>
      </x:c>
      <x:c r="N365" s="4" t="n">
        <x:f>ROUND(I365*K365,2)</x:f>
        <x:v>27</x:v>
      </x:c>
      <x:c r="O365" s="4" t="n">
        <x:f>ROUND(M365-N365,2)</x:f>
        <x:v>17.28</x:v>
      </x:c>
      <x:c r="P365" s="6" t="n">
        <x:v>5</x:v>
      </x:c>
      <x:c r="Q365" t="str">
        <x:v>No</x:v>
      </x:c>
    </x:row>
    <x:row r="366">
      <x:c r="A366" t="str">
        <x:v>ORD-00057</x:v>
      </x:c>
      <x:c r="B366" s="3" t="n">
        <x:v>45438.86256246528</x:v>
      </x:c>
      <x:c r="C366" t="str">
        <x:v>2024-05</x:v>
      </x:c>
      <x:c r="D366" t="str">
        <x:v>CUS-0573</x:v>
      </x:c>
      <x:c r="E366" t="str">
        <x:v>South West</x:v>
      </x:c>
      <x:c r="F366" t="str">
        <x:v>Store</x:v>
      </x:c>
      <x:c r="G366" t="str">
        <x:v>Electronics</x:v>
      </x:c>
      <x:c r="H366" t="str">
        <x:v>Wireless Headphones</x:v>
      </x:c>
      <x:c r="I366" t="n">
        <x:v>5</x:v>
      </x:c>
      <x:c r="J366" s="4" t="n">
        <x:v>87.77</x:v>
      </x:c>
      <x:c r="K366" s="4" t="n">
        <x:v>48</x:v>
      </x:c>
      <x:c r="L366" s="5" t="n">
        <x:v>0.15</x:v>
      </x:c>
      <x:c r="M366" s="4" t="n">
        <x:f>ROUND(I366*J366*(1-L366),2)</x:f>
        <x:v>373.02</x:v>
      </x:c>
      <x:c r="N366" s="4" t="n">
        <x:f>ROUND(I366*K366,2)</x:f>
        <x:v>240</x:v>
      </x:c>
      <x:c r="O366" s="4" t="n">
        <x:f>ROUND(M366-N366,2)</x:f>
        <x:v>133.02</x:v>
      </x:c>
      <x:c r="P366" s="6" t="n">
        <x:v>4.7</x:v>
      </x:c>
      <x:c r="Q366" t="str">
        <x:v>No</x:v>
      </x:c>
    </x:row>
    <x:row r="367">
      <x:c r="A367" t="str">
        <x:v>ORD-00963</x:v>
      </x:c>
      <x:c r="B367" s="3" t="n">
        <x:v>45439.700704027775</x:v>
      </x:c>
      <x:c r="C367" t="str">
        <x:v>2024-05</x:v>
      </x:c>
      <x:c r="D367" t="str">
        <x:v>CUS-0222</x:v>
      </x:c>
      <x:c r="E367" t="str">
        <x:v>South East</x:v>
      </x:c>
      <x:c r="F367" t="str">
        <x:v>Marketplace</x:v>
      </x:c>
      <x:c r="G367" t="str">
        <x:v>Electronics</x:v>
      </x:c>
      <x:c r="H367" t="str">
        <x:v>Bluetooth Speaker</x:v>
      </x:c>
      <x:c r="I367" t="n">
        <x:v>1</x:v>
      </x:c>
      <x:c r="J367" s="4" t="n">
        <x:v>62.37</x:v>
      </x:c>
      <x:c r="K367" s="4" t="n">
        <x:v>34</x:v>
      </x:c>
      <x:c r="L367" s="5" t="n">
        <x:v>0.2</x:v>
      </x:c>
      <x:c r="M367" s="4" t="n">
        <x:f>ROUND(I367*J367*(1-L367),2)</x:f>
        <x:v>49.9</x:v>
      </x:c>
      <x:c r="N367" s="4" t="n">
        <x:f>ROUND(I367*K367,2)</x:f>
        <x:v>34</x:v>
      </x:c>
      <x:c r="O367" s="4" t="n">
        <x:f>ROUND(M367-N367,2)</x:f>
        <x:v>15.9</x:v>
      </x:c>
      <x:c r="P367" s="6" t="n">
        <x:v>4.1</x:v>
      </x:c>
      <x:c r="Q367" t="str">
        <x:v>Yes</x:v>
      </x:c>
    </x:row>
    <x:row r="368">
      <x:c r="A368" t="str">
        <x:v>ORD-00516</x:v>
      </x:c>
      <x:c r="B368" s="3" t="n">
        <x:v>45439.91519240741</x:v>
      </x:c>
      <x:c r="C368" t="str">
        <x:v>2024-05</x:v>
      </x:c>
      <x:c r="D368" t="str">
        <x:v>CUS-0507</x:v>
      </x:c>
      <x:c r="E368" t="str">
        <x:v>North West</x:v>
      </x:c>
      <x:c r="F368" t="str">
        <x:v>Marketplace</x:v>
      </x:c>
      <x:c r="G368" t="str">
        <x:v>Home</x:v>
      </x:c>
      <x:c r="H368" t="str">
        <x:v>Coffee Maker</x:v>
      </x:c>
      <x:c r="I368" t="n">
        <x:v>2</x:v>
      </x:c>
      <x:c r="J368" s="4" t="n">
        <x:v>76.88</x:v>
      </x:c>
      <x:c r="K368" s="4" t="n">
        <x:v>41</x:v>
      </x:c>
      <x:c r="L368" s="5" t="n">
        <x:v>0.15</x:v>
      </x:c>
      <x:c r="M368" s="4" t="n">
        <x:f>ROUND(I368*J368*(1-L368),2)</x:f>
        <x:v>130.7</x:v>
      </x:c>
      <x:c r="N368" s="4" t="n">
        <x:f>ROUND(I368*K368,2)</x:f>
        <x:v>82</x:v>
      </x:c>
      <x:c r="O368" s="4" t="n">
        <x:f>ROUND(M368-N368,2)</x:f>
        <x:v>48.7</x:v>
      </x:c>
      <x:c r="P368" s="6" t="n">
        <x:v>5</x:v>
      </x:c>
      <x:c r="Q368" t="str">
        <x:v>No</x:v>
      </x:c>
    </x:row>
    <x:row r="369">
      <x:c r="A369" t="str">
        <x:v>ORD-00065</x:v>
      </x:c>
      <x:c r="B369" s="3" t="n">
        <x:v>45439.93431599537</x:v>
      </x:c>
      <x:c r="C369" t="str">
        <x:v>2024-05</x:v>
      </x:c>
      <x:c r="D369" t="str">
        <x:v>CUS-0321</x:v>
      </x:c>
      <x:c r="E369" t="str">
        <x:v>North West</x:v>
      </x:c>
      <x:c r="F369" t="str">
        <x:v>Store</x:v>
      </x:c>
      <x:c r="G369" t="str">
        <x:v>Beauty</x:v>
      </x:c>
      <x:c r="H369" t="str">
        <x:v>Skin Care Set</x:v>
      </x:c>
      <x:c r="I369" t="n">
        <x:v>5</x:v>
      </x:c>
      <x:c r="J369" s="4" t="n">
        <x:v>45.49</x:v>
      </x:c>
      <x:c r="K369" s="4" t="n">
        <x:v>18</x:v>
      </x:c>
      <x:c r="L369" s="5" t="n">
        <x:v>0</x:v>
      </x:c>
      <x:c r="M369" s="4" t="n">
        <x:f>ROUND(I369*J369*(1-L369),2)</x:f>
        <x:v>227.45</x:v>
      </x:c>
      <x:c r="N369" s="4" t="n">
        <x:f>ROUND(I369*K369,2)</x:f>
        <x:v>90</x:v>
      </x:c>
      <x:c r="O369" s="4" t="n">
        <x:f>ROUND(M369-N369,2)</x:f>
        <x:v>137.45</x:v>
      </x:c>
      <x:c r="P369" s="6" t="n">
        <x:v>4.6</x:v>
      </x:c>
      <x:c r="Q369" t="str">
        <x:v>No</x:v>
      </x:c>
    </x:row>
    <x:row r="370">
      <x:c r="A370" t="str">
        <x:v>ORD-00643</x:v>
      </x:c>
      <x:c r="B370" s="3" t="n">
        <x:v>45440.29635320602</x:v>
      </x:c>
      <x:c r="C370" t="str">
        <x:v>2024-05</x:v>
      </x:c>
      <x:c r="D370" t="str">
        <x:v>CUS-0503</x:v>
      </x:c>
      <x:c r="E370" t="str">
        <x:v>South East</x:v>
      </x:c>
      <x:c r="F370" t="str">
        <x:v>Online</x:v>
      </x:c>
      <x:c r="G370" t="str">
        <x:v>Home</x:v>
      </x:c>
      <x:c r="H370" t="str">
        <x:v>Desk Lamp</x:v>
      </x:c>
      <x:c r="I370" t="n">
        <x:v>3</x:v>
      </x:c>
      <x:c r="J370" s="4" t="n">
        <x:v>34.62</x:v>
      </x:c>
      <x:c r="K370" s="4" t="n">
        <x:v>17</x:v>
      </x:c>
      <x:c r="L370" s="5" t="n">
        <x:v>0</x:v>
      </x:c>
      <x:c r="M370" s="4" t="n">
        <x:f>ROUND(I370*J370*(1-L370),2)</x:f>
        <x:v>103.86</x:v>
      </x:c>
      <x:c r="N370" s="4" t="n">
        <x:f>ROUND(I370*K370,2)</x:f>
        <x:v>51</x:v>
      </x:c>
      <x:c r="O370" s="4" t="n">
        <x:f>ROUND(M370-N370,2)</x:f>
        <x:v>52.86</x:v>
      </x:c>
      <x:c r="P370" s="6" t="n">
        <x:v>4.1</x:v>
      </x:c>
      <x:c r="Q370" t="str">
        <x:v>No</x:v>
      </x:c>
    </x:row>
    <x:row r="371">
      <x:c r="A371" t="str">
        <x:v>ORD-00442</x:v>
      </x:c>
      <x:c r="B371" s="3" t="n">
        <x:v>45441.15406163195</x:v>
      </x:c>
      <x:c r="C371" t="str">
        <x:v>2024-05</x:v>
      </x:c>
      <x:c r="D371" t="str">
        <x:v>CUS-0056</x:v>
      </x:c>
      <x:c r="E371" t="str">
        <x:v>South West</x:v>
      </x:c>
      <x:c r="F371" t="str">
        <x:v>Store</x:v>
      </x:c>
      <x:c r="G371" t="str">
        <x:v>Electronics</x:v>
      </x:c>
      <x:c r="H371" t="str">
        <x:v>Wireless Headphones</x:v>
      </x:c>
      <x:c r="I371" t="n">
        <x:v>4</x:v>
      </x:c>
      <x:c r="J371" s="4" t="n">
        <x:v>91.23</x:v>
      </x:c>
      <x:c r="K371" s="4" t="n">
        <x:v>48</x:v>
      </x:c>
      <x:c r="L371" s="5" t="n">
        <x:v>0</x:v>
      </x:c>
      <x:c r="M371" s="4" t="n">
        <x:f>ROUND(I371*J371*(1-L371),2)</x:f>
        <x:v>364.92</x:v>
      </x:c>
      <x:c r="N371" s="4" t="n">
        <x:f>ROUND(I371*K371,2)</x:f>
        <x:v>192</x:v>
      </x:c>
      <x:c r="O371" s="4" t="n">
        <x:f>ROUND(M371-N371,2)</x:f>
        <x:v>172.92</x:v>
      </x:c>
      <x:c r="P371" s="6" t="n">
        <x:v>3.5</x:v>
      </x:c>
      <x:c r="Q371" t="str">
        <x:v>No</x:v>
      </x:c>
    </x:row>
    <x:row r="372">
      <x:c r="A372" t="str">
        <x:v>ORD-01285</x:v>
      </x:c>
      <x:c r="B372" s="3" t="n">
        <x:v>45441.387108310184</x:v>
      </x:c>
      <x:c r="C372" t="str">
        <x:v>2024-05</x:v>
      </x:c>
      <x:c r="D372" t="str">
        <x:v>CUS-0385</x:v>
      </x:c>
      <x:c r="E372" t="str">
        <x:v>North East</x:v>
      </x:c>
      <x:c r="F372" t="str">
        <x:v>Online</x:v>
      </x:c>
      <x:c r="G372" t="str">
        <x:v>Sports</x:v>
      </x:c>
      <x:c r="H372" t="str">
        <x:v>Running Shoes</x:v>
      </x:c>
      <x:c r="I372" t="n">
        <x:v>4</x:v>
      </x:c>
      <x:c r="J372" s="4" t="n">
        <x:v>76.27</x:v>
      </x:c>
      <x:c r="K372" s="4" t="n">
        <x:v>38</x:v>
      </x:c>
      <x:c r="L372" s="5" t="n">
        <x:v>0</x:v>
      </x:c>
      <x:c r="M372" s="4" t="n">
        <x:f>ROUND(I372*J372*(1-L372),2)</x:f>
        <x:v>305.08</x:v>
      </x:c>
      <x:c r="N372" s="4" t="n">
        <x:f>ROUND(I372*K372,2)</x:f>
        <x:v>152</x:v>
      </x:c>
      <x:c r="O372" s="4" t="n">
        <x:f>ROUND(M372-N372,2)</x:f>
        <x:v>153.08</x:v>
      </x:c>
      <x:c r="P372" s="6" t="n">
        <x:v>4.6</x:v>
      </x:c>
      <x:c r="Q372" t="str">
        <x:v>No</x:v>
      </x:c>
    </x:row>
    <x:row r="373">
      <x:c r="A373" t="str">
        <x:v>ORD-00222</x:v>
      </x:c>
      <x:c r="B373" s="3" t="n">
        <x:v>45441.88904652778</x:v>
      </x:c>
      <x:c r="C373" t="str">
        <x:v>2024-05</x:v>
      </x:c>
      <x:c r="D373" t="str">
        <x:v>CUS-0499</x:v>
      </x:c>
      <x:c r="E373" t="str">
        <x:v>Midlands</x:v>
      </x:c>
      <x:c r="F373" t="str">
        <x:v>Store</x:v>
      </x:c>
      <x:c r="G373" t="str">
        <x:v>Books</x:v>
      </x:c>
      <x:c r="H373" t="str">
        <x:v>Data Analytics Handbook</x:v>
      </x:c>
      <x:c r="I373" t="n">
        <x:v>4</x:v>
      </x:c>
      <x:c r="J373" s="4" t="n">
        <x:v>39.43</x:v>
      </x:c>
      <x:c r="K373" s="4" t="n">
        <x:v>14</x:v>
      </x:c>
      <x:c r="L373" s="5" t="n">
        <x:v>0.1</x:v>
      </x:c>
      <x:c r="M373" s="4" t="n">
        <x:f>ROUND(I373*J373*(1-L373),2)</x:f>
        <x:v>141.95</x:v>
      </x:c>
      <x:c r="N373" s="4" t="n">
        <x:f>ROUND(I373*K373,2)</x:f>
        <x:v>56</x:v>
      </x:c>
      <x:c r="O373" s="4" t="n">
        <x:f>ROUND(M373-N373,2)</x:f>
        <x:v>85.95</x:v>
      </x:c>
      <x:c r="P373" s="6" t="n">
        <x:v>4.2</x:v>
      </x:c>
      <x:c r="Q373" t="str">
        <x:v>No</x:v>
      </x:c>
    </x:row>
    <x:row r="374">
      <x:c r="A374" t="str">
        <x:v>ORD-01605</x:v>
      </x:c>
      <x:c r="B374" s="3" t="n">
        <x:v>45442.13683131945</x:v>
      </x:c>
      <x:c r="C374" t="str">
        <x:v>2024-05</x:v>
      </x:c>
      <x:c r="D374" t="str">
        <x:v>CUS-0259</x:v>
      </x:c>
      <x:c r="E374" t="str">
        <x:v>Midlands</x:v>
      </x:c>
      <x:c r="F374" t="str">
        <x:v>Marketplace</x:v>
      </x:c>
      <x:c r="G374" t="str">
        <x:v>Books</x:v>
      </x:c>
      <x:c r="H374" t="str">
        <x:v>Data Analytics Handbook</x:v>
      </x:c>
      <x:c r="I374" t="n">
        <x:v>5</x:v>
      </x:c>
      <x:c r="J374" s="4" t="n">
        <x:v>40.08</x:v>
      </x:c>
      <x:c r="K374" s="4" t="n">
        <x:v>14</x:v>
      </x:c>
      <x:c r="L374" s="5" t="n">
        <x:v>0.15</x:v>
      </x:c>
      <x:c r="M374" s="4" t="n">
        <x:f>ROUND(I374*J374*(1-L374),2)</x:f>
        <x:v>170.34</x:v>
      </x:c>
      <x:c r="N374" s="4" t="n">
        <x:f>ROUND(I374*K374,2)</x:f>
        <x:v>70</x:v>
      </x:c>
      <x:c r="O374" s="4" t="n">
        <x:f>ROUND(M374-N374,2)</x:f>
        <x:v>100.34</x:v>
      </x:c>
      <x:c r="P374" s="6" t="n">
        <x:v>4.6</x:v>
      </x:c>
      <x:c r="Q374" t="str">
        <x:v>No</x:v>
      </x:c>
    </x:row>
    <x:row r="375">
      <x:c r="A375" t="str">
        <x:v>ORD-01240</x:v>
      </x:c>
      <x:c r="B375" s="3" t="n">
        <x:v>45442.414036608796</x:v>
      </x:c>
      <x:c r="C375" t="str">
        <x:v>2024-05</x:v>
      </x:c>
      <x:c r="D375" t="str">
        <x:v>CUS-0507</x:v>
      </x:c>
      <x:c r="E375" t="str">
        <x:v>South East</x:v>
      </x:c>
      <x:c r="F375" t="str">
        <x:v>Store</x:v>
      </x:c>
      <x:c r="G375" t="str">
        <x:v>Books</x:v>
      </x:c>
      <x:c r="H375" t="str">
        <x:v>Business Intelligence Guide</x:v>
      </x:c>
      <x:c r="I375" t="n">
        <x:v>2</x:v>
      </x:c>
      <x:c r="J375" s="4" t="n">
        <x:v>33.48</x:v>
      </x:c>
      <x:c r="K375" s="4" t="n">
        <x:v>12</x:v>
      </x:c>
      <x:c r="L375" s="5" t="n">
        <x:v>0</x:v>
      </x:c>
      <x:c r="M375" s="4" t="n">
        <x:f>ROUND(I375*J375*(1-L375),2)</x:f>
        <x:v>66.96</x:v>
      </x:c>
      <x:c r="N375" s="4" t="n">
        <x:f>ROUND(I375*K375,2)</x:f>
        <x:v>24</x:v>
      </x:c>
      <x:c r="O375" s="4" t="n">
        <x:f>ROUND(M375-N375,2)</x:f>
        <x:v>42.96</x:v>
      </x:c>
      <x:c r="P375" s="6" t="n">
        <x:v>4.2</x:v>
      </x:c>
      <x:c r="Q375" t="str">
        <x:v>Yes</x:v>
      </x:c>
    </x:row>
    <x:row r="376">
      <x:c r="A376" t="str">
        <x:v>ORD-01118</x:v>
      </x:c>
      <x:c r="B376" s="3" t="n">
        <x:v>45443.18146537037</x:v>
      </x:c>
      <x:c r="C376" t="str">
        <x:v>2024-05</x:v>
      </x:c>
      <x:c r="D376" t="str">
        <x:v>CUS-0375</x:v>
      </x:c>
      <x:c r="E376" t="str">
        <x:v>North East</x:v>
      </x:c>
      <x:c r="F376" t="str">
        <x:v>Online</x:v>
      </x:c>
      <x:c r="G376" t="str">
        <x:v>Beauty</x:v>
      </x:c>
      <x:c r="H376" t="str">
        <x:v>Hair Dryer</x:v>
      </x:c>
      <x:c r="I376" t="n">
        <x:v>2</x:v>
      </x:c>
      <x:c r="J376" s="4" t="n">
        <x:v>60.72</x:v>
      </x:c>
      <x:c r="K376" s="4" t="n">
        <x:v>29</x:v>
      </x:c>
      <x:c r="L376" s="5" t="n">
        <x:v>0</x:v>
      </x:c>
      <x:c r="M376" s="4" t="n">
        <x:f>ROUND(I376*J376*(1-L376),2)</x:f>
        <x:v>121.44</x:v>
      </x:c>
      <x:c r="N376" s="4" t="n">
        <x:f>ROUND(I376*K376,2)</x:f>
        <x:v>58</x:v>
      </x:c>
      <x:c r="O376" s="4" t="n">
        <x:f>ROUND(M376-N376,2)</x:f>
        <x:v>63.44</x:v>
      </x:c>
      <x:c r="P376" s="6" t="n">
        <x:v>4.4</x:v>
      </x:c>
      <x:c r="Q376" t="str">
        <x:v>No</x:v>
      </x:c>
    </x:row>
    <x:row r="377">
      <x:c r="A377" t="str">
        <x:v>ORD-00577</x:v>
      </x:c>
      <x:c r="B377" s="3" t="n">
        <x:v>45443.191230613425</x:v>
      </x:c>
      <x:c r="C377" t="str">
        <x:v>2024-05</x:v>
      </x:c>
      <x:c r="D377" t="str">
        <x:v>CUS-0252</x:v>
      </x:c>
      <x:c r="E377" t="str">
        <x:v>Wales</x:v>
      </x:c>
      <x:c r="F377" t="str">
        <x:v>Marketplace</x:v>
      </x:c>
      <x:c r="G377" t="str">
        <x:v>Electronics</x:v>
      </x:c>
      <x:c r="H377" t="str">
        <x:v>Bluetooth Speaker</x:v>
      </x:c>
      <x:c r="I377" t="n">
        <x:v>3</x:v>
      </x:c>
      <x:c r="J377" s="4" t="n">
        <x:v>64.08</x:v>
      </x:c>
      <x:c r="K377" s="4" t="n">
        <x:v>34</x:v>
      </x:c>
      <x:c r="L377" s="5" t="n">
        <x:v>0.1</x:v>
      </x:c>
      <x:c r="M377" s="4" t="n">
        <x:f>ROUND(I377*J377*(1-L377),2)</x:f>
        <x:v>173.02</x:v>
      </x:c>
      <x:c r="N377" s="4" t="n">
        <x:f>ROUND(I377*K377,2)</x:f>
        <x:v>102</x:v>
      </x:c>
      <x:c r="O377" s="4" t="n">
        <x:f>ROUND(M377-N377,2)</x:f>
        <x:v>71.02</x:v>
      </x:c>
      <x:c r="P377" s="6" t="n">
        <x:v>4.7</x:v>
      </x:c>
      <x:c r="Q377" t="str">
        <x:v>No</x:v>
      </x:c>
    </x:row>
    <x:row r="378">
      <x:c r="A378" t="str">
        <x:v>ORD-01483</x:v>
      </x:c>
      <x:c r="B378" s="3" t="n">
        <x:v>45443.32244261574</x:v>
      </x:c>
      <x:c r="C378" t="str">
        <x:v>2024-05</x:v>
      </x:c>
      <x:c r="D378" t="str">
        <x:v>CUS-0510</x:v>
      </x:c>
      <x:c r="E378" t="str">
        <x:v>Scotland</x:v>
      </x:c>
      <x:c r="F378" t="str">
        <x:v>Marketplace</x:v>
      </x:c>
      <x:c r="G378" t="str">
        <x:v>Home</x:v>
      </x:c>
      <x:c r="H378" t="str">
        <x:v>Desk Lamp</x:v>
      </x:c>
      <x:c r="I378" t="n">
        <x:v>4</x:v>
      </x:c>
      <x:c r="J378" s="4" t="n">
        <x:v>35.17</x:v>
      </x:c>
      <x:c r="K378" s="4" t="n">
        <x:v>17</x:v>
      </x:c>
      <x:c r="L378" s="5" t="n">
        <x:v>0</x:v>
      </x:c>
      <x:c r="M378" s="4" t="n">
        <x:f>ROUND(I378*J378*(1-L378),2)</x:f>
        <x:v>140.68</x:v>
      </x:c>
      <x:c r="N378" s="4" t="n">
        <x:f>ROUND(I378*K378,2)</x:f>
        <x:v>68</x:v>
      </x:c>
      <x:c r="O378" s="4" t="n">
        <x:f>ROUND(M378-N378,2)</x:f>
        <x:v>72.68</x:v>
      </x:c>
      <x:c r="P378" s="6" t="n">
        <x:v>4.6</x:v>
      </x:c>
      <x:c r="Q378" t="str">
        <x:v>No</x:v>
      </x:c>
    </x:row>
    <x:row r="379">
      <x:c r="A379" t="str">
        <x:v>ORD-00228</x:v>
      </x:c>
      <x:c r="B379" s="3" t="n">
        <x:v>45443.48389876157</x:v>
      </x:c>
      <x:c r="C379" t="str">
        <x:v>2024-05</x:v>
      </x:c>
      <x:c r="D379" t="str">
        <x:v>CUS-0515</x:v>
      </x:c>
      <x:c r="E379" t="str">
        <x:v>North West</x:v>
      </x:c>
      <x:c r="F379" t="str">
        <x:v>Store</x:v>
      </x:c>
      <x:c r="G379" t="str">
        <x:v>Sports</x:v>
      </x:c>
      <x:c r="H379" t="str">
        <x:v>Yoga Mat</x:v>
      </x:c>
      <x:c r="I379" t="n">
        <x:v>5</x:v>
      </x:c>
      <x:c r="J379" s="4" t="n">
        <x:v>30.01</x:v>
      </x:c>
      <x:c r="K379" s="4" t="n">
        <x:v>12</x:v>
      </x:c>
      <x:c r="L379" s="5" t="n">
        <x:v>0</x:v>
      </x:c>
      <x:c r="M379" s="4" t="n">
        <x:f>ROUND(I379*J379*(1-L379),2)</x:f>
        <x:v>150.05</x:v>
      </x:c>
      <x:c r="N379" s="4" t="n">
        <x:f>ROUND(I379*K379,2)</x:f>
        <x:v>60</x:v>
      </x:c>
      <x:c r="O379" s="4" t="n">
        <x:f>ROUND(M379-N379,2)</x:f>
        <x:v>90.05</x:v>
      </x:c>
      <x:c r="P379" s="6" t="n">
        <x:v>3.2</x:v>
      </x:c>
      <x:c r="Q379" t="str">
        <x:v>No</x:v>
      </x:c>
    </x:row>
    <x:row r="380">
      <x:c r="A380" t="str">
        <x:v>ORD-00137</x:v>
      </x:c>
      <x:c r="B380" s="3" t="n">
        <x:v>45445.54380721065</x:v>
      </x:c>
      <x:c r="C380" t="str">
        <x:v>2024-06</x:v>
      </x:c>
      <x:c r="D380" t="str">
        <x:v>CUS-0453</x:v>
      </x:c>
      <x:c r="E380" t="str">
        <x:v>London</x:v>
      </x:c>
      <x:c r="F380" t="str">
        <x:v>Store</x:v>
      </x:c>
      <x:c r="G380" t="str">
        <x:v>Sports</x:v>
      </x:c>
      <x:c r="H380" t="str">
        <x:v>Running Shoes</x:v>
      </x:c>
      <x:c r="I380" t="n">
        <x:v>4</x:v>
      </x:c>
      <x:c r="J380" s="4" t="n">
        <x:v>80.6</x:v>
      </x:c>
      <x:c r="K380" s="4" t="n">
        <x:v>38</x:v>
      </x:c>
      <x:c r="L380" s="5" t="n">
        <x:v>0</x:v>
      </x:c>
      <x:c r="M380" s="4" t="n">
        <x:f>ROUND(I380*J380*(1-L380),2)</x:f>
        <x:v>322.4</x:v>
      </x:c>
      <x:c r="N380" s="4" t="n">
        <x:f>ROUND(I380*K380,2)</x:f>
        <x:v>152</x:v>
      </x:c>
      <x:c r="O380" s="4" t="n">
        <x:f>ROUND(M380-N380,2)</x:f>
        <x:v>170.4</x:v>
      </x:c>
      <x:c r="P380" s="6" t="n">
        <x:v>4.8</x:v>
      </x:c>
      <x:c r="Q380" t="str">
        <x:v>No</x:v>
      </x:c>
    </x:row>
    <x:row r="381">
      <x:c r="A381" t="str">
        <x:v>ORD-01560</x:v>
      </x:c>
      <x:c r="B381" s="3" t="n">
        <x:v>45446.1334990625</x:v>
      </x:c>
      <x:c r="C381" t="str">
        <x:v>2024-06</x:v>
      </x:c>
      <x:c r="D381" t="str">
        <x:v>CUS-0207</x:v>
      </x:c>
      <x:c r="E381" t="str">
        <x:v>Midlands</x:v>
      </x:c>
      <x:c r="F381" t="str">
        <x:v>Store</x:v>
      </x:c>
      <x:c r="G381" t="str">
        <x:v>Electronics</x:v>
      </x:c>
      <x:c r="H381" t="str">
        <x:v>Wireless Headphones</x:v>
      </x:c>
      <x:c r="I381" t="n">
        <x:v>1</x:v>
      </x:c>
      <x:c r="J381" s="4" t="n">
        <x:v>89.55</x:v>
      </x:c>
      <x:c r="K381" s="4" t="n">
        <x:v>48</x:v>
      </x:c>
      <x:c r="L381" s="5" t="n">
        <x:v>0.05</x:v>
      </x:c>
      <x:c r="M381" s="4" t="n">
        <x:f>ROUND(I381*J381*(1-L381),2)</x:f>
        <x:v>85.07</x:v>
      </x:c>
      <x:c r="N381" s="4" t="n">
        <x:f>ROUND(I381*K381,2)</x:f>
        <x:v>48</x:v>
      </x:c>
      <x:c r="O381" s="4" t="n">
        <x:f>ROUND(M381-N381,2)</x:f>
        <x:v>37.07</x:v>
      </x:c>
      <x:c r="P381" s="6" t="n">
        <x:v>3.5</x:v>
      </x:c>
      <x:c r="Q381" t="str">
        <x:v>No</x:v>
      </x:c>
    </x:row>
    <x:row r="382">
      <x:c r="A382" t="str">
        <x:v>ORD-00526</x:v>
      </x:c>
      <x:c r="B382" s="3" t="n">
        <x:v>45446.747457708334</x:v>
      </x:c>
      <x:c r="C382" t="str">
        <x:v>2024-06</x:v>
      </x:c>
      <x:c r="D382" t="str">
        <x:v>CUS-0508</x:v>
      </x:c>
      <x:c r="E382" t="str">
        <x:v>Scotland</x:v>
      </x:c>
      <x:c r="F382" t="str">
        <x:v>Store</x:v>
      </x:c>
      <x:c r="G382" t="str">
        <x:v>Books</x:v>
      </x:c>
      <x:c r="H382" t="str">
        <x:v>Business Intelligence Guide</x:v>
      </x:c>
      <x:c r="I382" t="n">
        <x:v>3</x:v>
      </x:c>
      <x:c r="J382" s="4" t="n">
        <x:v>34.29</x:v>
      </x:c>
      <x:c r="K382" s="4" t="n">
        <x:v>12</x:v>
      </x:c>
      <x:c r="L382" s="5" t="n">
        <x:v>0</x:v>
      </x:c>
      <x:c r="M382" s="4" t="n">
        <x:f>ROUND(I382*J382*(1-L382),2)</x:f>
        <x:v>102.87</x:v>
      </x:c>
      <x:c r="N382" s="4" t="n">
        <x:f>ROUND(I382*K382,2)</x:f>
        <x:v>36</x:v>
      </x:c>
      <x:c r="O382" s="4" t="n">
        <x:f>ROUND(M382-N382,2)</x:f>
        <x:v>66.87</x:v>
      </x:c>
      <x:c r="P382" s="6" t="n">
        <x:v>4.4</x:v>
      </x:c>
      <x:c r="Q382" t="str">
        <x:v>No</x:v>
      </x:c>
    </x:row>
    <x:row r="383">
      <x:c r="A383" t="str">
        <x:v>ORD-01149</x:v>
      </x:c>
      <x:c r="B383" s="3" t="n">
        <x:v>45446.93661362268</x:v>
      </x:c>
      <x:c r="C383" t="str">
        <x:v>2024-06</x:v>
      </x:c>
      <x:c r="D383" t="str">
        <x:v>CUS-0493</x:v>
      </x:c>
      <x:c r="E383" t="str">
        <x:v>London</x:v>
      </x:c>
      <x:c r="F383" t="str">
        <x:v>Store</x:v>
      </x:c>
      <x:c r="G383" t="str">
        <x:v>Home</x:v>
      </x:c>
      <x:c r="H383" t="str">
        <x:v>Coffee Maker</x:v>
      </x:c>
      <x:c r="I383" t="n">
        <x:v>5</x:v>
      </x:c>
      <x:c r="J383" s="4" t="n">
        <x:v>77.9</x:v>
      </x:c>
      <x:c r="K383" s="4" t="n">
        <x:v>41</x:v>
      </x:c>
      <x:c r="L383" s="5" t="n">
        <x:v>0.05</x:v>
      </x:c>
      <x:c r="M383" s="4" t="n">
        <x:f>ROUND(I383*J383*(1-L383),2)</x:f>
        <x:v>370.03</x:v>
      </x:c>
      <x:c r="N383" s="4" t="n">
        <x:f>ROUND(I383*K383,2)</x:f>
        <x:v>205</x:v>
      </x:c>
      <x:c r="O383" s="4" t="n">
        <x:f>ROUND(M383-N383,2)</x:f>
        <x:v>165.03</x:v>
      </x:c>
      <x:c r="P383" s="6" t="n">
        <x:v>3.6</x:v>
      </x:c>
      <x:c r="Q383" t="str">
        <x:v>No</x:v>
      </x:c>
    </x:row>
    <x:row r="384">
      <x:c r="A384" t="str">
        <x:v>ORD-00777</x:v>
      </x:c>
      <x:c r="B384" s="3" t="n">
        <x:v>45447.52361899306</x:v>
      </x:c>
      <x:c r="C384" t="str">
        <x:v>2024-06</x:v>
      </x:c>
      <x:c r="D384" t="str">
        <x:v>CUS-0265</x:v>
      </x:c>
      <x:c r="E384" t="str">
        <x:v>South East</x:v>
      </x:c>
      <x:c r="F384" t="str">
        <x:v>Marketplace</x:v>
      </x:c>
      <x:c r="G384" t="str">
        <x:v>Fashion</x:v>
      </x:c>
      <x:c r="H384" t="str">
        <x:v>Classic Trainers</x:v>
      </x:c>
      <x:c r="I384" t="n">
        <x:v>3</x:v>
      </x:c>
      <x:c r="J384" s="4" t="n">
        <x:v>71.27</x:v>
      </x:c>
      <x:c r="K384" s="4" t="n">
        <x:v>32</x:v>
      </x:c>
      <x:c r="L384" s="5" t="n">
        <x:v>0</x:v>
      </x:c>
      <x:c r="M384" s="4" t="n">
        <x:f>ROUND(I384*J384*(1-L384),2)</x:f>
        <x:v>213.81</x:v>
      </x:c>
      <x:c r="N384" s="4" t="n">
        <x:f>ROUND(I384*K384,2)</x:f>
        <x:v>96</x:v>
      </x:c>
      <x:c r="O384" s="4" t="n">
        <x:f>ROUND(M384-N384,2)</x:f>
        <x:v>117.81</x:v>
      </x:c>
      <x:c r="P384" s="6" t="n">
        <x:v>4</x:v>
      </x:c>
      <x:c r="Q384" t="str">
        <x:v>No</x:v>
      </x:c>
    </x:row>
    <x:row r="385">
      <x:c r="A385" t="str">
        <x:v>ORD-01571</x:v>
      </x:c>
      <x:c r="B385" s="3" t="n">
        <x:v>45447.72710885417</x:v>
      </x:c>
      <x:c r="C385" t="str">
        <x:v>2024-06</x:v>
      </x:c>
      <x:c r="D385" t="str">
        <x:v>CUS-0298</x:v>
      </x:c>
      <x:c r="E385" t="str">
        <x:v>Scotland</x:v>
      </x:c>
      <x:c r="F385" t="str">
        <x:v>Marketplace</x:v>
      </x:c>
      <x:c r="G385" t="str">
        <x:v>Fashion</x:v>
      </x:c>
      <x:c r="H385" t="str">
        <x:v>Classic Trainers</x:v>
      </x:c>
      <x:c r="I385" t="n">
        <x:v>2</x:v>
      </x:c>
      <x:c r="J385" s="4" t="n">
        <x:v>66.55</x:v>
      </x:c>
      <x:c r="K385" s="4" t="n">
        <x:v>32</x:v>
      </x:c>
      <x:c r="L385" s="5" t="n">
        <x:v>0.15</x:v>
      </x:c>
      <x:c r="M385" s="4" t="n">
        <x:f>ROUND(I385*J385*(1-L385),2)</x:f>
        <x:v>113.14</x:v>
      </x:c>
      <x:c r="N385" s="4" t="n">
        <x:f>ROUND(I385*K385,2)</x:f>
        <x:v>64</x:v>
      </x:c>
      <x:c r="O385" s="4" t="n">
        <x:f>ROUND(M385-N385,2)</x:f>
        <x:v>49.14</x:v>
      </x:c>
      <x:c r="P385" s="6" t="n">
        <x:v>4.8</x:v>
      </x:c>
      <x:c r="Q385" t="str">
        <x:v>No</x:v>
      </x:c>
    </x:row>
    <x:row r="386">
      <x:c r="A386" t="str">
        <x:v>ORD-00982</x:v>
      </x:c>
      <x:c r="B386" s="3" t="n">
        <x:v>45448.46170043982</x:v>
      </x:c>
      <x:c r="C386" t="str">
        <x:v>2024-06</x:v>
      </x:c>
      <x:c r="D386" t="str">
        <x:v>CUS-0480</x:v>
      </x:c>
      <x:c r="E386" t="str">
        <x:v>South East</x:v>
      </x:c>
      <x:c r="F386" t="str">
        <x:v>Store</x:v>
      </x:c>
      <x:c r="G386" t="str">
        <x:v>Fashion</x:v>
      </x:c>
      <x:c r="H386" t="str">
        <x:v>Classic Trainers</x:v>
      </x:c>
      <x:c r="I386" t="n">
        <x:v>2</x:v>
      </x:c>
      <x:c r="J386" s="4" t="n">
        <x:v>67.02</x:v>
      </x:c>
      <x:c r="K386" s="4" t="n">
        <x:v>32</x:v>
      </x:c>
      <x:c r="L386" s="5" t="n">
        <x:v>0.1</x:v>
      </x:c>
      <x:c r="M386" s="4" t="n">
        <x:f>ROUND(I386*J386*(1-L386),2)</x:f>
        <x:v>120.64</x:v>
      </x:c>
      <x:c r="N386" s="4" t="n">
        <x:f>ROUND(I386*K386,2)</x:f>
        <x:v>64</x:v>
      </x:c>
      <x:c r="O386" s="4" t="n">
        <x:f>ROUND(M386-N386,2)</x:f>
        <x:v>56.64</x:v>
      </x:c>
      <x:c r="P386" s="6" t="n">
        <x:v>5</x:v>
      </x:c>
      <x:c r="Q386" t="str">
        <x:v>No</x:v>
      </x:c>
    </x:row>
    <x:row r="387">
      <x:c r="A387" t="str">
        <x:v>ORD-01629</x:v>
      </x:c>
      <x:c r="B387" s="3" t="n">
        <x:v>45448.46985712963</x:v>
      </x:c>
      <x:c r="C387" t="str">
        <x:v>2024-06</x:v>
      </x:c>
      <x:c r="D387" t="str">
        <x:v>CUS-0150</x:v>
      </x:c>
      <x:c r="E387" t="str">
        <x:v>South West</x:v>
      </x:c>
      <x:c r="F387" t="str">
        <x:v>Marketplace</x:v>
      </x:c>
      <x:c r="G387" t="str">
        <x:v>Home</x:v>
      </x:c>
      <x:c r="H387" t="str">
        <x:v>Air Fryer</x:v>
      </x:c>
      <x:c r="I387" t="n">
        <x:v>1</x:v>
      </x:c>
      <x:c r="J387" s="4" t="n">
        <x:v>119.88</x:v>
      </x:c>
      <x:c r="K387" s="4" t="n">
        <x:v>69</x:v>
      </x:c>
      <x:c r="L387" s="5" t="n">
        <x:v>0.15</x:v>
      </x:c>
      <x:c r="M387" s="4" t="n">
        <x:f>ROUND(I387*J387*(1-L387),2)</x:f>
        <x:v>101.9</x:v>
      </x:c>
      <x:c r="N387" s="4" t="n">
        <x:f>ROUND(I387*K387,2)</x:f>
        <x:v>69</x:v>
      </x:c>
      <x:c r="O387" s="4" t="n">
        <x:f>ROUND(M387-N387,2)</x:f>
        <x:v>32.9</x:v>
      </x:c>
      <x:c r="P387" s="6" t="n">
        <x:v>4.6</x:v>
      </x:c>
      <x:c r="Q387" t="str">
        <x:v>No</x:v>
      </x:c>
    </x:row>
    <x:row r="388">
      <x:c r="A388" t="str">
        <x:v>ORD-00680</x:v>
      </x:c>
      <x:c r="B388" s="3" t="n">
        <x:v>45448.790266516204</x:v>
      </x:c>
      <x:c r="C388" t="str">
        <x:v>2024-06</x:v>
      </x:c>
      <x:c r="D388" t="str">
        <x:v>CUS-0500</x:v>
      </x:c>
      <x:c r="E388" t="str">
        <x:v>Wales</x:v>
      </x:c>
      <x:c r="F388" t="str">
        <x:v>Marketplace</x:v>
      </x:c>
      <x:c r="G388" t="str">
        <x:v>Books</x:v>
      </x:c>
      <x:c r="H388" t="str">
        <x:v>Data Analytics Handbook</x:v>
      </x:c>
      <x:c r="I388" t="n">
        <x:v>5</x:v>
      </x:c>
      <x:c r="J388" s="4" t="n">
        <x:v>39.19</x:v>
      </x:c>
      <x:c r="K388" s="4" t="n">
        <x:v>14</x:v>
      </x:c>
      <x:c r="L388" s="5" t="n">
        <x:v>0.1</x:v>
      </x:c>
      <x:c r="M388" s="4" t="n">
        <x:f>ROUND(I388*J388*(1-L388),2)</x:f>
        <x:v>176.36</x:v>
      </x:c>
      <x:c r="N388" s="4" t="n">
        <x:f>ROUND(I388*K388,2)</x:f>
        <x:v>70</x:v>
      </x:c>
      <x:c r="O388" s="4" t="n">
        <x:f>ROUND(M388-N388,2)</x:f>
        <x:v>106.36</x:v>
      </x:c>
      <x:c r="P388" s="6" t="n">
        <x:v>5</x:v>
      </x:c>
      <x:c r="Q388" t="str">
        <x:v>No</x:v>
      </x:c>
    </x:row>
    <x:row r="389">
      <x:c r="A389" t="str">
        <x:v>ORD-01226</x:v>
      </x:c>
      <x:c r="B389" s="3" t="n">
        <x:v>45448.95661667824</x:v>
      </x:c>
      <x:c r="C389" t="str">
        <x:v>2024-06</x:v>
      </x:c>
      <x:c r="D389" t="str">
        <x:v>CUS-0059</x:v>
      </x:c>
      <x:c r="E389" t="str">
        <x:v>South West</x:v>
      </x:c>
      <x:c r="F389" t="str">
        <x:v>Store</x:v>
      </x:c>
      <x:c r="G389" t="str">
        <x:v>Home</x:v>
      </x:c>
      <x:c r="H389" t="str">
        <x:v>Coffee Maker</x:v>
      </x:c>
      <x:c r="I389" t="n">
        <x:v>5</x:v>
      </x:c>
      <x:c r="J389" s="4" t="n">
        <x:v>72.04</x:v>
      </x:c>
      <x:c r="K389" s="4" t="n">
        <x:v>41</x:v>
      </x:c>
      <x:c r="L389" s="5" t="n">
        <x:v>0</x:v>
      </x:c>
      <x:c r="M389" s="4" t="n">
        <x:f>ROUND(I389*J389*(1-L389),2)</x:f>
        <x:v>360.2</x:v>
      </x:c>
      <x:c r="N389" s="4" t="n">
        <x:f>ROUND(I389*K389,2)</x:f>
        <x:v>205</x:v>
      </x:c>
      <x:c r="O389" s="4" t="n">
        <x:f>ROUND(M389-N389,2)</x:f>
        <x:v>155.2</x:v>
      </x:c>
      <x:c r="P389" s="6" t="n">
        <x:v>4</x:v>
      </x:c>
      <x:c r="Q389" t="str">
        <x:v>No</x:v>
      </x:c>
    </x:row>
    <x:row r="390">
      <x:c r="A390" t="str">
        <x:v>ORD-00716</x:v>
      </x:c>
      <x:c r="B390" s="3" t="n">
        <x:v>45449.12335844908</x:v>
      </x:c>
      <x:c r="C390" t="str">
        <x:v>2024-06</x:v>
      </x:c>
      <x:c r="D390" t="str">
        <x:v>CUS-0306</x:v>
      </x:c>
      <x:c r="E390" t="str">
        <x:v>London</x:v>
      </x:c>
      <x:c r="F390" t="str">
        <x:v>Store</x:v>
      </x:c>
      <x:c r="G390" t="str">
        <x:v>Sports</x:v>
      </x:c>
      <x:c r="H390" t="str">
        <x:v>Running Shoes</x:v>
      </x:c>
      <x:c r="I390" t="n">
        <x:v>5</x:v>
      </x:c>
      <x:c r="J390" s="4" t="n">
        <x:v>77.57</x:v>
      </x:c>
      <x:c r="K390" s="4" t="n">
        <x:v>38</x:v>
      </x:c>
      <x:c r="L390" s="5" t="n">
        <x:v>0</x:v>
      </x:c>
      <x:c r="M390" s="4" t="n">
        <x:f>ROUND(I390*J390*(1-L390),2)</x:f>
        <x:v>387.85</x:v>
      </x:c>
      <x:c r="N390" s="4" t="n">
        <x:f>ROUND(I390*K390,2)</x:f>
        <x:v>190</x:v>
      </x:c>
      <x:c r="O390" s="4" t="n">
        <x:f>ROUND(M390-N390,2)</x:f>
        <x:v>197.85</x:v>
      </x:c>
      <x:c r="P390" s="6" t="n">
        <x:v>4.1</x:v>
      </x:c>
      <x:c r="Q390" t="str">
        <x:v>No</x:v>
      </x:c>
    </x:row>
    <x:row r="391">
      <x:c r="A391" t="str">
        <x:v>ORD-00411</x:v>
      </x:c>
      <x:c r="B391" s="3" t="n">
        <x:v>45450.09493074074</x:v>
      </x:c>
      <x:c r="C391" t="str">
        <x:v>2024-06</x:v>
      </x:c>
      <x:c r="D391" t="str">
        <x:v>CUS-0063</x:v>
      </x:c>
      <x:c r="E391" t="str">
        <x:v>Wales</x:v>
      </x:c>
      <x:c r="F391" t="str">
        <x:v>Store</x:v>
      </x:c>
      <x:c r="G391" t="str">
        <x:v>Fashion</x:v>
      </x:c>
      <x:c r="H391" t="str">
        <x:v>Classic Trainers</x:v>
      </x:c>
      <x:c r="I391" t="n">
        <x:v>2</x:v>
      </x:c>
      <x:c r="J391" s="4" t="n">
        <x:v>69.59</x:v>
      </x:c>
      <x:c r="K391" s="4" t="n">
        <x:v>32</x:v>
      </x:c>
      <x:c r="L391" s="5" t="n">
        <x:v>0.2</x:v>
      </x:c>
      <x:c r="M391" s="4" t="n">
        <x:f>ROUND(I391*J391*(1-L391),2)</x:f>
        <x:v>111.34</x:v>
      </x:c>
      <x:c r="N391" s="4" t="n">
        <x:f>ROUND(I391*K391,2)</x:f>
        <x:v>64</x:v>
      </x:c>
      <x:c r="O391" s="4" t="n">
        <x:f>ROUND(M391-N391,2)</x:f>
        <x:v>47.34</x:v>
      </x:c>
      <x:c r="P391" s="6" t="n">
        <x:v>3.6</x:v>
      </x:c>
      <x:c r="Q391" t="str">
        <x:v>Yes</x:v>
      </x:c>
    </x:row>
    <x:row r="392">
      <x:c r="A392" t="str">
        <x:v>ORD-00536</x:v>
      </x:c>
      <x:c r="B392" s="3" t="n">
        <x:v>45450.53859225695</x:v>
      </x:c>
      <x:c r="C392" t="str">
        <x:v>2024-06</x:v>
      </x:c>
      <x:c r="D392" t="str">
        <x:v>CUS-0469</x:v>
      </x:c>
      <x:c r="E392" t="str">
        <x:v>South West</x:v>
      </x:c>
      <x:c r="F392" t="str">
        <x:v>Store</x:v>
      </x:c>
      <x:c r="G392" t="str">
        <x:v>Home</x:v>
      </x:c>
      <x:c r="H392" t="str">
        <x:v>Desk Lamp</x:v>
      </x:c>
      <x:c r="I392" t="n">
        <x:v>3</x:v>
      </x:c>
      <x:c r="J392" s="4" t="n">
        <x:v>36.37</x:v>
      </x:c>
      <x:c r="K392" s="4" t="n">
        <x:v>17</x:v>
      </x:c>
      <x:c r="L392" s="5" t="n">
        <x:v>0</x:v>
      </x:c>
      <x:c r="M392" s="4" t="n">
        <x:f>ROUND(I392*J392*(1-L392),2)</x:f>
        <x:v>109.11</x:v>
      </x:c>
      <x:c r="N392" s="4" t="n">
        <x:f>ROUND(I392*K392,2)</x:f>
        <x:v>51</x:v>
      </x:c>
      <x:c r="O392" s="4" t="n">
        <x:f>ROUND(M392-N392,2)</x:f>
        <x:v>58.11</x:v>
      </x:c>
      <x:c r="P392" s="6" t="n">
        <x:v>4</x:v>
      </x:c>
      <x:c r="Q392" t="str">
        <x:v>No</x:v>
      </x:c>
    </x:row>
    <x:row r="393">
      <x:c r="A393" t="str">
        <x:v>ORD-00832</x:v>
      </x:c>
      <x:c r="B393" s="3" t="n">
        <x:v>45450.768737604165</x:v>
      </x:c>
      <x:c r="C393" t="str">
        <x:v>2024-06</x:v>
      </x:c>
      <x:c r="D393" t="str">
        <x:v>CUS-0300</x:v>
      </x:c>
      <x:c r="E393" t="str">
        <x:v>London</x:v>
      </x:c>
      <x:c r="F393" t="str">
        <x:v>Online</x:v>
      </x:c>
      <x:c r="G393" t="str">
        <x:v>Electronics</x:v>
      </x:c>
      <x:c r="H393" t="str">
        <x:v>Bluetooth Speaker</x:v>
      </x:c>
      <x:c r="I393" t="n">
        <x:v>1</x:v>
      </x:c>
      <x:c r="J393" s="4" t="n">
        <x:v>64.48</x:v>
      </x:c>
      <x:c r="K393" s="4" t="n">
        <x:v>34</x:v>
      </x:c>
      <x:c r="L393" s="5" t="n">
        <x:v>0.2</x:v>
      </x:c>
      <x:c r="M393" s="4" t="n">
        <x:f>ROUND(I393*J393*(1-L393),2)</x:f>
        <x:v>51.58</x:v>
      </x:c>
      <x:c r="N393" s="4" t="n">
        <x:f>ROUND(I393*K393,2)</x:f>
        <x:v>34</x:v>
      </x:c>
      <x:c r="O393" s="4" t="n">
        <x:f>ROUND(M393-N393,2)</x:f>
        <x:v>17.58</x:v>
      </x:c>
      <x:c r="P393" s="6" t="n">
        <x:v>4</x:v>
      </x:c>
      <x:c r="Q393" t="str">
        <x:v>No</x:v>
      </x:c>
    </x:row>
    <x:row r="394">
      <x:c r="A394" t="str">
        <x:v>ORD-00609</x:v>
      </x:c>
      <x:c r="B394" s="3" t="n">
        <x:v>45451.76707553241</x:v>
      </x:c>
      <x:c r="C394" t="str">
        <x:v>2024-06</x:v>
      </x:c>
      <x:c r="D394" t="str">
        <x:v>CUS-0050</x:v>
      </x:c>
      <x:c r="E394" t="str">
        <x:v>Scotland</x:v>
      </x:c>
      <x:c r="F394" t="str">
        <x:v>Store</x:v>
      </x:c>
      <x:c r="G394" t="str">
        <x:v>Sports</x:v>
      </x:c>
      <x:c r="H394" t="str">
        <x:v>Fitness Tracker</x:v>
      </x:c>
      <x:c r="I394" t="n">
        <x:v>2</x:v>
      </x:c>
      <x:c r="J394" s="4" t="n">
        <x:v>56.95</x:v>
      </x:c>
      <x:c r="K394" s="4" t="n">
        <x:v>27</x:v>
      </x:c>
      <x:c r="L394" s="5" t="n">
        <x:v>0.2</x:v>
      </x:c>
      <x:c r="M394" s="4" t="n">
        <x:f>ROUND(I394*J394*(1-L394),2)</x:f>
        <x:v>91.12</x:v>
      </x:c>
      <x:c r="N394" s="4" t="n">
        <x:f>ROUND(I394*K394,2)</x:f>
        <x:v>54</x:v>
      </x:c>
      <x:c r="O394" s="4" t="n">
        <x:f>ROUND(M394-N394,2)</x:f>
        <x:v>37.12</x:v>
      </x:c>
      <x:c r="P394" s="6" t="n">
        <x:v>4.3</x:v>
      </x:c>
      <x:c r="Q394" t="str">
        <x:v>No</x:v>
      </x:c>
    </x:row>
    <x:row r="395">
      <x:c r="A395" t="str">
        <x:v>ORD-01761</x:v>
      </x:c>
      <x:c r="B395" s="3" t="n">
        <x:v>45452.5788675463</x:v>
      </x:c>
      <x:c r="C395" t="str">
        <x:v>2024-06</x:v>
      </x:c>
      <x:c r="D395" t="str">
        <x:v>CUS-0437</x:v>
      </x:c>
      <x:c r="E395" t="str">
        <x:v>Midlands</x:v>
      </x:c>
      <x:c r="F395" t="str">
        <x:v>Marketplace</x:v>
      </x:c>
      <x:c r="G395" t="str">
        <x:v>Sports</x:v>
      </x:c>
      <x:c r="H395" t="str">
        <x:v>Fitness Tracker</x:v>
      </x:c>
      <x:c r="I395" t="n">
        <x:v>5</x:v>
      </x:c>
      <x:c r="J395" s="4" t="n">
        <x:v>52.94</x:v>
      </x:c>
      <x:c r="K395" s="4" t="n">
        <x:v>27</x:v>
      </x:c>
      <x:c r="L395" s="5" t="n">
        <x:v>0</x:v>
      </x:c>
      <x:c r="M395" s="4" t="n">
        <x:f>ROUND(I395*J395*(1-L395),2)</x:f>
        <x:v>264.7</x:v>
      </x:c>
      <x:c r="N395" s="4" t="n">
        <x:f>ROUND(I395*K395,2)</x:f>
        <x:v>135</x:v>
      </x:c>
      <x:c r="O395" s="4" t="n">
        <x:f>ROUND(M395-N395,2)</x:f>
        <x:v>129.7</x:v>
      </x:c>
      <x:c r="P395" s="6" t="n">
        <x:v>3.9</x:v>
      </x:c>
      <x:c r="Q395" t="str">
        <x:v>Yes</x:v>
      </x:c>
    </x:row>
    <x:row r="396">
      <x:c r="A396" t="str">
        <x:v>ORD-01326</x:v>
      </x:c>
      <x:c r="B396" s="3" t="n">
        <x:v>45453.754107824076</x:v>
      </x:c>
      <x:c r="C396" t="str">
        <x:v>2024-06</x:v>
      </x:c>
      <x:c r="D396" t="str">
        <x:v>CUS-0058</x:v>
      </x:c>
      <x:c r="E396" t="str">
        <x:v>North East</x:v>
      </x:c>
      <x:c r="F396" t="str">
        <x:v>Marketplace</x:v>
      </x:c>
      <x:c r="G396" t="str">
        <x:v>Home</x:v>
      </x:c>
      <x:c r="H396" t="str">
        <x:v>Air Fryer</x:v>
      </x:c>
      <x:c r="I396" t="n">
        <x:v>2</x:v>
      </x:c>
      <x:c r="J396" s="4" t="n">
        <x:v>119.9</x:v>
      </x:c>
      <x:c r="K396" s="4" t="n">
        <x:v>69</x:v>
      </x:c>
      <x:c r="L396" s="5" t="n">
        <x:v>0.2</x:v>
      </x:c>
      <x:c r="M396" s="4" t="n">
        <x:f>ROUND(I396*J396*(1-L396),2)</x:f>
        <x:v>191.84</x:v>
      </x:c>
      <x:c r="N396" s="4" t="n">
        <x:f>ROUND(I396*K396,2)</x:f>
        <x:v>138</x:v>
      </x:c>
      <x:c r="O396" s="4" t="n">
        <x:f>ROUND(M396-N396,2)</x:f>
        <x:v>53.84</x:v>
      </x:c>
      <x:c r="P396" s="6" t="n">
        <x:v>5</x:v>
      </x:c>
      <x:c r="Q396" t="str">
        <x:v>No</x:v>
      </x:c>
    </x:row>
    <x:row r="397">
      <x:c r="A397" t="str">
        <x:v>ORD-01559</x:v>
      </x:c>
      <x:c r="B397" s="3" t="n">
        <x:v>45454.717503391206</x:v>
      </x:c>
      <x:c r="C397" t="str">
        <x:v>2024-06</x:v>
      </x:c>
      <x:c r="D397" t="str">
        <x:v>CUS-0230</x:v>
      </x:c>
      <x:c r="E397" t="str">
        <x:v>North East</x:v>
      </x:c>
      <x:c r="F397" t="str">
        <x:v>Marketplace</x:v>
      </x:c>
      <x:c r="G397" t="str">
        <x:v>Electronics</x:v>
      </x:c>
      <x:c r="H397" t="str">
        <x:v>Wireless Headphones</x:v>
      </x:c>
      <x:c r="I397" t="n">
        <x:v>1</x:v>
      </x:c>
      <x:c r="J397" s="4" t="n">
        <x:v>94.08</x:v>
      </x:c>
      <x:c r="K397" s="4" t="n">
        <x:v>48</x:v>
      </x:c>
      <x:c r="L397" s="5" t="n">
        <x:v>0.15</x:v>
      </x:c>
      <x:c r="M397" s="4" t="n">
        <x:f>ROUND(I397*J397*(1-L397),2)</x:f>
        <x:v>79.97</x:v>
      </x:c>
      <x:c r="N397" s="4" t="n">
        <x:f>ROUND(I397*K397,2)</x:f>
        <x:v>48</x:v>
      </x:c>
      <x:c r="O397" s="4" t="n">
        <x:f>ROUND(M397-N397,2)</x:f>
        <x:v>31.97</x:v>
      </x:c>
      <x:c r="P397" s="6" t="n">
        <x:v>3.9</x:v>
      </x:c>
      <x:c r="Q397" t="str">
        <x:v>No</x:v>
      </x:c>
    </x:row>
    <x:row r="398">
      <x:c r="A398" t="str">
        <x:v>ORD-01661</x:v>
      </x:c>
      <x:c r="B398" s="3" t="n">
        <x:v>45454.75491434028</x:v>
      </x:c>
      <x:c r="C398" t="str">
        <x:v>2024-06</x:v>
      </x:c>
      <x:c r="D398" t="str">
        <x:v>CUS-0044</x:v>
      </x:c>
      <x:c r="E398" t="str">
        <x:v>Wales</x:v>
      </x:c>
      <x:c r="F398" t="str">
        <x:v>Marketplace</x:v>
      </x:c>
      <x:c r="G398" t="str">
        <x:v>Home</x:v>
      </x:c>
      <x:c r="H398" t="str">
        <x:v>Air Fryer</x:v>
      </x:c>
      <x:c r="I398" t="n">
        <x:v>4</x:v>
      </x:c>
      <x:c r="J398" s="4" t="n">
        <x:v>120.63</x:v>
      </x:c>
      <x:c r="K398" s="4" t="n">
        <x:v>69</x:v>
      </x:c>
      <x:c r="L398" s="5" t="n">
        <x:v>0.1</x:v>
      </x:c>
      <x:c r="M398" s="4" t="n">
        <x:f>ROUND(I398*J398*(1-L398),2)</x:f>
        <x:v>434.27</x:v>
      </x:c>
      <x:c r="N398" s="4" t="n">
        <x:f>ROUND(I398*K398,2)</x:f>
        <x:v>276</x:v>
      </x:c>
      <x:c r="O398" s="4" t="n">
        <x:f>ROUND(M398-N398,2)</x:f>
        <x:v>158.27</x:v>
      </x:c>
      <x:c r="P398" s="6" t="n">
        <x:v>5</x:v>
      </x:c>
      <x:c r="Q398" t="str">
        <x:v>No</x:v>
      </x:c>
    </x:row>
    <x:row r="399">
      <x:c r="A399" t="str">
        <x:v>ORD-01079</x:v>
      </x:c>
      <x:c r="B399" s="3" t="n">
        <x:v>45454.98615358796</x:v>
      </x:c>
      <x:c r="C399" t="str">
        <x:v>2024-06</x:v>
      </x:c>
      <x:c r="D399" t="str">
        <x:v>CUS-0591</x:v>
      </x:c>
      <x:c r="E399" t="str">
        <x:v>Scotland</x:v>
      </x:c>
      <x:c r="F399" t="str">
        <x:v>Marketplace</x:v>
      </x:c>
      <x:c r="G399" t="str">
        <x:v>Fashion</x:v>
      </x:c>
      <x:c r="H399" t="str">
        <x:v>Winter Jacket</x:v>
      </x:c>
      <x:c r="I399" t="n">
        <x:v>2</x:v>
      </x:c>
      <x:c r="J399" s="4" t="n">
        <x:v>93.27</x:v>
      </x:c>
      <x:c r="K399" s="4" t="n">
        <x:v>46</x:v>
      </x:c>
      <x:c r="L399" s="5" t="n">
        <x:v>0</x:v>
      </x:c>
      <x:c r="M399" s="4" t="n">
        <x:f>ROUND(I399*J399*(1-L399),2)</x:f>
        <x:v>186.54</x:v>
      </x:c>
      <x:c r="N399" s="4" t="n">
        <x:f>ROUND(I399*K399,2)</x:f>
        <x:v>92</x:v>
      </x:c>
      <x:c r="O399" s="4" t="n">
        <x:f>ROUND(M399-N399,2)</x:f>
        <x:v>94.54</x:v>
      </x:c>
      <x:c r="P399" s="6" t="n">
        <x:v>3.7</x:v>
      </x:c>
      <x:c r="Q399" t="str">
        <x:v>No</x:v>
      </x:c>
    </x:row>
    <x:row r="400">
      <x:c r="A400" t="str">
        <x:v>ORD-00599</x:v>
      </x:c>
      <x:c r="B400" s="3" t="n">
        <x:v>45455.42467226852</x:v>
      </x:c>
      <x:c r="C400" t="str">
        <x:v>2024-06</x:v>
      </x:c>
      <x:c r="D400" t="str">
        <x:v>CUS-0179</x:v>
      </x:c>
      <x:c r="E400" t="str">
        <x:v>Wales</x:v>
      </x:c>
      <x:c r="F400" t="str">
        <x:v>Online</x:v>
      </x:c>
      <x:c r="G400" t="str">
        <x:v>Sports</x:v>
      </x:c>
      <x:c r="H400" t="str">
        <x:v>Yoga Mat</x:v>
      </x:c>
      <x:c r="I400" t="n">
        <x:v>5</x:v>
      </x:c>
      <x:c r="J400" s="4" t="n">
        <x:v>30.67</x:v>
      </x:c>
      <x:c r="K400" s="4" t="n">
        <x:v>12</x:v>
      </x:c>
      <x:c r="L400" s="5" t="n">
        <x:v>0.05</x:v>
      </x:c>
      <x:c r="M400" s="4" t="n">
        <x:f>ROUND(I400*J400*(1-L400),2)</x:f>
        <x:v>145.68</x:v>
      </x:c>
      <x:c r="N400" s="4" t="n">
        <x:f>ROUND(I400*K400,2)</x:f>
        <x:v>60</x:v>
      </x:c>
      <x:c r="O400" s="4" t="n">
        <x:f>ROUND(M400-N400,2)</x:f>
        <x:v>85.68</x:v>
      </x:c>
      <x:c r="P400" s="6" t="n">
        <x:v>4.3</x:v>
      </x:c>
      <x:c r="Q400" t="str">
        <x:v>No</x:v>
      </x:c>
    </x:row>
    <x:row r="401">
      <x:c r="A401" t="str">
        <x:v>ORD-00519</x:v>
      </x:c>
      <x:c r="B401" s="3" t="n">
        <x:v>45456.55885649306</x:v>
      </x:c>
      <x:c r="C401" t="str">
        <x:v>2024-06</x:v>
      </x:c>
      <x:c r="D401" t="str">
        <x:v>CUS-0594</x:v>
      </x:c>
      <x:c r="E401" t="str">
        <x:v>Midlands</x:v>
      </x:c>
      <x:c r="F401" t="str">
        <x:v>Online</x:v>
      </x:c>
      <x:c r="G401" t="str">
        <x:v>Fashion</x:v>
      </x:c>
      <x:c r="H401" t="str">
        <x:v>Winter Jacket</x:v>
      </x:c>
      <x:c r="I401" t="n">
        <x:v>2</x:v>
      </x:c>
      <x:c r="J401" s="4" t="n">
        <x:v>96.33</x:v>
      </x:c>
      <x:c r="K401" s="4" t="n">
        <x:v>46</x:v>
      </x:c>
      <x:c r="L401" s="5" t="n">
        <x:v>0</x:v>
      </x:c>
      <x:c r="M401" s="4" t="n">
        <x:f>ROUND(I401*J401*(1-L401),2)</x:f>
        <x:v>192.66</x:v>
      </x:c>
      <x:c r="N401" s="4" t="n">
        <x:f>ROUND(I401*K401,2)</x:f>
        <x:v>92</x:v>
      </x:c>
      <x:c r="O401" s="4" t="n">
        <x:f>ROUND(M401-N401,2)</x:f>
        <x:v>100.66</x:v>
      </x:c>
      <x:c r="P401" s="6" t="n">
        <x:v>4.3</x:v>
      </x:c>
      <x:c r="Q401" t="str">
        <x:v>No</x:v>
      </x:c>
    </x:row>
    <x:row r="402">
      <x:c r="A402" t="str">
        <x:v>ORD-01382</x:v>
      </x:c>
      <x:c r="B402" s="3" t="n">
        <x:v>45457.4453721875</x:v>
      </x:c>
      <x:c r="C402" t="str">
        <x:v>2024-06</x:v>
      </x:c>
      <x:c r="D402" t="str">
        <x:v>CUS-0522</x:v>
      </x:c>
      <x:c r="E402" t="str">
        <x:v>Midlands</x:v>
      </x:c>
      <x:c r="F402" t="str">
        <x:v>Marketplace</x:v>
      </x:c>
      <x:c r="G402" t="str">
        <x:v>Electronics</x:v>
      </x:c>
      <x:c r="H402" t="str">
        <x:v>Wireless Headphones</x:v>
      </x:c>
      <x:c r="I402" t="n">
        <x:v>4</x:v>
      </x:c>
      <x:c r="J402" s="4" t="n">
        <x:v>91.91</x:v>
      </x:c>
      <x:c r="K402" s="4" t="n">
        <x:v>48</x:v>
      </x:c>
      <x:c r="L402" s="5" t="n">
        <x:v>0</x:v>
      </x:c>
      <x:c r="M402" s="4" t="n">
        <x:f>ROUND(I402*J402*(1-L402),2)</x:f>
        <x:v>367.64</x:v>
      </x:c>
      <x:c r="N402" s="4" t="n">
        <x:f>ROUND(I402*K402,2)</x:f>
        <x:v>192</x:v>
      </x:c>
      <x:c r="O402" s="4" t="n">
        <x:f>ROUND(M402-N402,2)</x:f>
        <x:v>175.64</x:v>
      </x:c>
      <x:c r="P402" s="6" t="n">
        <x:v>3.7</x:v>
      </x:c>
      <x:c r="Q402" t="str">
        <x:v>No</x:v>
      </x:c>
    </x:row>
    <x:row r="403">
      <x:c r="A403" t="str">
        <x:v>ORD-00363</x:v>
      </x:c>
      <x:c r="B403" s="3" t="n">
        <x:v>45458.957009907404</x:v>
      </x:c>
      <x:c r="C403" t="str">
        <x:v>2024-06</x:v>
      </x:c>
      <x:c r="D403" t="str">
        <x:v>CUS-0448</x:v>
      </x:c>
      <x:c r="E403" t="str">
        <x:v>North West</x:v>
      </x:c>
      <x:c r="F403" t="str">
        <x:v>Online</x:v>
      </x:c>
      <x:c r="G403" t="str">
        <x:v>Beauty</x:v>
      </x:c>
      <x:c r="H403" t="str">
        <x:v>Skin Care Set</x:v>
      </x:c>
      <x:c r="I403" t="n">
        <x:v>1</x:v>
      </x:c>
      <x:c r="J403" s="4" t="n">
        <x:v>46.65</x:v>
      </x:c>
      <x:c r="K403" s="4" t="n">
        <x:v>18</x:v>
      </x:c>
      <x:c r="L403" s="5" t="n">
        <x:v>0.1</x:v>
      </x:c>
      <x:c r="M403" s="4" t="n">
        <x:f>ROUND(I403*J403*(1-L403),2)</x:f>
        <x:v>41.99</x:v>
      </x:c>
      <x:c r="N403" s="4" t="n">
        <x:f>ROUND(I403*K403,2)</x:f>
        <x:v>18</x:v>
      </x:c>
      <x:c r="O403" s="4" t="n">
        <x:f>ROUND(M403-N403,2)</x:f>
        <x:v>23.99</x:v>
      </x:c>
      <x:c r="P403" s="6" t="n">
        <x:v>4.9</x:v>
      </x:c>
      <x:c r="Q403" t="str">
        <x:v>No</x:v>
      </x:c>
    </x:row>
    <x:row r="404">
      <x:c r="A404" t="str">
        <x:v>ORD-01147</x:v>
      </x:c>
      <x:c r="B404" s="3" t="n">
        <x:v>45459.33517283565</x:v>
      </x:c>
      <x:c r="C404" t="str">
        <x:v>2024-06</x:v>
      </x:c>
      <x:c r="D404" t="str">
        <x:v>CUS-0053</x:v>
      </x:c>
      <x:c r="E404" t="str">
        <x:v>London</x:v>
      </x:c>
      <x:c r="F404" t="str">
        <x:v>Store</x:v>
      </x:c>
      <x:c r="G404" t="str">
        <x:v>Electronics</x:v>
      </x:c>
      <x:c r="H404" t="str">
        <x:v>Smart Watch</x:v>
      </x:c>
      <x:c r="I404" t="n">
        <x:v>2</x:v>
      </x:c>
      <x:c r="J404" s="4" t="n">
        <x:v>161.88</x:v>
      </x:c>
      <x:c r="K404" s="4" t="n">
        <x:v>92</x:v>
      </x:c>
      <x:c r="L404" s="5" t="n">
        <x:v>0</x:v>
      </x:c>
      <x:c r="M404" s="4" t="n">
        <x:f>ROUND(I404*J404*(1-L404),2)</x:f>
        <x:v>323.76</x:v>
      </x:c>
      <x:c r="N404" s="4" t="n">
        <x:f>ROUND(I404*K404,2)</x:f>
        <x:v>184</x:v>
      </x:c>
      <x:c r="O404" s="4" t="n">
        <x:f>ROUND(M404-N404,2)</x:f>
        <x:v>139.76</x:v>
      </x:c>
      <x:c r="P404" s="6" t="n">
        <x:v>3.8</x:v>
      </x:c>
      <x:c r="Q404" t="str">
        <x:v>No</x:v>
      </x:c>
    </x:row>
    <x:row r="405">
      <x:c r="A405" t="str">
        <x:v>ORD-01142</x:v>
      </x:c>
      <x:c r="B405" s="3" t="n">
        <x:v>45459.47326949074</x:v>
      </x:c>
      <x:c r="C405" t="str">
        <x:v>2024-06</x:v>
      </x:c>
      <x:c r="D405" t="str">
        <x:v>CUS-0055</x:v>
      </x:c>
      <x:c r="E405" t="str">
        <x:v>Midlands</x:v>
      </x:c>
      <x:c r="F405" t="str">
        <x:v>Store</x:v>
      </x:c>
      <x:c r="G405" t="str">
        <x:v>Books</x:v>
      </x:c>
      <x:c r="H405" t="str">
        <x:v>Business Intelligence Guide</x:v>
      </x:c>
      <x:c r="I405" t="n">
        <x:v>4</x:v>
      </x:c>
      <x:c r="J405" s="4" t="n">
        <x:v>33.92</x:v>
      </x:c>
      <x:c r="K405" s="4" t="n">
        <x:v>12</x:v>
      </x:c>
      <x:c r="L405" s="5" t="n">
        <x:v>0.1</x:v>
      </x:c>
      <x:c r="M405" s="4" t="n">
        <x:f>ROUND(I405*J405*(1-L405),2)</x:f>
        <x:v>122.11</x:v>
      </x:c>
      <x:c r="N405" s="4" t="n">
        <x:f>ROUND(I405*K405,2)</x:f>
        <x:v>48</x:v>
      </x:c>
      <x:c r="O405" s="4" t="n">
        <x:f>ROUND(M405-N405,2)</x:f>
        <x:v>74.11</x:v>
      </x:c>
      <x:c r="P405" s="6" t="n">
        <x:v>3.4</x:v>
      </x:c>
      <x:c r="Q405" t="str">
        <x:v>No</x:v>
      </x:c>
    </x:row>
    <x:row r="406">
      <x:c r="A406" t="str">
        <x:v>ORD-00274</x:v>
      </x:c>
      <x:c r="B406" s="3" t="n">
        <x:v>45459.5232953588</x:v>
      </x:c>
      <x:c r="C406" t="str">
        <x:v>2024-06</x:v>
      </x:c>
      <x:c r="D406" t="str">
        <x:v>CUS-0220</x:v>
      </x:c>
      <x:c r="E406" t="str">
        <x:v>South West</x:v>
      </x:c>
      <x:c r="F406" t="str">
        <x:v>Marketplace</x:v>
      </x:c>
      <x:c r="G406" t="str">
        <x:v>Electronics</x:v>
      </x:c>
      <x:c r="H406" t="str">
        <x:v>Wireless Headphones</x:v>
      </x:c>
      <x:c r="I406" t="n">
        <x:v>2</x:v>
      </x:c>
      <x:c r="J406" s="4" t="n">
        <x:v>86.81</x:v>
      </x:c>
      <x:c r="K406" s="4" t="n">
        <x:v>48</x:v>
      </x:c>
      <x:c r="L406" s="5" t="n">
        <x:v>0.05</x:v>
      </x:c>
      <x:c r="M406" s="4" t="n">
        <x:f>ROUND(I406*J406*(1-L406),2)</x:f>
        <x:v>164.94</x:v>
      </x:c>
      <x:c r="N406" s="4" t="n">
        <x:f>ROUND(I406*K406,2)</x:f>
        <x:v>96</x:v>
      </x:c>
      <x:c r="O406" s="4" t="n">
        <x:f>ROUND(M406-N406,2)</x:f>
        <x:v>68.94</x:v>
      </x:c>
      <x:c r="P406" s="6" t="n">
        <x:v>4.8</x:v>
      </x:c>
      <x:c r="Q406" t="str">
        <x:v>No</x:v>
      </x:c>
    </x:row>
    <x:row r="407">
      <x:c r="A407" t="str">
        <x:v>ORD-00215</x:v>
      </x:c>
      <x:c r="B407" s="3" t="n">
        <x:v>45459.661855</x:v>
      </x:c>
      <x:c r="C407" t="str">
        <x:v>2024-06</x:v>
      </x:c>
      <x:c r="D407" t="str">
        <x:v>CUS-0312</x:v>
      </x:c>
      <x:c r="E407" t="str">
        <x:v>North West</x:v>
      </x:c>
      <x:c r="F407" t="str">
        <x:v>Store</x:v>
      </x:c>
      <x:c r="G407" t="str">
        <x:v>Books</x:v>
      </x:c>
      <x:c r="H407" t="str">
        <x:v>Business Intelligence Guide</x:v>
      </x:c>
      <x:c r="I407" t="n">
        <x:v>4</x:v>
      </x:c>
      <x:c r="J407" s="4" t="n">
        <x:v>35.18</x:v>
      </x:c>
      <x:c r="K407" s="4" t="n">
        <x:v>12</x:v>
      </x:c>
      <x:c r="L407" s="5" t="n">
        <x:v>0.2</x:v>
      </x:c>
      <x:c r="M407" s="4" t="n">
        <x:f>ROUND(I407*J407*(1-L407),2)</x:f>
        <x:v>112.58</x:v>
      </x:c>
      <x:c r="N407" s="4" t="n">
        <x:f>ROUND(I407*K407,2)</x:f>
        <x:v>48</x:v>
      </x:c>
      <x:c r="O407" s="4" t="n">
        <x:f>ROUND(M407-N407,2)</x:f>
        <x:v>64.58</x:v>
      </x:c>
      <x:c r="P407" s="6" t="n">
        <x:v>3.4</x:v>
      </x:c>
      <x:c r="Q407" t="str">
        <x:v>No</x:v>
      </x:c>
    </x:row>
    <x:row r="408">
      <x:c r="A408" t="str">
        <x:v>ORD-01227</x:v>
      </x:c>
      <x:c r="B408" s="3" t="n">
        <x:v>45459.81560929398</x:v>
      </x:c>
      <x:c r="C408" t="str">
        <x:v>2024-06</x:v>
      </x:c>
      <x:c r="D408" t="str">
        <x:v>CUS-0309</x:v>
      </x:c>
      <x:c r="E408" t="str">
        <x:v>South West</x:v>
      </x:c>
      <x:c r="F408" t="str">
        <x:v>Online</x:v>
      </x:c>
      <x:c r="G408" t="str">
        <x:v>Sports</x:v>
      </x:c>
      <x:c r="H408" t="str">
        <x:v>Fitness Tracker</x:v>
      </x:c>
      <x:c r="I408" t="n">
        <x:v>4</x:v>
      </x:c>
      <x:c r="J408" s="4" t="n">
        <x:v>53.07</x:v>
      </x:c>
      <x:c r="K408" s="4" t="n">
        <x:v>27</x:v>
      </x:c>
      <x:c r="L408" s="5" t="n">
        <x:v>0</x:v>
      </x:c>
      <x:c r="M408" s="4" t="n">
        <x:f>ROUND(I408*J408*(1-L408),2)</x:f>
        <x:v>212.28</x:v>
      </x:c>
      <x:c r="N408" s="4" t="n">
        <x:f>ROUND(I408*K408,2)</x:f>
        <x:v>108</x:v>
      </x:c>
      <x:c r="O408" s="4" t="n">
        <x:f>ROUND(M408-N408,2)</x:f>
        <x:v>104.28</x:v>
      </x:c>
      <x:c r="P408" s="6" t="n">
        <x:v>3.5</x:v>
      </x:c>
      <x:c r="Q408" t="str">
        <x:v>No</x:v>
      </x:c>
    </x:row>
    <x:row r="409">
      <x:c r="A409" t="str">
        <x:v>ORD-00039</x:v>
      </x:c>
      <x:c r="B409" s="3" t="n">
        <x:v>45459.83919111111</x:v>
      </x:c>
      <x:c r="C409" t="str">
        <x:v>2024-06</x:v>
      </x:c>
      <x:c r="D409" t="str">
        <x:v>CUS-0187</x:v>
      </x:c>
      <x:c r="E409" t="str">
        <x:v>London</x:v>
      </x:c>
      <x:c r="F409" t="str">
        <x:v>Store</x:v>
      </x:c>
      <x:c r="G409" t="str">
        <x:v>Home</x:v>
      </x:c>
      <x:c r="H409" t="str">
        <x:v>Desk Lamp</x:v>
      </x:c>
      <x:c r="I409" t="n">
        <x:v>2</x:v>
      </x:c>
      <x:c r="J409" s="4" t="n">
        <x:v>36.56</x:v>
      </x:c>
      <x:c r="K409" s="4" t="n">
        <x:v>17</x:v>
      </x:c>
      <x:c r="L409" s="5" t="n">
        <x:v>0</x:v>
      </x:c>
      <x:c r="M409" s="4" t="n">
        <x:f>ROUND(I409*J409*(1-L409),2)</x:f>
        <x:v>73.12</x:v>
      </x:c>
      <x:c r="N409" s="4" t="n">
        <x:f>ROUND(I409*K409,2)</x:f>
        <x:v>34</x:v>
      </x:c>
      <x:c r="O409" s="4" t="n">
        <x:f>ROUND(M409-N409,2)</x:f>
        <x:v>39.12</x:v>
      </x:c>
      <x:c r="P409" s="6" t="n">
        <x:v>3.9</x:v>
      </x:c>
      <x:c r="Q409" t="str">
        <x:v>No</x:v>
      </x:c>
    </x:row>
    <x:row r="410">
      <x:c r="A410" t="str">
        <x:v>ORD-01503</x:v>
      </x:c>
      <x:c r="B410" s="3" t="n">
        <x:v>45460.4372524537</x:v>
      </x:c>
      <x:c r="C410" t="str">
        <x:v>2024-06</x:v>
      </x:c>
      <x:c r="D410" t="str">
        <x:v>CUS-0019</x:v>
      </x:c>
      <x:c r="E410" t="str">
        <x:v>South East</x:v>
      </x:c>
      <x:c r="F410" t="str">
        <x:v>Store</x:v>
      </x:c>
      <x:c r="G410" t="str">
        <x:v>Electronics</x:v>
      </x:c>
      <x:c r="H410" t="str">
        <x:v>Wireless Headphones</x:v>
      </x:c>
      <x:c r="I410" t="n">
        <x:v>1</x:v>
      </x:c>
      <x:c r="J410" s="4" t="n">
        <x:v>90.75</x:v>
      </x:c>
      <x:c r="K410" s="4" t="n">
        <x:v>48</x:v>
      </x:c>
      <x:c r="L410" s="5" t="n">
        <x:v>0.2</x:v>
      </x:c>
      <x:c r="M410" s="4" t="n">
        <x:f>ROUND(I410*J410*(1-L410),2)</x:f>
        <x:v>72.6</x:v>
      </x:c>
      <x:c r="N410" s="4" t="n">
        <x:f>ROUND(I410*K410,2)</x:f>
        <x:v>48</x:v>
      </x:c>
      <x:c r="O410" s="4" t="n">
        <x:f>ROUND(M410-N410,2)</x:f>
        <x:v>24.6</x:v>
      </x:c>
      <x:c r="P410" s="6" t="n">
        <x:v>4.8</x:v>
      </x:c>
      <x:c r="Q410" t="str">
        <x:v>Yes</x:v>
      </x:c>
    </x:row>
    <x:row r="411">
      <x:c r="A411" t="str">
        <x:v>ORD-01318</x:v>
      </x:c>
      <x:c r="B411" s="3" t="n">
        <x:v>45460.685382627315</x:v>
      </x:c>
      <x:c r="C411" t="str">
        <x:v>2024-06</x:v>
      </x:c>
      <x:c r="D411" t="str">
        <x:v>CUS-0317</x:v>
      </x:c>
      <x:c r="E411" t="str">
        <x:v>North West</x:v>
      </x:c>
      <x:c r="F411" t="str">
        <x:v>Store</x:v>
      </x:c>
      <x:c r="G411" t="str">
        <x:v>Beauty</x:v>
      </x:c>
      <x:c r="H411" t="str">
        <x:v>Skin Care Set</x:v>
      </x:c>
      <x:c r="I411" t="n">
        <x:v>3</x:v>
      </x:c>
      <x:c r="J411" s="4" t="n">
        <x:v>47.07</x:v>
      </x:c>
      <x:c r="K411" s="4" t="n">
        <x:v>18</x:v>
      </x:c>
      <x:c r="L411" s="5" t="n">
        <x:v>0.05</x:v>
      </x:c>
      <x:c r="M411" s="4" t="n">
        <x:f>ROUND(I411*J411*(1-L411),2)</x:f>
        <x:v>134.15</x:v>
      </x:c>
      <x:c r="N411" s="4" t="n">
        <x:f>ROUND(I411*K411,2)</x:f>
        <x:v>54</x:v>
      </x:c>
      <x:c r="O411" s="4" t="n">
        <x:f>ROUND(M411-N411,2)</x:f>
        <x:v>80.15</x:v>
      </x:c>
      <x:c r="P411" s="6" t="n">
        <x:v>3.7</x:v>
      </x:c>
      <x:c r="Q411" t="str">
        <x:v>No</x:v>
      </x:c>
    </x:row>
    <x:row r="412">
      <x:c r="A412" t="str">
        <x:v>ORD-01349</x:v>
      </x:c>
      <x:c r="B412" s="3" t="n">
        <x:v>45460.923222337966</x:v>
      </x:c>
      <x:c r="C412" t="str">
        <x:v>2024-06</x:v>
      </x:c>
      <x:c r="D412" t="str">
        <x:v>CUS-0177</x:v>
      </x:c>
      <x:c r="E412" t="str">
        <x:v>North West</x:v>
      </x:c>
      <x:c r="F412" t="str">
        <x:v>Marketplace</x:v>
      </x:c>
      <x:c r="G412" t="str">
        <x:v>Electronics</x:v>
      </x:c>
      <x:c r="H412" t="str">
        <x:v>Smart Watch</x:v>
      </x:c>
      <x:c r="I412" t="n">
        <x:v>2</x:v>
      </x:c>
      <x:c r="J412" s="4" t="n">
        <x:v>155.54</x:v>
      </x:c>
      <x:c r="K412" s="4" t="n">
        <x:v>92</x:v>
      </x:c>
      <x:c r="L412" s="5" t="n">
        <x:v>0</x:v>
      </x:c>
      <x:c r="M412" s="4" t="n">
        <x:f>ROUND(I412*J412*(1-L412),2)</x:f>
        <x:v>311.08</x:v>
      </x:c>
      <x:c r="N412" s="4" t="n">
        <x:f>ROUND(I412*K412,2)</x:f>
        <x:v>184</x:v>
      </x:c>
      <x:c r="O412" s="4" t="n">
        <x:f>ROUND(M412-N412,2)</x:f>
        <x:v>127.08</x:v>
      </x:c>
      <x:c r="P412" s="6" t="n">
        <x:v>3.5</x:v>
      </x:c>
      <x:c r="Q412" t="str">
        <x:v>No</x:v>
      </x:c>
    </x:row>
    <x:row r="413">
      <x:c r="A413" t="str">
        <x:v>ORD-00063</x:v>
      </x:c>
      <x:c r="B413" s="3" t="n">
        <x:v>45461.71869554398</x:v>
      </x:c>
      <x:c r="C413" t="str">
        <x:v>2024-06</x:v>
      </x:c>
      <x:c r="D413" t="str">
        <x:v>CUS-0114</x:v>
      </x:c>
      <x:c r="E413" t="str">
        <x:v>Wales</x:v>
      </x:c>
      <x:c r="F413" t="str">
        <x:v>Online</x:v>
      </x:c>
      <x:c r="G413" t="str">
        <x:v>Books</x:v>
      </x:c>
      <x:c r="H413" t="str">
        <x:v>Data Analytics Handbook</x:v>
      </x:c>
      <x:c r="I413" t="n">
        <x:v>2</x:v>
      </x:c>
      <x:c r="J413" s="4" t="n">
        <x:v>39.9</x:v>
      </x:c>
      <x:c r="K413" s="4" t="n">
        <x:v>14</x:v>
      </x:c>
      <x:c r="L413" s="5" t="n">
        <x:v>0</x:v>
      </x:c>
      <x:c r="M413" s="4" t="n">
        <x:f>ROUND(I413*J413*(1-L413),2)</x:f>
        <x:v>79.8</x:v>
      </x:c>
      <x:c r="N413" s="4" t="n">
        <x:f>ROUND(I413*K413,2)</x:f>
        <x:v>28</x:v>
      </x:c>
      <x:c r="O413" s="4" t="n">
        <x:f>ROUND(M413-N413,2)</x:f>
        <x:v>51.8</x:v>
      </x:c>
      <x:c r="P413" s="6" t="n">
        <x:v>3.6</x:v>
      </x:c>
      <x:c r="Q413" t="str">
        <x:v>No</x:v>
      </x:c>
    </x:row>
    <x:row r="414">
      <x:c r="A414" t="str">
        <x:v>ORD-01243</x:v>
      </x:c>
      <x:c r="B414" s="3" t="n">
        <x:v>45461.919346967596</x:v>
      </x:c>
      <x:c r="C414" t="str">
        <x:v>2024-06</x:v>
      </x:c>
      <x:c r="D414" t="str">
        <x:v>CUS-0569</x:v>
      </x:c>
      <x:c r="E414" t="str">
        <x:v>London</x:v>
      </x:c>
      <x:c r="F414" t="str">
        <x:v>Marketplace</x:v>
      </x:c>
      <x:c r="G414" t="str">
        <x:v>Sports</x:v>
      </x:c>
      <x:c r="H414" t="str">
        <x:v>Yoga Mat</x:v>
      </x:c>
      <x:c r="I414" t="n">
        <x:v>2</x:v>
      </x:c>
      <x:c r="J414" s="4" t="n">
        <x:v>30.38</x:v>
      </x:c>
      <x:c r="K414" s="4" t="n">
        <x:v>12</x:v>
      </x:c>
      <x:c r="L414" s="5" t="n">
        <x:v>0.15</x:v>
      </x:c>
      <x:c r="M414" s="4" t="n">
        <x:f>ROUND(I414*J414*(1-L414),2)</x:f>
        <x:v>51.65</x:v>
      </x:c>
      <x:c r="N414" s="4" t="n">
        <x:f>ROUND(I414*K414,2)</x:f>
        <x:v>24</x:v>
      </x:c>
      <x:c r="O414" s="4" t="n">
        <x:f>ROUND(M414-N414,2)</x:f>
        <x:v>27.65</x:v>
      </x:c>
      <x:c r="P414" s="6" t="n">
        <x:v>4.4</x:v>
      </x:c>
      <x:c r="Q414" t="str">
        <x:v>Yes</x:v>
      </x:c>
    </x:row>
    <x:row r="415">
      <x:c r="A415" t="str">
        <x:v>ORD-01144</x:v>
      </x:c>
      <x:c r="B415" s="3" t="n">
        <x:v>45462.0653144213</x:v>
      </x:c>
      <x:c r="C415" t="str">
        <x:v>2024-06</x:v>
      </x:c>
      <x:c r="D415" t="str">
        <x:v>CUS-0237</x:v>
      </x:c>
      <x:c r="E415" t="str">
        <x:v>London</x:v>
      </x:c>
      <x:c r="F415" t="str">
        <x:v>Store</x:v>
      </x:c>
      <x:c r="G415" t="str">
        <x:v>Home</x:v>
      </x:c>
      <x:c r="H415" t="str">
        <x:v>Air Fryer</x:v>
      </x:c>
      <x:c r="I415" t="n">
        <x:v>5</x:v>
      </x:c>
      <x:c r="J415" s="4" t="n">
        <x:v>118.3</x:v>
      </x:c>
      <x:c r="K415" s="4" t="n">
        <x:v>69</x:v>
      </x:c>
      <x:c r="L415" s="5" t="n">
        <x:v>0.1</x:v>
      </x:c>
      <x:c r="M415" s="4" t="n">
        <x:f>ROUND(I415*J415*(1-L415),2)</x:f>
        <x:v>532.35</x:v>
      </x:c>
      <x:c r="N415" s="4" t="n">
        <x:f>ROUND(I415*K415,2)</x:f>
        <x:v>345</x:v>
      </x:c>
      <x:c r="O415" s="4" t="n">
        <x:f>ROUND(M415-N415,2)</x:f>
        <x:v>187.35</x:v>
      </x:c>
      <x:c r="P415" s="6" t="n">
        <x:v>3.5</x:v>
      </x:c>
      <x:c r="Q415" t="str">
        <x:v>No</x:v>
      </x:c>
    </x:row>
    <x:row r="416">
      <x:c r="A416" t="str">
        <x:v>ORD-01034</x:v>
      </x:c>
      <x:c r="B416" s="3" t="n">
        <x:v>45462.28078350695</x:v>
      </x:c>
      <x:c r="C416" t="str">
        <x:v>2024-06</x:v>
      </x:c>
      <x:c r="D416" t="str">
        <x:v>CUS-0574</x:v>
      </x:c>
      <x:c r="E416" t="str">
        <x:v>North East</x:v>
      </x:c>
      <x:c r="F416" t="str">
        <x:v>Marketplace</x:v>
      </x:c>
      <x:c r="G416" t="str">
        <x:v>Fashion</x:v>
      </x:c>
      <x:c r="H416" t="str">
        <x:v>Winter Jacket</x:v>
      </x:c>
      <x:c r="I416" t="n">
        <x:v>3</x:v>
      </x:c>
      <x:c r="J416" s="4" t="n">
        <x:v>95.92</x:v>
      </x:c>
      <x:c r="K416" s="4" t="n">
        <x:v>46</x:v>
      </x:c>
      <x:c r="L416" s="5" t="n">
        <x:v>0</x:v>
      </x:c>
      <x:c r="M416" s="4" t="n">
        <x:f>ROUND(I416*J416*(1-L416),2)</x:f>
        <x:v>287.76</x:v>
      </x:c>
      <x:c r="N416" s="4" t="n">
        <x:f>ROUND(I416*K416,2)</x:f>
        <x:v>138</x:v>
      </x:c>
      <x:c r="O416" s="4" t="n">
        <x:f>ROUND(M416-N416,2)</x:f>
        <x:v>149.76</x:v>
      </x:c>
      <x:c r="P416" s="6" t="n">
        <x:v>3.4</x:v>
      </x:c>
      <x:c r="Q416" t="str">
        <x:v>No</x:v>
      </x:c>
    </x:row>
    <x:row r="417">
      <x:c r="A417" t="str">
        <x:v>ORD-00548</x:v>
      </x:c>
      <x:c r="B417" s="3" t="n">
        <x:v>45462.905751886574</x:v>
      </x:c>
      <x:c r="C417" t="str">
        <x:v>2024-06</x:v>
      </x:c>
      <x:c r="D417" t="str">
        <x:v>CUS-0165</x:v>
      </x:c>
      <x:c r="E417" t="str">
        <x:v>South East</x:v>
      </x:c>
      <x:c r="F417" t="str">
        <x:v>Online</x:v>
      </x:c>
      <x:c r="G417" t="str">
        <x:v>Fashion</x:v>
      </x:c>
      <x:c r="H417" t="str">
        <x:v>Winter Jacket</x:v>
      </x:c>
      <x:c r="I417" t="n">
        <x:v>2</x:v>
      </x:c>
      <x:c r="J417" s="4" t="n">
        <x:v>92.33</x:v>
      </x:c>
      <x:c r="K417" s="4" t="n">
        <x:v>46</x:v>
      </x:c>
      <x:c r="L417" s="5" t="n">
        <x:v>0.15</x:v>
      </x:c>
      <x:c r="M417" s="4" t="n">
        <x:f>ROUND(I417*J417*(1-L417),2)</x:f>
        <x:v>156.96</x:v>
      </x:c>
      <x:c r="N417" s="4" t="n">
        <x:f>ROUND(I417*K417,2)</x:f>
        <x:v>92</x:v>
      </x:c>
      <x:c r="O417" s="4" t="n">
        <x:f>ROUND(M417-N417,2)</x:f>
        <x:v>64.96</x:v>
      </x:c>
      <x:c r="P417" s="6" t="n">
        <x:v>4.2</x:v>
      </x:c>
      <x:c r="Q417" t="str">
        <x:v>No</x:v>
      </x:c>
    </x:row>
    <x:row r="418">
      <x:c r="A418" t="str">
        <x:v>ORD-01779</x:v>
      </x:c>
      <x:c r="B418" s="3" t="n">
        <x:v>45464.515658055556</x:v>
      </x:c>
      <x:c r="C418" t="str">
        <x:v>2024-06</x:v>
      </x:c>
      <x:c r="D418" t="str">
        <x:v>CUS-0150</x:v>
      </x:c>
      <x:c r="E418" t="str">
        <x:v>North West</x:v>
      </x:c>
      <x:c r="F418" t="str">
        <x:v>Online</x:v>
      </x:c>
      <x:c r="G418" t="str">
        <x:v>Sports</x:v>
      </x:c>
      <x:c r="H418" t="str">
        <x:v>Yoga Mat</x:v>
      </x:c>
      <x:c r="I418" t="n">
        <x:v>2</x:v>
      </x:c>
      <x:c r="J418" s="4" t="n">
        <x:v>31.21</x:v>
      </x:c>
      <x:c r="K418" s="4" t="n">
        <x:v>12</x:v>
      </x:c>
      <x:c r="L418" s="5" t="n">
        <x:v>0.2</x:v>
      </x:c>
      <x:c r="M418" s="4" t="n">
        <x:f>ROUND(I418*J418*(1-L418),2)</x:f>
        <x:v>49.94</x:v>
      </x:c>
      <x:c r="N418" s="4" t="n">
        <x:f>ROUND(I418*K418,2)</x:f>
        <x:v>24</x:v>
      </x:c>
      <x:c r="O418" s="4" t="n">
        <x:f>ROUND(M418-N418,2)</x:f>
        <x:v>25.94</x:v>
      </x:c>
      <x:c r="P418" s="6" t="n">
        <x:v>5</x:v>
      </x:c>
      <x:c r="Q418" t="str">
        <x:v>No</x:v>
      </x:c>
    </x:row>
    <x:row r="419">
      <x:c r="A419" t="str">
        <x:v>ORD-01659</x:v>
      </x:c>
      <x:c r="B419" s="3" t="n">
        <x:v>45464.64443273148</x:v>
      </x:c>
      <x:c r="C419" t="str">
        <x:v>2024-06</x:v>
      </x:c>
      <x:c r="D419" t="str">
        <x:v>CUS-0364</x:v>
      </x:c>
      <x:c r="E419" t="str">
        <x:v>London</x:v>
      </x:c>
      <x:c r="F419" t="str">
        <x:v>Online</x:v>
      </x:c>
      <x:c r="G419" t="str">
        <x:v>Electronics</x:v>
      </x:c>
      <x:c r="H419" t="str">
        <x:v>Smart Watch</x:v>
      </x:c>
      <x:c r="I419" t="n">
        <x:v>4</x:v>
      </x:c>
      <x:c r="J419" s="4" t="n">
        <x:v>156.5</x:v>
      </x:c>
      <x:c r="K419" s="4" t="n">
        <x:v>92</x:v>
      </x:c>
      <x:c r="L419" s="5" t="n">
        <x:v>0.15</x:v>
      </x:c>
      <x:c r="M419" s="4" t="n">
        <x:f>ROUND(I419*J419*(1-L419),2)</x:f>
        <x:v>532.1</x:v>
      </x:c>
      <x:c r="N419" s="4" t="n">
        <x:f>ROUND(I419*K419,2)</x:f>
        <x:v>368</x:v>
      </x:c>
      <x:c r="O419" s="4" t="n">
        <x:f>ROUND(M419-N419,2)</x:f>
        <x:v>164.1</x:v>
      </x:c>
      <x:c r="P419" s="6" t="n">
        <x:v>4.7</x:v>
      </x:c>
      <x:c r="Q419" t="str">
        <x:v>No</x:v>
      </x:c>
    </x:row>
    <x:row r="420">
      <x:c r="A420" t="str">
        <x:v>ORD-01325</x:v>
      </x:c>
      <x:c r="B420" s="3" t="n">
        <x:v>45464.97532121528</x:v>
      </x:c>
      <x:c r="C420" t="str">
        <x:v>2024-06</x:v>
      </x:c>
      <x:c r="D420" t="str">
        <x:v>CUS-0192</x:v>
      </x:c>
      <x:c r="E420" t="str">
        <x:v>North West</x:v>
      </x:c>
      <x:c r="F420" t="str">
        <x:v>Marketplace</x:v>
      </x:c>
      <x:c r="G420" t="str">
        <x:v>Fashion</x:v>
      </x:c>
      <x:c r="H420" t="str">
        <x:v>Winter Jacket</x:v>
      </x:c>
      <x:c r="I420" t="n">
        <x:v>4</x:v>
      </x:c>
      <x:c r="J420" s="4" t="n">
        <x:v>93.08</x:v>
      </x:c>
      <x:c r="K420" s="4" t="n">
        <x:v>46</x:v>
      </x:c>
      <x:c r="L420" s="5" t="n">
        <x:v>0.1</x:v>
      </x:c>
      <x:c r="M420" s="4" t="n">
        <x:f>ROUND(I420*J420*(1-L420),2)</x:f>
        <x:v>335.09</x:v>
      </x:c>
      <x:c r="N420" s="4" t="n">
        <x:f>ROUND(I420*K420,2)</x:f>
        <x:v>184</x:v>
      </x:c>
      <x:c r="O420" s="4" t="n">
        <x:f>ROUND(M420-N420,2)</x:f>
        <x:v>151.09</x:v>
      </x:c>
      <x:c r="P420" s="6" t="n">
        <x:v>3.7</x:v>
      </x:c>
      <x:c r="Q420" t="str">
        <x:v>No</x:v>
      </x:c>
    </x:row>
    <x:row r="421">
      <x:c r="A421" t="str">
        <x:v>ORD-01175</x:v>
      </x:c>
      <x:c r="B421" s="3" t="n">
        <x:v>45465.52664657407</x:v>
      </x:c>
      <x:c r="C421" t="str">
        <x:v>2024-06</x:v>
      </x:c>
      <x:c r="D421" t="str">
        <x:v>CUS-0573</x:v>
      </x:c>
      <x:c r="E421" t="str">
        <x:v>Wales</x:v>
      </x:c>
      <x:c r="F421" t="str">
        <x:v>Store</x:v>
      </x:c>
      <x:c r="G421" t="str">
        <x:v>Fashion</x:v>
      </x:c>
      <x:c r="H421" t="str">
        <x:v>Classic Trainers</x:v>
      </x:c>
      <x:c r="I421" t="n">
        <x:v>3</x:v>
      </x:c>
      <x:c r="J421" s="4" t="n">
        <x:v>69.78</x:v>
      </x:c>
      <x:c r="K421" s="4" t="n">
        <x:v>32</x:v>
      </x:c>
      <x:c r="L421" s="5" t="n">
        <x:v>0.15</x:v>
      </x:c>
      <x:c r="M421" s="4" t="n">
        <x:f>ROUND(I421*J421*(1-L421),2)</x:f>
        <x:v>177.94</x:v>
      </x:c>
      <x:c r="N421" s="4" t="n">
        <x:f>ROUND(I421*K421,2)</x:f>
        <x:v>96</x:v>
      </x:c>
      <x:c r="O421" s="4" t="n">
        <x:f>ROUND(M421-N421,2)</x:f>
        <x:v>81.94</x:v>
      </x:c>
      <x:c r="P421" s="6" t="n">
        <x:v>3.6</x:v>
      </x:c>
      <x:c r="Q421" t="str">
        <x:v>No</x:v>
      </x:c>
    </x:row>
    <x:row r="422">
      <x:c r="A422" t="str">
        <x:v>ORD-01624</x:v>
      </x:c>
      <x:c r="B422" s="3" t="n">
        <x:v>45465.57963155093</x:v>
      </x:c>
      <x:c r="C422" t="str">
        <x:v>2024-06</x:v>
      </x:c>
      <x:c r="D422" t="str">
        <x:v>CUS-0339</x:v>
      </x:c>
      <x:c r="E422" t="str">
        <x:v>London</x:v>
      </x:c>
      <x:c r="F422" t="str">
        <x:v>Online</x:v>
      </x:c>
      <x:c r="G422" t="str">
        <x:v>Sports</x:v>
      </x:c>
      <x:c r="H422" t="str">
        <x:v>Fitness Tracker</x:v>
      </x:c>
      <x:c r="I422" t="n">
        <x:v>2</x:v>
      </x:c>
      <x:c r="J422" s="4" t="n">
        <x:v>57.07</x:v>
      </x:c>
      <x:c r="K422" s="4" t="n">
        <x:v>27</x:v>
      </x:c>
      <x:c r="L422" s="5" t="n">
        <x:v>0</x:v>
      </x:c>
      <x:c r="M422" s="4" t="n">
        <x:f>ROUND(I422*J422*(1-L422),2)</x:f>
        <x:v>114.14</x:v>
      </x:c>
      <x:c r="N422" s="4" t="n">
        <x:f>ROUND(I422*K422,2)</x:f>
        <x:v>54</x:v>
      </x:c>
      <x:c r="O422" s="4" t="n">
        <x:f>ROUND(M422-N422,2)</x:f>
        <x:v>60.14</x:v>
      </x:c>
      <x:c r="P422" s="6" t="n">
        <x:v>3.3</x:v>
      </x:c>
      <x:c r="Q422" t="str">
        <x:v>No</x:v>
      </x:c>
    </x:row>
    <x:row r="423">
      <x:c r="A423" t="str">
        <x:v>ORD-01558</x:v>
      </x:c>
      <x:c r="B423" s="3" t="n">
        <x:v>45465.77037936343</x:v>
      </x:c>
      <x:c r="C423" t="str">
        <x:v>2024-06</x:v>
      </x:c>
      <x:c r="D423" t="str">
        <x:v>CUS-0381</x:v>
      </x:c>
      <x:c r="E423" t="str">
        <x:v>South East</x:v>
      </x:c>
      <x:c r="F423" t="str">
        <x:v>Marketplace</x:v>
      </x:c>
      <x:c r="G423" t="str">
        <x:v>Sports</x:v>
      </x:c>
      <x:c r="H423" t="str">
        <x:v>Yoga Mat</x:v>
      </x:c>
      <x:c r="I423" t="n">
        <x:v>2</x:v>
      </x:c>
      <x:c r="J423" s="4" t="n">
        <x:v>28.97</x:v>
      </x:c>
      <x:c r="K423" s="4" t="n">
        <x:v>12</x:v>
      </x:c>
      <x:c r="L423" s="5" t="n">
        <x:v>0.05</x:v>
      </x:c>
      <x:c r="M423" s="4" t="n">
        <x:f>ROUND(I423*J423*(1-L423),2)</x:f>
        <x:v>55.04</x:v>
      </x:c>
      <x:c r="N423" s="4" t="n">
        <x:f>ROUND(I423*K423,2)</x:f>
        <x:v>24</x:v>
      </x:c>
      <x:c r="O423" s="4" t="n">
        <x:f>ROUND(M423-N423,2)</x:f>
        <x:v>31.04</x:v>
      </x:c>
      <x:c r="P423" s="6" t="n">
        <x:v>4.8</x:v>
      </x:c>
      <x:c r="Q423" t="str">
        <x:v>No</x:v>
      </x:c>
    </x:row>
    <x:row r="424">
      <x:c r="A424" t="str">
        <x:v>ORD-00093</x:v>
      </x:c>
      <x:c r="B424" s="3" t="n">
        <x:v>45465.96161023148</x:v>
      </x:c>
      <x:c r="C424" t="str">
        <x:v>2024-06</x:v>
      </x:c>
      <x:c r="D424" t="str">
        <x:v>CUS-0428</x:v>
      </x:c>
      <x:c r="E424" t="str">
        <x:v>London</x:v>
      </x:c>
      <x:c r="F424" t="str">
        <x:v>Store</x:v>
      </x:c>
      <x:c r="G424" t="str">
        <x:v>Sports</x:v>
      </x:c>
      <x:c r="H424" t="str">
        <x:v>Yoga Mat</x:v>
      </x:c>
      <x:c r="I424" t="n">
        <x:v>5</x:v>
      </x:c>
      <x:c r="J424" s="4" t="n">
        <x:v>30.42</x:v>
      </x:c>
      <x:c r="K424" s="4" t="n">
        <x:v>12</x:v>
      </x:c>
      <x:c r="L424" s="5" t="n">
        <x:v>0.1</x:v>
      </x:c>
      <x:c r="M424" s="4" t="n">
        <x:f>ROUND(I424*J424*(1-L424),2)</x:f>
        <x:v>136.89</x:v>
      </x:c>
      <x:c r="N424" s="4" t="n">
        <x:f>ROUND(I424*K424,2)</x:f>
        <x:v>60</x:v>
      </x:c>
      <x:c r="O424" s="4" t="n">
        <x:f>ROUND(M424-N424,2)</x:f>
        <x:v>76.89</x:v>
      </x:c>
      <x:c r="P424" s="6" t="n">
        <x:v>4.5</x:v>
      </x:c>
      <x:c r="Q424" t="str">
        <x:v>No</x:v>
      </x:c>
    </x:row>
    <x:row r="425">
      <x:c r="A425" t="str">
        <x:v>ORD-01341</x:v>
      </x:c>
      <x:c r="B425" s="3" t="n">
        <x:v>45468.03047895833</x:v>
      </x:c>
      <x:c r="C425" t="str">
        <x:v>2024-06</x:v>
      </x:c>
      <x:c r="D425" t="str">
        <x:v>CUS-0619</x:v>
      </x:c>
      <x:c r="E425" t="str">
        <x:v>South East</x:v>
      </x:c>
      <x:c r="F425" t="str">
        <x:v>Marketplace</x:v>
      </x:c>
      <x:c r="G425" t="str">
        <x:v>Beauty</x:v>
      </x:c>
      <x:c r="H425" t="str">
        <x:v>Hair Dryer</x:v>
      </x:c>
      <x:c r="I425" t="n">
        <x:v>3</x:v>
      </x:c>
      <x:c r="J425" s="4" t="n">
        <x:v>57.84</x:v>
      </x:c>
      <x:c r="K425" s="4" t="n">
        <x:v>29</x:v>
      </x:c>
      <x:c r="L425" s="5" t="n">
        <x:v>0</x:v>
      </x:c>
      <x:c r="M425" s="4" t="n">
        <x:f>ROUND(I425*J425*(1-L425),2)</x:f>
        <x:v>173.52</x:v>
      </x:c>
      <x:c r="N425" s="4" t="n">
        <x:f>ROUND(I425*K425,2)</x:f>
        <x:v>87</x:v>
      </x:c>
      <x:c r="O425" s="4" t="n">
        <x:f>ROUND(M425-N425,2)</x:f>
        <x:v>86.52</x:v>
      </x:c>
      <x:c r="P425" s="6" t="n">
        <x:v>3.7</x:v>
      </x:c>
      <x:c r="Q425" t="str">
        <x:v>No</x:v>
      </x:c>
    </x:row>
    <x:row r="426">
      <x:c r="A426" t="str">
        <x:v>ORD-01654</x:v>
      </x:c>
      <x:c r="B426" s="3" t="n">
        <x:v>45468.46254876158</x:v>
      </x:c>
      <x:c r="C426" t="str">
        <x:v>2024-06</x:v>
      </x:c>
      <x:c r="D426" t="str">
        <x:v>CUS-0576</x:v>
      </x:c>
      <x:c r="E426" t="str">
        <x:v>Wales</x:v>
      </x:c>
      <x:c r="F426" t="str">
        <x:v>Store</x:v>
      </x:c>
      <x:c r="G426" t="str">
        <x:v>Electronics</x:v>
      </x:c>
      <x:c r="H426" t="str">
        <x:v>Smart Watch</x:v>
      </x:c>
      <x:c r="I426" t="n">
        <x:v>4</x:v>
      </x:c>
      <x:c r="J426" s="4" t="n">
        <x:v>153.19</x:v>
      </x:c>
      <x:c r="K426" s="4" t="n">
        <x:v>92</x:v>
      </x:c>
      <x:c r="L426" s="5" t="n">
        <x:v>0</x:v>
      </x:c>
      <x:c r="M426" s="4" t="n">
        <x:f>ROUND(I426*J426*(1-L426),2)</x:f>
        <x:v>612.76</x:v>
      </x:c>
      <x:c r="N426" s="4" t="n">
        <x:f>ROUND(I426*K426,2)</x:f>
        <x:v>368</x:v>
      </x:c>
      <x:c r="O426" s="4" t="n">
        <x:f>ROUND(M426-N426,2)</x:f>
        <x:v>244.76</x:v>
      </x:c>
      <x:c r="P426" s="6" t="n">
        <x:v>4.1</x:v>
      </x:c>
      <x:c r="Q426" t="str">
        <x:v>No</x:v>
      </x:c>
    </x:row>
    <x:row r="427">
      <x:c r="A427" t="str">
        <x:v>ORD-00217</x:v>
      </x:c>
      <x:c r="B427" s="3" t="n">
        <x:v>45469.003740381944</x:v>
      </x:c>
      <x:c r="C427" t="str">
        <x:v>2024-06</x:v>
      </x:c>
      <x:c r="D427" t="str">
        <x:v>CUS-0157</x:v>
      </x:c>
      <x:c r="E427" t="str">
        <x:v>South East</x:v>
      </x:c>
      <x:c r="F427" t="str">
        <x:v>Store</x:v>
      </x:c>
      <x:c r="G427" t="str">
        <x:v>Electronics</x:v>
      </x:c>
      <x:c r="H427" t="str">
        <x:v>Smart Watch</x:v>
      </x:c>
      <x:c r="I427" t="n">
        <x:v>2</x:v>
      </x:c>
      <x:c r="J427" s="4" t="n">
        <x:v>156.09</x:v>
      </x:c>
      <x:c r="K427" s="4" t="n">
        <x:v>92</x:v>
      </x:c>
      <x:c r="L427" s="5" t="n">
        <x:v>0.1</x:v>
      </x:c>
      <x:c r="M427" s="4" t="n">
        <x:f>ROUND(I427*J427*(1-L427),2)</x:f>
        <x:v>280.96</x:v>
      </x:c>
      <x:c r="N427" s="4" t="n">
        <x:f>ROUND(I427*K427,2)</x:f>
        <x:v>184</x:v>
      </x:c>
      <x:c r="O427" s="4" t="n">
        <x:f>ROUND(M427-N427,2)</x:f>
        <x:v>96.96</x:v>
      </x:c>
      <x:c r="P427" s="6" t="n">
        <x:v>3.8</x:v>
      </x:c>
      <x:c r="Q427" t="str">
        <x:v>No</x:v>
      </x:c>
    </x:row>
    <x:row r="428">
      <x:c r="A428" t="str">
        <x:v>ORD-01068</x:v>
      </x:c>
      <x:c r="B428" s="3" t="n">
        <x:v>45469.37977092592</x:v>
      </x:c>
      <x:c r="C428" t="str">
        <x:v>2024-06</x:v>
      </x:c>
      <x:c r="D428" t="str">
        <x:v>CUS-0511</x:v>
      </x:c>
      <x:c r="E428" t="str">
        <x:v>Scotland</x:v>
      </x:c>
      <x:c r="F428" t="str">
        <x:v>Marketplace</x:v>
      </x:c>
      <x:c r="G428" t="str">
        <x:v>Sports</x:v>
      </x:c>
      <x:c r="H428" t="str">
        <x:v>Yoga Mat</x:v>
      </x:c>
      <x:c r="I428" t="n">
        <x:v>4</x:v>
      </x:c>
      <x:c r="J428" s="4" t="n">
        <x:v>30.28</x:v>
      </x:c>
      <x:c r="K428" s="4" t="n">
        <x:v>12</x:v>
      </x:c>
      <x:c r="L428" s="5" t="n">
        <x:v>0.2</x:v>
      </x:c>
      <x:c r="M428" s="4" t="n">
        <x:f>ROUND(I428*J428*(1-L428),2)</x:f>
        <x:v>96.9</x:v>
      </x:c>
      <x:c r="N428" s="4" t="n">
        <x:f>ROUND(I428*K428,2)</x:f>
        <x:v>48</x:v>
      </x:c>
      <x:c r="O428" s="4" t="n">
        <x:f>ROUND(M428-N428,2)</x:f>
        <x:v>48.9</x:v>
      </x:c>
      <x:c r="P428" s="6" t="n">
        <x:v>3.8</x:v>
      </x:c>
      <x:c r="Q428" t="str">
        <x:v>No</x:v>
      </x:c>
    </x:row>
    <x:row r="429">
      <x:c r="A429" t="str">
        <x:v>ORD-00172</x:v>
      </x:c>
      <x:c r="B429" s="3" t="n">
        <x:v>45469.559777546296</x:v>
      </x:c>
      <x:c r="C429" t="str">
        <x:v>2024-06</x:v>
      </x:c>
      <x:c r="D429" t="str">
        <x:v>CUS-0048</x:v>
      </x:c>
      <x:c r="E429" t="str">
        <x:v>Scotland</x:v>
      </x:c>
      <x:c r="F429" t="str">
        <x:v>Marketplace</x:v>
      </x:c>
      <x:c r="G429" t="str">
        <x:v>Books</x:v>
      </x:c>
      <x:c r="H429" t="str">
        <x:v>Data Analytics Handbook</x:v>
      </x:c>
      <x:c r="I429" t="n">
        <x:v>3</x:v>
      </x:c>
      <x:c r="J429" s="4" t="n">
        <x:v>40.37</x:v>
      </x:c>
      <x:c r="K429" s="4" t="n">
        <x:v>14</x:v>
      </x:c>
      <x:c r="L429" s="5" t="n">
        <x:v>0</x:v>
      </x:c>
      <x:c r="M429" s="4" t="n">
        <x:f>ROUND(I429*J429*(1-L429),2)</x:f>
        <x:v>121.11</x:v>
      </x:c>
      <x:c r="N429" s="4" t="n">
        <x:f>ROUND(I429*K429,2)</x:f>
        <x:v>42</x:v>
      </x:c>
      <x:c r="O429" s="4" t="n">
        <x:f>ROUND(M429-N429,2)</x:f>
        <x:v>79.11</x:v>
      </x:c>
      <x:c r="P429" s="6" t="n">
        <x:v>3.3</x:v>
      </x:c>
      <x:c r="Q429" t="str">
        <x:v>Yes</x:v>
      </x:c>
    </x:row>
    <x:row r="430">
      <x:c r="A430" t="str">
        <x:v>ORD-01455</x:v>
      </x:c>
      <x:c r="B430" s="3" t="n">
        <x:v>45469.90796894676</x:v>
      </x:c>
      <x:c r="C430" t="str">
        <x:v>2024-06</x:v>
      </x:c>
      <x:c r="D430" t="str">
        <x:v>CUS-0143</x:v>
      </x:c>
      <x:c r="E430" t="str">
        <x:v>South West</x:v>
      </x:c>
      <x:c r="F430" t="str">
        <x:v>Store</x:v>
      </x:c>
      <x:c r="G430" t="str">
        <x:v>Beauty</x:v>
      </x:c>
      <x:c r="H430" t="str">
        <x:v>Hair Dryer</x:v>
      </x:c>
      <x:c r="I430" t="n">
        <x:v>3</x:v>
      </x:c>
      <x:c r="J430" s="4" t="n">
        <x:v>62.7</x:v>
      </x:c>
      <x:c r="K430" s="4" t="n">
        <x:v>29</x:v>
      </x:c>
      <x:c r="L430" s="5" t="n">
        <x:v>0.15</x:v>
      </x:c>
      <x:c r="M430" s="4" t="n">
        <x:f>ROUND(I430*J430*(1-L430),2)</x:f>
        <x:v>159.89</x:v>
      </x:c>
      <x:c r="N430" s="4" t="n">
        <x:f>ROUND(I430*K430,2)</x:f>
        <x:v>87</x:v>
      </x:c>
      <x:c r="O430" s="4" t="n">
        <x:f>ROUND(M430-N430,2)</x:f>
        <x:v>72.89</x:v>
      </x:c>
      <x:c r="P430" s="6" t="n">
        <x:v>3.5</x:v>
      </x:c>
      <x:c r="Q430" t="str">
        <x:v>Yes</x:v>
      </x:c>
    </x:row>
    <x:row r="431">
      <x:c r="A431" t="str">
        <x:v>ORD-00288</x:v>
      </x:c>
      <x:c r="B431" s="3" t="n">
        <x:v>45470.24129237269</x:v>
      </x:c>
      <x:c r="C431" t="str">
        <x:v>2024-06</x:v>
      </x:c>
      <x:c r="D431" t="str">
        <x:v>CUS-0613</x:v>
      </x:c>
      <x:c r="E431" t="str">
        <x:v>North West</x:v>
      </x:c>
      <x:c r="F431" t="str">
        <x:v>Marketplace</x:v>
      </x:c>
      <x:c r="G431" t="str">
        <x:v>Books</x:v>
      </x:c>
      <x:c r="H431" t="str">
        <x:v>Data Analytics Handbook</x:v>
      </x:c>
      <x:c r="I431" t="n">
        <x:v>5</x:v>
      </x:c>
      <x:c r="J431" s="4" t="n">
        <x:v>39.05</x:v>
      </x:c>
      <x:c r="K431" s="4" t="n">
        <x:v>14</x:v>
      </x:c>
      <x:c r="L431" s="5" t="n">
        <x:v>0.15</x:v>
      </x:c>
      <x:c r="M431" s="4" t="n">
        <x:f>ROUND(I431*J431*(1-L431),2)</x:f>
        <x:v>165.96</x:v>
      </x:c>
      <x:c r="N431" s="4" t="n">
        <x:f>ROUND(I431*K431,2)</x:f>
        <x:v>70</x:v>
      </x:c>
      <x:c r="O431" s="4" t="n">
        <x:f>ROUND(M431-N431,2)</x:f>
        <x:v>95.96</x:v>
      </x:c>
      <x:c r="P431" s="6" t="n">
        <x:v>4.1</x:v>
      </x:c>
      <x:c r="Q431" t="str">
        <x:v>No</x:v>
      </x:c>
    </x:row>
    <x:row r="432">
      <x:c r="A432" t="str">
        <x:v>ORD-00517</x:v>
      </x:c>
      <x:c r="B432" s="3" t="n">
        <x:v>45470.61188195602</x:v>
      </x:c>
      <x:c r="C432" t="str">
        <x:v>2024-06</x:v>
      </x:c>
      <x:c r="D432" t="str">
        <x:v>CUS-0126</x:v>
      </x:c>
      <x:c r="E432" t="str">
        <x:v>South East</x:v>
      </x:c>
      <x:c r="F432" t="str">
        <x:v>Online</x:v>
      </x:c>
      <x:c r="G432" t="str">
        <x:v>Books</x:v>
      </x:c>
      <x:c r="H432" t="str">
        <x:v>Data Analytics Handbook</x:v>
      </x:c>
      <x:c r="I432" t="n">
        <x:v>4</x:v>
      </x:c>
      <x:c r="J432" s="4" t="n">
        <x:v>40.54</x:v>
      </x:c>
      <x:c r="K432" s="4" t="n">
        <x:v>14</x:v>
      </x:c>
      <x:c r="L432" s="5" t="n">
        <x:v>0</x:v>
      </x:c>
      <x:c r="M432" s="4" t="n">
        <x:f>ROUND(I432*J432*(1-L432),2)</x:f>
        <x:v>162.16</x:v>
      </x:c>
      <x:c r="N432" s="4" t="n">
        <x:f>ROUND(I432*K432,2)</x:f>
        <x:v>56</x:v>
      </x:c>
      <x:c r="O432" s="4" t="n">
        <x:f>ROUND(M432-N432,2)</x:f>
        <x:v>106.16</x:v>
      </x:c>
      <x:c r="P432" s="6" t="n">
        <x:v>4.2</x:v>
      </x:c>
      <x:c r="Q432" t="str">
        <x:v>No</x:v>
      </x:c>
    </x:row>
    <x:row r="433">
      <x:c r="A433" t="str">
        <x:v>ORD-00682</x:v>
      </x:c>
      <x:c r="B433" s="3" t="n">
        <x:v>45470.670704247685</x:v>
      </x:c>
      <x:c r="C433" t="str">
        <x:v>2024-06</x:v>
      </x:c>
      <x:c r="D433" t="str">
        <x:v>CUS-0224</x:v>
      </x:c>
      <x:c r="E433" t="str">
        <x:v>South East</x:v>
      </x:c>
      <x:c r="F433" t="str">
        <x:v>Online</x:v>
      </x:c>
      <x:c r="G433" t="str">
        <x:v>Electronics</x:v>
      </x:c>
      <x:c r="H433" t="str">
        <x:v>Wireless Headphones</x:v>
      </x:c>
      <x:c r="I433" t="n">
        <x:v>3</x:v>
      </x:c>
      <x:c r="J433" s="4" t="n">
        <x:v>88.52</x:v>
      </x:c>
      <x:c r="K433" s="4" t="n">
        <x:v>48</x:v>
      </x:c>
      <x:c r="L433" s="5" t="n">
        <x:v>0</x:v>
      </x:c>
      <x:c r="M433" s="4" t="n">
        <x:f>ROUND(I433*J433*(1-L433),2)</x:f>
        <x:v>265.56</x:v>
      </x:c>
      <x:c r="N433" s="4" t="n">
        <x:f>ROUND(I433*K433,2)</x:f>
        <x:v>144</x:v>
      </x:c>
      <x:c r="O433" s="4" t="n">
        <x:f>ROUND(M433-N433,2)</x:f>
        <x:v>121.56</x:v>
      </x:c>
      <x:c r="P433" s="6" t="n">
        <x:v>4.1</x:v>
      </x:c>
      <x:c r="Q433" t="str">
        <x:v>No</x:v>
      </x:c>
    </x:row>
    <x:row r="434">
      <x:c r="A434" t="str">
        <x:v>ORD-00034</x:v>
      </x:c>
      <x:c r="B434" s="3" t="n">
        <x:v>45470.74201670139</x:v>
      </x:c>
      <x:c r="C434" t="str">
        <x:v>2024-06</x:v>
      </x:c>
      <x:c r="D434" t="str">
        <x:v>CUS-0438</x:v>
      </x:c>
      <x:c r="E434" t="str">
        <x:v>North West</x:v>
      </x:c>
      <x:c r="F434" t="str">
        <x:v>Marketplace</x:v>
      </x:c>
      <x:c r="G434" t="str">
        <x:v>Fashion</x:v>
      </x:c>
      <x:c r="H434" t="str">
        <x:v>Backpack</x:v>
      </x:c>
      <x:c r="I434" t="n">
        <x:v>5</x:v>
      </x:c>
      <x:c r="J434" s="4" t="n">
        <x:v>48.59</x:v>
      </x:c>
      <x:c r="K434" s="4" t="n">
        <x:v>21</x:v>
      </x:c>
      <x:c r="L434" s="5" t="n">
        <x:v>0.2</x:v>
      </x:c>
      <x:c r="M434" s="4" t="n">
        <x:f>ROUND(I434*J434*(1-L434),2)</x:f>
        <x:v>194.36</x:v>
      </x:c>
      <x:c r="N434" s="4" t="n">
        <x:f>ROUND(I434*K434,2)</x:f>
        <x:v>105</x:v>
      </x:c>
      <x:c r="O434" s="4" t="n">
        <x:f>ROUND(M434-N434,2)</x:f>
        <x:v>89.36</x:v>
      </x:c>
      <x:c r="P434" s="6" t="n">
        <x:v>3.9</x:v>
      </x:c>
      <x:c r="Q434" t="str">
        <x:v>No</x:v>
      </x:c>
    </x:row>
    <x:row r="435">
      <x:c r="A435" t="str">
        <x:v>ORD-01777</x:v>
      </x:c>
      <x:c r="B435" s="3" t="n">
        <x:v>45471.555887407405</x:v>
      </x:c>
      <x:c r="C435" t="str">
        <x:v>2024-06</x:v>
      </x:c>
      <x:c r="D435" t="str">
        <x:v>CUS-0567</x:v>
      </x:c>
      <x:c r="E435" t="str">
        <x:v>North West</x:v>
      </x:c>
      <x:c r="F435" t="str">
        <x:v>Store</x:v>
      </x:c>
      <x:c r="G435" t="str">
        <x:v>Sports</x:v>
      </x:c>
      <x:c r="H435" t="str">
        <x:v>Running Shoes</x:v>
      </x:c>
      <x:c r="I435" t="n">
        <x:v>5</x:v>
      </x:c>
      <x:c r="J435" s="4" t="n">
        <x:v>77.59</x:v>
      </x:c>
      <x:c r="K435" s="4" t="n">
        <x:v>38</x:v>
      </x:c>
      <x:c r="L435" s="5" t="n">
        <x:v>0</x:v>
      </x:c>
      <x:c r="M435" s="4" t="n">
        <x:f>ROUND(I435*J435*(1-L435),2)</x:f>
        <x:v>387.95</x:v>
      </x:c>
      <x:c r="N435" s="4" t="n">
        <x:f>ROUND(I435*K435,2)</x:f>
        <x:v>190</x:v>
      </x:c>
      <x:c r="O435" s="4" t="n">
        <x:f>ROUND(M435-N435,2)</x:f>
        <x:v>197.95</x:v>
      </x:c>
      <x:c r="P435" s="6" t="n">
        <x:v>3.3</x:v>
      </x:c>
      <x:c r="Q435" t="str">
        <x:v>No</x:v>
      </x:c>
    </x:row>
    <x:row r="436">
      <x:c r="A436" t="str">
        <x:v>ORD-00824</x:v>
      </x:c>
      <x:c r="B436" s="3" t="n">
        <x:v>45471.56217582176</x:v>
      </x:c>
      <x:c r="C436" t="str">
        <x:v>2024-06</x:v>
      </x:c>
      <x:c r="D436" t="str">
        <x:v>CUS-0262</x:v>
      </x:c>
      <x:c r="E436" t="str">
        <x:v>Wales</x:v>
      </x:c>
      <x:c r="F436" t="str">
        <x:v>Marketplace</x:v>
      </x:c>
      <x:c r="G436" t="str">
        <x:v>Fashion</x:v>
      </x:c>
      <x:c r="H436" t="str">
        <x:v>Classic Trainers</x:v>
      </x:c>
      <x:c r="I436" t="n">
        <x:v>4</x:v>
      </x:c>
      <x:c r="J436" s="4" t="n">
        <x:v>71.61</x:v>
      </x:c>
      <x:c r="K436" s="4" t="n">
        <x:v>32</x:v>
      </x:c>
      <x:c r="L436" s="5" t="n">
        <x:v>0.2</x:v>
      </x:c>
      <x:c r="M436" s="4" t="n">
        <x:f>ROUND(I436*J436*(1-L436),2)</x:f>
        <x:v>229.15</x:v>
      </x:c>
      <x:c r="N436" s="4" t="n">
        <x:f>ROUND(I436*K436,2)</x:f>
        <x:v>128</x:v>
      </x:c>
      <x:c r="O436" s="4" t="n">
        <x:f>ROUND(M436-N436,2)</x:f>
        <x:v>101.15</x:v>
      </x:c>
      <x:c r="P436" s="6" t="n">
        <x:v>5</x:v>
      </x:c>
      <x:c r="Q436" t="str">
        <x:v>No</x:v>
      </x:c>
    </x:row>
    <x:row r="437">
      <x:c r="A437" t="str">
        <x:v>ORD-01163</x:v>
      </x:c>
      <x:c r="B437" s="3" t="n">
        <x:v>45471.69715597222</x:v>
      </x:c>
      <x:c r="C437" t="str">
        <x:v>2024-06</x:v>
      </x:c>
      <x:c r="D437" t="str">
        <x:v>CUS-0577</x:v>
      </x:c>
      <x:c r="E437" t="str">
        <x:v>North West</x:v>
      </x:c>
      <x:c r="F437" t="str">
        <x:v>Online</x:v>
      </x:c>
      <x:c r="G437" t="str">
        <x:v>Sports</x:v>
      </x:c>
      <x:c r="H437" t="str">
        <x:v>Fitness Tracker</x:v>
      </x:c>
      <x:c r="I437" t="n">
        <x:v>5</x:v>
      </x:c>
      <x:c r="J437" s="4" t="n">
        <x:v>55.4</x:v>
      </x:c>
      <x:c r="K437" s="4" t="n">
        <x:v>27</x:v>
      </x:c>
      <x:c r="L437" s="5" t="n">
        <x:v>0.05</x:v>
      </x:c>
      <x:c r="M437" s="4" t="n">
        <x:f>ROUND(I437*J437*(1-L437),2)</x:f>
        <x:v>263.15</x:v>
      </x:c>
      <x:c r="N437" s="4" t="n">
        <x:f>ROUND(I437*K437,2)</x:f>
        <x:v>135</x:v>
      </x:c>
      <x:c r="O437" s="4" t="n">
        <x:f>ROUND(M437-N437,2)</x:f>
        <x:v>128.15</x:v>
      </x:c>
      <x:c r="P437" s="6" t="n">
        <x:v>4.2</x:v>
      </x:c>
      <x:c r="Q437" t="str">
        <x:v>Yes</x:v>
      </x:c>
    </x:row>
    <x:row r="438">
      <x:c r="A438" t="str">
        <x:v>ORD-00385</x:v>
      </x:c>
      <x:c r="B438" s="3" t="n">
        <x:v>45471.716362858795</x:v>
      </x:c>
      <x:c r="C438" t="str">
        <x:v>2024-06</x:v>
      </x:c>
      <x:c r="D438" t="str">
        <x:v>CUS-0521</x:v>
      </x:c>
      <x:c r="E438" t="str">
        <x:v>North West</x:v>
      </x:c>
      <x:c r="F438" t="str">
        <x:v>Marketplace</x:v>
      </x:c>
      <x:c r="G438" t="str">
        <x:v>Home</x:v>
      </x:c>
      <x:c r="H438" t="str">
        <x:v>Desk Lamp</x:v>
      </x:c>
      <x:c r="I438" t="n">
        <x:v>4</x:v>
      </x:c>
      <x:c r="J438" s="4" t="n">
        <x:v>35.24</x:v>
      </x:c>
      <x:c r="K438" s="4" t="n">
        <x:v>17</x:v>
      </x:c>
      <x:c r="L438" s="5" t="n">
        <x:v>0</x:v>
      </x:c>
      <x:c r="M438" s="4" t="n">
        <x:f>ROUND(I438*J438*(1-L438),2)</x:f>
        <x:v>140.96</x:v>
      </x:c>
      <x:c r="N438" s="4" t="n">
        <x:f>ROUND(I438*K438,2)</x:f>
        <x:v>68</x:v>
      </x:c>
      <x:c r="O438" s="4" t="n">
        <x:f>ROUND(M438-N438,2)</x:f>
        <x:v>72.96</x:v>
      </x:c>
      <x:c r="P438" s="6" t="n">
        <x:v>4.9</x:v>
      </x:c>
      <x:c r="Q438" t="str">
        <x:v>No</x:v>
      </x:c>
    </x:row>
    <x:row r="439">
      <x:c r="A439" t="str">
        <x:v>ORD-01790</x:v>
      </x:c>
      <x:c r="B439" s="3" t="n">
        <x:v>45472.500713125</x:v>
      </x:c>
      <x:c r="C439" t="str">
        <x:v>2024-06</x:v>
      </x:c>
      <x:c r="D439" t="str">
        <x:v>CUS-0503</x:v>
      </x:c>
      <x:c r="E439" t="str">
        <x:v>Scotland</x:v>
      </x:c>
      <x:c r="F439" t="str">
        <x:v>Online</x:v>
      </x:c>
      <x:c r="G439" t="str">
        <x:v>Beauty</x:v>
      </x:c>
      <x:c r="H439" t="str">
        <x:v>Skin Care Set</x:v>
      </x:c>
      <x:c r="I439" t="n">
        <x:v>5</x:v>
      </x:c>
      <x:c r="J439" s="4" t="n">
        <x:v>44.55</x:v>
      </x:c>
      <x:c r="K439" s="4" t="n">
        <x:v>18</x:v>
      </x:c>
      <x:c r="L439" s="5" t="n">
        <x:v>0.1</x:v>
      </x:c>
      <x:c r="M439" s="4" t="n">
        <x:f>ROUND(I439*J439*(1-L439),2)</x:f>
        <x:v>200.48</x:v>
      </x:c>
      <x:c r="N439" s="4" t="n">
        <x:f>ROUND(I439*K439,2)</x:f>
        <x:v>90</x:v>
      </x:c>
      <x:c r="O439" s="4" t="n">
        <x:f>ROUND(M439-N439,2)</x:f>
        <x:v>110.48</x:v>
      </x:c>
      <x:c r="P439" s="6" t="n">
        <x:v>3.2</x:v>
      </x:c>
      <x:c r="Q439" t="str">
        <x:v>No</x:v>
      </x:c>
    </x:row>
    <x:row r="440">
      <x:c r="A440" t="str">
        <x:v>ORD-00950</x:v>
      </x:c>
      <x:c r="B440" s="3" t="n">
        <x:v>45474.7544046412</x:v>
      </x:c>
      <x:c r="C440" t="str">
        <x:v>2024-07</x:v>
      </x:c>
      <x:c r="D440" t="str">
        <x:v>CUS-0148</x:v>
      </x:c>
      <x:c r="E440" t="str">
        <x:v>North West</x:v>
      </x:c>
      <x:c r="F440" t="str">
        <x:v>Store</x:v>
      </x:c>
      <x:c r="G440" t="str">
        <x:v>Fashion</x:v>
      </x:c>
      <x:c r="H440" t="str">
        <x:v>Winter Jacket</x:v>
      </x:c>
      <x:c r="I440" t="n">
        <x:v>2</x:v>
      </x:c>
      <x:c r="J440" s="4" t="n">
        <x:v>97.77</x:v>
      </x:c>
      <x:c r="K440" s="4" t="n">
        <x:v>46</x:v>
      </x:c>
      <x:c r="L440" s="5" t="n">
        <x:v>0</x:v>
      </x:c>
      <x:c r="M440" s="4" t="n">
        <x:f>ROUND(I440*J440*(1-L440),2)</x:f>
        <x:v>195.54</x:v>
      </x:c>
      <x:c r="N440" s="4" t="n">
        <x:f>ROUND(I440*K440,2)</x:f>
        <x:v>92</x:v>
      </x:c>
      <x:c r="O440" s="4" t="n">
        <x:f>ROUND(M440-N440,2)</x:f>
        <x:v>103.54</x:v>
      </x:c>
      <x:c r="P440" s="6" t="n">
        <x:v>3.9</x:v>
      </x:c>
      <x:c r="Q440" t="str">
        <x:v>Yes</x:v>
      </x:c>
    </x:row>
    <x:row r="441">
      <x:c r="A441" t="str">
        <x:v>ORD-00343</x:v>
      </x:c>
      <x:c r="B441" s="3" t="n">
        <x:v>45475.01724232639</x:v>
      </x:c>
      <x:c r="C441" t="str">
        <x:v>2024-07</x:v>
      </x:c>
      <x:c r="D441" t="str">
        <x:v>CUS-0133</x:v>
      </x:c>
      <x:c r="E441" t="str">
        <x:v>North West</x:v>
      </x:c>
      <x:c r="F441" t="str">
        <x:v>Marketplace</x:v>
      </x:c>
      <x:c r="G441" t="str">
        <x:v>Books</x:v>
      </x:c>
      <x:c r="H441" t="str">
        <x:v>Data Analytics Handbook</x:v>
      </x:c>
      <x:c r="I441" t="n">
        <x:v>3</x:v>
      </x:c>
      <x:c r="J441" s="4" t="n">
        <x:v>39.07</x:v>
      </x:c>
      <x:c r="K441" s="4" t="n">
        <x:v>14</x:v>
      </x:c>
      <x:c r="L441" s="5" t="n">
        <x:v>0</x:v>
      </x:c>
      <x:c r="M441" s="4" t="n">
        <x:f>ROUND(I441*J441*(1-L441),2)</x:f>
        <x:v>117.21</x:v>
      </x:c>
      <x:c r="N441" s="4" t="n">
        <x:f>ROUND(I441*K441,2)</x:f>
        <x:v>42</x:v>
      </x:c>
      <x:c r="O441" s="4" t="n">
        <x:f>ROUND(M441-N441,2)</x:f>
        <x:v>75.21</x:v>
      </x:c>
      <x:c r="P441" s="6" t="n">
        <x:v>4</x:v>
      </x:c>
      <x:c r="Q441" t="str">
        <x:v>No</x:v>
      </x:c>
    </x:row>
    <x:row r="442">
      <x:c r="A442" t="str">
        <x:v>ORD-01117</x:v>
      </x:c>
      <x:c r="B442" s="3" t="n">
        <x:v>45475.44953003472</x:v>
      </x:c>
      <x:c r="C442" t="str">
        <x:v>2024-07</x:v>
      </x:c>
      <x:c r="D442" t="str">
        <x:v>CUS-0455</x:v>
      </x:c>
      <x:c r="E442" t="str">
        <x:v>Scotland</x:v>
      </x:c>
      <x:c r="F442" t="str">
        <x:v>Store</x:v>
      </x:c>
      <x:c r="G442" t="str">
        <x:v>Fashion</x:v>
      </x:c>
      <x:c r="H442" t="str">
        <x:v>Winter Jacket</x:v>
      </x:c>
      <x:c r="I442" t="n">
        <x:v>1</x:v>
      </x:c>
      <x:c r="J442" s="4" t="n">
        <x:v>96.5</x:v>
      </x:c>
      <x:c r="K442" s="4" t="n">
        <x:v>46</x:v>
      </x:c>
      <x:c r="L442" s="5" t="n">
        <x:v>0.2</x:v>
      </x:c>
      <x:c r="M442" s="4" t="n">
        <x:f>ROUND(I442*J442*(1-L442),2)</x:f>
        <x:v>77.2</x:v>
      </x:c>
      <x:c r="N442" s="4" t="n">
        <x:f>ROUND(I442*K442,2)</x:f>
        <x:v>46</x:v>
      </x:c>
      <x:c r="O442" s="4" t="n">
        <x:f>ROUND(M442-N442,2)</x:f>
        <x:v>31.2</x:v>
      </x:c>
      <x:c r="P442" s="6" t="n">
        <x:v>3.3</x:v>
      </x:c>
      <x:c r="Q442" t="str">
        <x:v>No</x:v>
      </x:c>
    </x:row>
    <x:row r="443">
      <x:c r="A443" t="str">
        <x:v>ORD-00822</x:v>
      </x:c>
      <x:c r="B443" s="3" t="n">
        <x:v>45476.24976060185</x:v>
      </x:c>
      <x:c r="C443" t="str">
        <x:v>2024-07</x:v>
      </x:c>
      <x:c r="D443" t="str">
        <x:v>CUS-0222</x:v>
      </x:c>
      <x:c r="E443" t="str">
        <x:v>Wales</x:v>
      </x:c>
      <x:c r="F443" t="str">
        <x:v>Marketplace</x:v>
      </x:c>
      <x:c r="G443" t="str">
        <x:v>Home</x:v>
      </x:c>
      <x:c r="H443" t="str">
        <x:v>Coffee Maker</x:v>
      </x:c>
      <x:c r="I443" t="n">
        <x:v>4</x:v>
      </x:c>
      <x:c r="J443" s="4" t="n">
        <x:v>71.26</x:v>
      </x:c>
      <x:c r="K443" s="4" t="n">
        <x:v>41</x:v>
      </x:c>
      <x:c r="L443" s="5" t="n">
        <x:v>0.15</x:v>
      </x:c>
      <x:c r="M443" s="4" t="n">
        <x:f>ROUND(I443*J443*(1-L443),2)</x:f>
        <x:v>242.28</x:v>
      </x:c>
      <x:c r="N443" s="4" t="n">
        <x:f>ROUND(I443*K443,2)</x:f>
        <x:v>164</x:v>
      </x:c>
      <x:c r="O443" s="4" t="n">
        <x:f>ROUND(M443-N443,2)</x:f>
        <x:v>78.28</x:v>
      </x:c>
      <x:c r="P443" s="6" t="n">
        <x:v>4.2</x:v>
      </x:c>
      <x:c r="Q443" t="str">
        <x:v>No</x:v>
      </x:c>
    </x:row>
    <x:row r="444">
      <x:c r="A444" t="str">
        <x:v>ORD-00349</x:v>
      </x:c>
      <x:c r="B444" s="3" t="n">
        <x:v>45476.26449837963</x:v>
      </x:c>
      <x:c r="C444" t="str">
        <x:v>2024-07</x:v>
      </x:c>
      <x:c r="D444" t="str">
        <x:v>CUS-0359</x:v>
      </x:c>
      <x:c r="E444" t="str">
        <x:v>London</x:v>
      </x:c>
      <x:c r="F444" t="str">
        <x:v>Store</x:v>
      </x:c>
      <x:c r="G444" t="str">
        <x:v>Beauty</x:v>
      </x:c>
      <x:c r="H444" t="str">
        <x:v>Hair Dryer</x:v>
      </x:c>
      <x:c r="I444" t="n">
        <x:v>4</x:v>
      </x:c>
      <x:c r="J444" s="4" t="n">
        <x:v>61.14</x:v>
      </x:c>
      <x:c r="K444" s="4" t="n">
        <x:v>29</x:v>
      </x:c>
      <x:c r="L444" s="5" t="n">
        <x:v>0.2</x:v>
      </x:c>
      <x:c r="M444" s="4" t="n">
        <x:f>ROUND(I444*J444*(1-L444),2)</x:f>
        <x:v>195.65</x:v>
      </x:c>
      <x:c r="N444" s="4" t="n">
        <x:f>ROUND(I444*K444,2)</x:f>
        <x:v>116</x:v>
      </x:c>
      <x:c r="O444" s="4" t="n">
        <x:f>ROUND(M444-N444,2)</x:f>
        <x:v>79.65</x:v>
      </x:c>
      <x:c r="P444" s="6" t="n">
        <x:v>4.7</x:v>
      </x:c>
      <x:c r="Q444" t="str">
        <x:v>No</x:v>
      </x:c>
    </x:row>
    <x:row r="445">
      <x:c r="A445" t="str">
        <x:v>ORD-00834</x:v>
      </x:c>
      <x:c r="B445" s="3" t="n">
        <x:v>45476.45133119213</x:v>
      </x:c>
      <x:c r="C445" t="str">
        <x:v>2024-07</x:v>
      </x:c>
      <x:c r="D445" t="str">
        <x:v>CUS-0087</x:v>
      </x:c>
      <x:c r="E445" t="str">
        <x:v>Scotland</x:v>
      </x:c>
      <x:c r="F445" t="str">
        <x:v>Store</x:v>
      </x:c>
      <x:c r="G445" t="str">
        <x:v>Beauty</x:v>
      </x:c>
      <x:c r="H445" t="str">
        <x:v>Hair Dryer</x:v>
      </x:c>
      <x:c r="I445" t="n">
        <x:v>2</x:v>
      </x:c>
      <x:c r="J445" s="4" t="n">
        <x:v>59.03</x:v>
      </x:c>
      <x:c r="K445" s="4" t="n">
        <x:v>29</x:v>
      </x:c>
      <x:c r="L445" s="5" t="n">
        <x:v>0.05</x:v>
      </x:c>
      <x:c r="M445" s="4" t="n">
        <x:f>ROUND(I445*J445*(1-L445),2)</x:f>
        <x:v>112.16</x:v>
      </x:c>
      <x:c r="N445" s="4" t="n">
        <x:f>ROUND(I445*K445,2)</x:f>
        <x:v>58</x:v>
      </x:c>
      <x:c r="O445" s="4" t="n">
        <x:f>ROUND(M445-N445,2)</x:f>
        <x:v>54.16</x:v>
      </x:c>
      <x:c r="P445" s="6" t="n">
        <x:v>3.5</x:v>
      </x:c>
      <x:c r="Q445" t="str">
        <x:v>No</x:v>
      </x:c>
    </x:row>
    <x:row r="446">
      <x:c r="A446" t="str">
        <x:v>ORD-01143</x:v>
      </x:c>
      <x:c r="B446" s="3" t="n">
        <x:v>45476.84368734954</x:v>
      </x:c>
      <x:c r="C446" t="str">
        <x:v>2024-07</x:v>
      </x:c>
      <x:c r="D446" t="str">
        <x:v>CUS-0422</x:v>
      </x:c>
      <x:c r="E446" t="str">
        <x:v>South East</x:v>
      </x:c>
      <x:c r="F446" t="str">
        <x:v>Marketplace</x:v>
      </x:c>
      <x:c r="G446" t="str">
        <x:v>Sports</x:v>
      </x:c>
      <x:c r="H446" t="str">
        <x:v>Yoga Mat</x:v>
      </x:c>
      <x:c r="I446" t="n">
        <x:v>5</x:v>
      </x:c>
      <x:c r="J446" s="4" t="n">
        <x:v>29.02</x:v>
      </x:c>
      <x:c r="K446" s="4" t="n">
        <x:v>12</x:v>
      </x:c>
      <x:c r="L446" s="5" t="n">
        <x:v>0</x:v>
      </x:c>
      <x:c r="M446" s="4" t="n">
        <x:f>ROUND(I446*J446*(1-L446),2)</x:f>
        <x:v>145.1</x:v>
      </x:c>
      <x:c r="N446" s="4" t="n">
        <x:f>ROUND(I446*K446,2)</x:f>
        <x:v>60</x:v>
      </x:c>
      <x:c r="O446" s="4" t="n">
        <x:f>ROUND(M446-N446,2)</x:f>
        <x:v>85.1</x:v>
      </x:c>
      <x:c r="P446" s="6" t="n">
        <x:v>4.2</x:v>
      </x:c>
      <x:c r="Q446" t="str">
        <x:v>No</x:v>
      </x:c>
    </x:row>
    <x:row r="447">
      <x:c r="A447" t="str">
        <x:v>ORD-00829</x:v>
      </x:c>
      <x:c r="B447" s="3" t="n">
        <x:v>45477.410664560186</x:v>
      </x:c>
      <x:c r="C447" t="str">
        <x:v>2024-07</x:v>
      </x:c>
      <x:c r="D447" t="str">
        <x:v>CUS-0393</x:v>
      </x:c>
      <x:c r="E447" t="str">
        <x:v>Scotland</x:v>
      </x:c>
      <x:c r="F447" t="str">
        <x:v>Marketplace</x:v>
      </x:c>
      <x:c r="G447" t="str">
        <x:v>Home</x:v>
      </x:c>
      <x:c r="H447" t="str">
        <x:v>Air Fryer</x:v>
      </x:c>
      <x:c r="I447" t="n">
        <x:v>3</x:v>
      </x:c>
      <x:c r="J447" s="4" t="n">
        <x:v>115.32</x:v>
      </x:c>
      <x:c r="K447" s="4" t="n">
        <x:v>69</x:v>
      </x:c>
      <x:c r="L447" s="5" t="n">
        <x:v>0.2</x:v>
      </x:c>
      <x:c r="M447" s="4" t="n">
        <x:f>ROUND(I447*J447*(1-L447),2)</x:f>
        <x:v>276.77</x:v>
      </x:c>
      <x:c r="N447" s="4" t="n">
        <x:f>ROUND(I447*K447,2)</x:f>
        <x:v>207</x:v>
      </x:c>
      <x:c r="O447" s="4" t="n">
        <x:f>ROUND(M447-N447,2)</x:f>
        <x:v>69.77</x:v>
      </x:c>
      <x:c r="P447" s="6" t="n">
        <x:v>5</x:v>
      </x:c>
      <x:c r="Q447" t="str">
        <x:v>No</x:v>
      </x:c>
    </x:row>
    <x:row r="448">
      <x:c r="A448" t="str">
        <x:v>ORD-01084</x:v>
      </x:c>
      <x:c r="B448" s="3" t="n">
        <x:v>45477.99703324074</x:v>
      </x:c>
      <x:c r="C448" t="str">
        <x:v>2024-07</x:v>
      </x:c>
      <x:c r="D448" t="str">
        <x:v>CUS-0373</x:v>
      </x:c>
      <x:c r="E448" t="str">
        <x:v>North East</x:v>
      </x:c>
      <x:c r="F448" t="str">
        <x:v>Store</x:v>
      </x:c>
      <x:c r="G448" t="str">
        <x:v>Home</x:v>
      </x:c>
      <x:c r="H448" t="str">
        <x:v>Desk Lamp</x:v>
      </x:c>
      <x:c r="I448" t="n">
        <x:v>2</x:v>
      </x:c>
      <x:c r="J448" s="4" t="n">
        <x:v>34.09</x:v>
      </x:c>
      <x:c r="K448" s="4" t="n">
        <x:v>17</x:v>
      </x:c>
      <x:c r="L448" s="5" t="n">
        <x:v>0.15</x:v>
      </x:c>
      <x:c r="M448" s="4" t="n">
        <x:f>ROUND(I448*J448*(1-L448),2)</x:f>
        <x:v>57.95</x:v>
      </x:c>
      <x:c r="N448" s="4" t="n">
        <x:f>ROUND(I448*K448,2)</x:f>
        <x:v>34</x:v>
      </x:c>
      <x:c r="O448" s="4" t="n">
        <x:f>ROUND(M448-N448,2)</x:f>
        <x:v>23.95</x:v>
      </x:c>
      <x:c r="P448" s="6" t="n">
        <x:v>4.4</x:v>
      </x:c>
      <x:c r="Q448" t="str">
        <x:v>No</x:v>
      </x:c>
    </x:row>
    <x:row r="449">
      <x:c r="A449" t="str">
        <x:v>ORD-00799</x:v>
      </x:c>
      <x:c r="B449" s="3" t="n">
        <x:v>45478.47875021991</x:v>
      </x:c>
      <x:c r="C449" t="str">
        <x:v>2024-07</x:v>
      </x:c>
      <x:c r="D449" t="str">
        <x:v>CUS-0278</x:v>
      </x:c>
      <x:c r="E449" t="str">
        <x:v>Wales</x:v>
      </x:c>
      <x:c r="F449" t="str">
        <x:v>Marketplace</x:v>
      </x:c>
      <x:c r="G449" t="str">
        <x:v>Fashion</x:v>
      </x:c>
      <x:c r="H449" t="str">
        <x:v>Classic Trainers</x:v>
      </x:c>
      <x:c r="I449" t="n">
        <x:v>5</x:v>
      </x:c>
      <x:c r="J449" s="4" t="n">
        <x:v>71.08</x:v>
      </x:c>
      <x:c r="K449" s="4" t="n">
        <x:v>32</x:v>
      </x:c>
      <x:c r="L449" s="5" t="n">
        <x:v>0</x:v>
      </x:c>
      <x:c r="M449" s="4" t="n">
        <x:f>ROUND(I449*J449*(1-L449),2)</x:f>
        <x:v>355.4</x:v>
      </x:c>
      <x:c r="N449" s="4" t="n">
        <x:f>ROUND(I449*K449,2)</x:f>
        <x:v>160</x:v>
      </x:c>
      <x:c r="O449" s="4" t="n">
        <x:f>ROUND(M449-N449,2)</x:f>
        <x:v>195.4</x:v>
      </x:c>
      <x:c r="P449" s="6" t="n">
        <x:v>4.4</x:v>
      </x:c>
      <x:c r="Q449" t="str">
        <x:v>No</x:v>
      </x:c>
    </x:row>
    <x:row r="450">
      <x:c r="A450" t="str">
        <x:v>ORD-01741</x:v>
      </x:c>
      <x:c r="B450" s="3" t="n">
        <x:v>45479.537071666666</x:v>
      </x:c>
      <x:c r="C450" t="str">
        <x:v>2024-07</x:v>
      </x:c>
      <x:c r="D450" t="str">
        <x:v>CUS-0030</x:v>
      </x:c>
      <x:c r="E450" t="str">
        <x:v>London</x:v>
      </x:c>
      <x:c r="F450" t="str">
        <x:v>Marketplace</x:v>
      </x:c>
      <x:c r="G450" t="str">
        <x:v>Beauty</x:v>
      </x:c>
      <x:c r="H450" t="str">
        <x:v>Hair Dryer</x:v>
      </x:c>
      <x:c r="I450" t="n">
        <x:v>4</x:v>
      </x:c>
      <x:c r="J450" s="4" t="n">
        <x:v>61.1</x:v>
      </x:c>
      <x:c r="K450" s="4" t="n">
        <x:v>29</x:v>
      </x:c>
      <x:c r="L450" s="5" t="n">
        <x:v>0</x:v>
      </x:c>
      <x:c r="M450" s="4" t="n">
        <x:f>ROUND(I450*J450*(1-L450),2)</x:f>
        <x:v>244.4</x:v>
      </x:c>
      <x:c r="N450" s="4" t="n">
        <x:f>ROUND(I450*K450,2)</x:f>
        <x:v>116</x:v>
      </x:c>
      <x:c r="O450" s="4" t="n">
        <x:f>ROUND(M450-N450,2)</x:f>
        <x:v>128.4</x:v>
      </x:c>
      <x:c r="P450" s="6" t="n">
        <x:v>3.3</x:v>
      </x:c>
      <x:c r="Q450" t="str">
        <x:v>No</x:v>
      </x:c>
    </x:row>
    <x:row r="451">
      <x:c r="A451" t="str">
        <x:v>ORD-01070</x:v>
      </x:c>
      <x:c r="B451" s="3" t="n">
        <x:v>45481.055503958334</x:v>
      </x:c>
      <x:c r="C451" t="str">
        <x:v>2024-07</x:v>
      </x:c>
      <x:c r="D451" t="str">
        <x:v>CUS-0041</x:v>
      </x:c>
      <x:c r="E451" t="str">
        <x:v>Midlands</x:v>
      </x:c>
      <x:c r="F451" t="str">
        <x:v>Store</x:v>
      </x:c>
      <x:c r="G451" t="str">
        <x:v>Electronics</x:v>
      </x:c>
      <x:c r="H451" t="str">
        <x:v>Bluetooth Speaker</x:v>
      </x:c>
      <x:c r="I451" t="n">
        <x:v>5</x:v>
      </x:c>
      <x:c r="J451" s="4" t="n">
        <x:v>65.69</x:v>
      </x:c>
      <x:c r="K451" s="4" t="n">
        <x:v>34</x:v>
      </x:c>
      <x:c r="L451" s="5" t="n">
        <x:v>0.1</x:v>
      </x:c>
      <x:c r="M451" s="4" t="n">
        <x:f>ROUND(I451*J451*(1-L451),2)</x:f>
        <x:v>295.61</x:v>
      </x:c>
      <x:c r="N451" s="4" t="n">
        <x:f>ROUND(I451*K451,2)</x:f>
        <x:v>170</x:v>
      </x:c>
      <x:c r="O451" s="4" t="n">
        <x:f>ROUND(M451-N451,2)</x:f>
        <x:v>125.61</x:v>
      </x:c>
      <x:c r="P451" s="6" t="n">
        <x:v>3.8</x:v>
      </x:c>
      <x:c r="Q451" t="str">
        <x:v>No</x:v>
      </x:c>
    </x:row>
    <x:row r="452">
      <x:c r="A452" t="str">
        <x:v>ORD-01730</x:v>
      </x:c>
      <x:c r="B452" s="3" t="n">
        <x:v>45482.79385608796</x:v>
      </x:c>
      <x:c r="C452" t="str">
        <x:v>2024-07</x:v>
      </x:c>
      <x:c r="D452" t="str">
        <x:v>CUS-0473</x:v>
      </x:c>
      <x:c r="E452" t="str">
        <x:v>Midlands</x:v>
      </x:c>
      <x:c r="F452" t="str">
        <x:v>Store</x:v>
      </x:c>
      <x:c r="G452" t="str">
        <x:v>Books</x:v>
      </x:c>
      <x:c r="H452" t="str">
        <x:v>Data Analytics Handbook</x:v>
      </x:c>
      <x:c r="I452" t="n">
        <x:v>5</x:v>
      </x:c>
      <x:c r="J452" s="4" t="n">
        <x:v>38.31</x:v>
      </x:c>
      <x:c r="K452" s="4" t="n">
        <x:v>14</x:v>
      </x:c>
      <x:c r="L452" s="5" t="n">
        <x:v>0</x:v>
      </x:c>
      <x:c r="M452" s="4" t="n">
        <x:f>ROUND(I452*J452*(1-L452),2)</x:f>
        <x:v>191.55</x:v>
      </x:c>
      <x:c r="N452" s="4" t="n">
        <x:f>ROUND(I452*K452,2)</x:f>
        <x:v>70</x:v>
      </x:c>
      <x:c r="O452" s="4" t="n">
        <x:f>ROUND(M452-N452,2)</x:f>
        <x:v>121.55</x:v>
      </x:c>
      <x:c r="P452" s="6" t="n">
        <x:v>4.4</x:v>
      </x:c>
      <x:c r="Q452" t="str">
        <x:v>No</x:v>
      </x:c>
    </x:row>
    <x:row r="453">
      <x:c r="A453" t="str">
        <x:v>ORD-00098</x:v>
      </x:c>
      <x:c r="B453" s="3" t="n">
        <x:v>45483.24895259259</x:v>
      </x:c>
      <x:c r="C453" t="str">
        <x:v>2024-07</x:v>
      </x:c>
      <x:c r="D453" t="str">
        <x:v>CUS-0451</x:v>
      </x:c>
      <x:c r="E453" t="str">
        <x:v>North East</x:v>
      </x:c>
      <x:c r="F453" t="str">
        <x:v>Marketplace</x:v>
      </x:c>
      <x:c r="G453" t="str">
        <x:v>Fashion</x:v>
      </x:c>
      <x:c r="H453" t="str">
        <x:v>Winter Jacket</x:v>
      </x:c>
      <x:c r="I453" t="n">
        <x:v>3</x:v>
      </x:c>
      <x:c r="J453" s="4" t="n">
        <x:v>98.95</x:v>
      </x:c>
      <x:c r="K453" s="4" t="n">
        <x:v>46</x:v>
      </x:c>
      <x:c r="L453" s="5" t="n">
        <x:v>0</x:v>
      </x:c>
      <x:c r="M453" s="4" t="n">
        <x:f>ROUND(I453*J453*(1-L453),2)</x:f>
        <x:v>296.85</x:v>
      </x:c>
      <x:c r="N453" s="4" t="n">
        <x:f>ROUND(I453*K453,2)</x:f>
        <x:v>138</x:v>
      </x:c>
      <x:c r="O453" s="4" t="n">
        <x:f>ROUND(M453-N453,2)</x:f>
        <x:v>158.85</x:v>
      </x:c>
      <x:c r="P453" s="6" t="n">
        <x:v>3.9</x:v>
      </x:c>
      <x:c r="Q453" t="str">
        <x:v>No</x:v>
      </x:c>
    </x:row>
    <x:row r="454">
      <x:c r="A454" t="str">
        <x:v>ORD-00912</x:v>
      </x:c>
      <x:c r="B454" s="3" t="n">
        <x:v>45483.77241570602</x:v>
      </x:c>
      <x:c r="C454" t="str">
        <x:v>2024-07</x:v>
      </x:c>
      <x:c r="D454" t="str">
        <x:v>CUS-0188</x:v>
      </x:c>
      <x:c r="E454" t="str">
        <x:v>South West</x:v>
      </x:c>
      <x:c r="F454" t="str">
        <x:v>Marketplace</x:v>
      </x:c>
      <x:c r="G454" t="str">
        <x:v>Electronics</x:v>
      </x:c>
      <x:c r="H454" t="str">
        <x:v>Bluetooth Speaker</x:v>
      </x:c>
      <x:c r="I454" t="n">
        <x:v>2</x:v>
      </x:c>
      <x:c r="J454" s="4" t="n">
        <x:v>62.19</x:v>
      </x:c>
      <x:c r="K454" s="4" t="n">
        <x:v>34</x:v>
      </x:c>
      <x:c r="L454" s="5" t="n">
        <x:v>0.1</x:v>
      </x:c>
      <x:c r="M454" s="4" t="n">
        <x:f>ROUND(I454*J454*(1-L454),2)</x:f>
        <x:v>111.94</x:v>
      </x:c>
      <x:c r="N454" s="4" t="n">
        <x:f>ROUND(I454*K454,2)</x:f>
        <x:v>68</x:v>
      </x:c>
      <x:c r="O454" s="4" t="n">
        <x:f>ROUND(M454-N454,2)</x:f>
        <x:v>43.94</x:v>
      </x:c>
      <x:c r="P454" s="6" t="n">
        <x:v>4.8</x:v>
      </x:c>
      <x:c r="Q454" t="str">
        <x:v>No</x:v>
      </x:c>
    </x:row>
    <x:row r="455">
      <x:c r="A455" t="str">
        <x:v>ORD-01139</x:v>
      </x:c>
      <x:c r="B455" s="3" t="n">
        <x:v>45484.10287621528</x:v>
      </x:c>
      <x:c r="C455" t="str">
        <x:v>2024-07</x:v>
      </x:c>
      <x:c r="D455" t="str">
        <x:v>CUS-0418</x:v>
      </x:c>
      <x:c r="E455" t="str">
        <x:v>London</x:v>
      </x:c>
      <x:c r="F455" t="str">
        <x:v>Online</x:v>
      </x:c>
      <x:c r="G455" t="str">
        <x:v>Fashion</x:v>
      </x:c>
      <x:c r="H455" t="str">
        <x:v>Classic Trainers</x:v>
      </x:c>
      <x:c r="I455" t="n">
        <x:v>5</x:v>
      </x:c>
      <x:c r="J455" s="4" t="n">
        <x:v>72.64</x:v>
      </x:c>
      <x:c r="K455" s="4" t="n">
        <x:v>32</x:v>
      </x:c>
      <x:c r="L455" s="5" t="n">
        <x:v>0</x:v>
      </x:c>
      <x:c r="M455" s="4" t="n">
        <x:f>ROUND(I455*J455*(1-L455),2)</x:f>
        <x:v>363.2</x:v>
      </x:c>
      <x:c r="N455" s="4" t="n">
        <x:f>ROUND(I455*K455,2)</x:f>
        <x:v>160</x:v>
      </x:c>
      <x:c r="O455" s="4" t="n">
        <x:f>ROUND(M455-N455,2)</x:f>
        <x:v>203.2</x:v>
      </x:c>
      <x:c r="P455" s="6" t="n">
        <x:v>3.5</x:v>
      </x:c>
      <x:c r="Q455" t="str">
        <x:v>No</x:v>
      </x:c>
    </x:row>
    <x:row r="456">
      <x:c r="A456" t="str">
        <x:v>ORD-00265</x:v>
      </x:c>
      <x:c r="B456" s="3" t="n">
        <x:v>45484.13288480324</x:v>
      </x:c>
      <x:c r="C456" t="str">
        <x:v>2024-07</x:v>
      </x:c>
      <x:c r="D456" t="str">
        <x:v>CUS-0526</x:v>
      </x:c>
      <x:c r="E456" t="str">
        <x:v>Wales</x:v>
      </x:c>
      <x:c r="F456" t="str">
        <x:v>Online</x:v>
      </x:c>
      <x:c r="G456" t="str">
        <x:v>Electronics</x:v>
      </x:c>
      <x:c r="H456" t="str">
        <x:v>Smart Watch</x:v>
      </x:c>
      <x:c r="I456" t="n">
        <x:v>1</x:v>
      </x:c>
      <x:c r="J456" s="4" t="n">
        <x:v>157.43</x:v>
      </x:c>
      <x:c r="K456" s="4" t="n">
        <x:v>92</x:v>
      </x:c>
      <x:c r="L456" s="5" t="n">
        <x:v>0.15</x:v>
      </x:c>
      <x:c r="M456" s="4" t="n">
        <x:f>ROUND(I456*J456*(1-L456),2)</x:f>
        <x:v>133.82</x:v>
      </x:c>
      <x:c r="N456" s="4" t="n">
        <x:f>ROUND(I456*K456,2)</x:f>
        <x:v>92</x:v>
      </x:c>
      <x:c r="O456" s="4" t="n">
        <x:f>ROUND(M456-N456,2)</x:f>
        <x:v>41.82</x:v>
      </x:c>
      <x:c r="P456" s="6" t="n">
        <x:v>4.7</x:v>
      </x:c>
      <x:c r="Q456" t="str">
        <x:v>No</x:v>
      </x:c>
    </x:row>
    <x:row r="457">
      <x:c r="A457" t="str">
        <x:v>ORD-00444</x:v>
      </x:c>
      <x:c r="B457" s="3" t="n">
        <x:v>45485.60539150463</x:v>
      </x:c>
      <x:c r="C457" t="str">
        <x:v>2024-07</x:v>
      </x:c>
      <x:c r="D457" t="str">
        <x:v>CUS-0580</x:v>
      </x:c>
      <x:c r="E457" t="str">
        <x:v>London</x:v>
      </x:c>
      <x:c r="F457" t="str">
        <x:v>Marketplace</x:v>
      </x:c>
      <x:c r="G457" t="str">
        <x:v>Fashion</x:v>
      </x:c>
      <x:c r="H457" t="str">
        <x:v>Backpack</x:v>
      </x:c>
      <x:c r="I457" t="n">
        <x:v>5</x:v>
      </x:c>
      <x:c r="J457" s="4" t="n">
        <x:v>48.95</x:v>
      </x:c>
      <x:c r="K457" s="4" t="n">
        <x:v>21</x:v>
      </x:c>
      <x:c r="L457" s="5" t="n">
        <x:v>0</x:v>
      </x:c>
      <x:c r="M457" s="4" t="n">
        <x:f>ROUND(I457*J457*(1-L457),2)</x:f>
        <x:v>244.75</x:v>
      </x:c>
      <x:c r="N457" s="4" t="n">
        <x:f>ROUND(I457*K457,2)</x:f>
        <x:v>105</x:v>
      </x:c>
      <x:c r="O457" s="4" t="n">
        <x:f>ROUND(M457-N457,2)</x:f>
        <x:v>139.75</x:v>
      </x:c>
      <x:c r="P457" s="6" t="n">
        <x:v>3.5</x:v>
      </x:c>
      <x:c r="Q457" t="str">
        <x:v>No</x:v>
      </x:c>
    </x:row>
    <x:row r="458">
      <x:c r="A458" t="str">
        <x:v>ORD-01358</x:v>
      </x:c>
      <x:c r="B458" s="3" t="n">
        <x:v>45486.293677118054</x:v>
      </x:c>
      <x:c r="C458" t="str">
        <x:v>2024-07</x:v>
      </x:c>
      <x:c r="D458" t="str">
        <x:v>CUS-0396</x:v>
      </x:c>
      <x:c r="E458" t="str">
        <x:v>London</x:v>
      </x:c>
      <x:c r="F458" t="str">
        <x:v>Online</x:v>
      </x:c>
      <x:c r="G458" t="str">
        <x:v>Electronics</x:v>
      </x:c>
      <x:c r="H458" t="str">
        <x:v>Smart Watch</x:v>
      </x:c>
      <x:c r="I458" t="n">
        <x:v>3</x:v>
      </x:c>
      <x:c r="J458" s="4" t="n">
        <x:v>160.73</x:v>
      </x:c>
      <x:c r="K458" s="4" t="n">
        <x:v>92</x:v>
      </x:c>
      <x:c r="L458" s="5" t="n">
        <x:v>0.1</x:v>
      </x:c>
      <x:c r="M458" s="4" t="n">
        <x:f>ROUND(I458*J458*(1-L458),2)</x:f>
        <x:v>433.97</x:v>
      </x:c>
      <x:c r="N458" s="4" t="n">
        <x:f>ROUND(I458*K458,2)</x:f>
        <x:v>276</x:v>
      </x:c>
      <x:c r="O458" s="4" t="n">
        <x:f>ROUND(M458-N458,2)</x:f>
        <x:v>157.97</x:v>
      </x:c>
      <x:c r="P458" s="6" t="n">
        <x:v>5</x:v>
      </x:c>
      <x:c r="Q458" t="str">
        <x:v>No</x:v>
      </x:c>
    </x:row>
    <x:row r="459">
      <x:c r="A459" t="str">
        <x:v>ORD-00989</x:v>
      </x:c>
      <x:c r="B459" s="3" t="n">
        <x:v>45486.494069849534</x:v>
      </x:c>
      <x:c r="C459" t="str">
        <x:v>2024-07</x:v>
      </x:c>
      <x:c r="D459" t="str">
        <x:v>CUS-0208</x:v>
      </x:c>
      <x:c r="E459" t="str">
        <x:v>South West</x:v>
      </x:c>
      <x:c r="F459" t="str">
        <x:v>Online</x:v>
      </x:c>
      <x:c r="G459" t="str">
        <x:v>Electronics</x:v>
      </x:c>
      <x:c r="H459" t="str">
        <x:v>Wireless Headphones</x:v>
      </x:c>
      <x:c r="I459" t="n">
        <x:v>3</x:v>
      </x:c>
      <x:c r="J459" s="4" t="n">
        <x:v>88.73</x:v>
      </x:c>
      <x:c r="K459" s="4" t="n">
        <x:v>48</x:v>
      </x:c>
      <x:c r="L459" s="5" t="n">
        <x:v>0</x:v>
      </x:c>
      <x:c r="M459" s="4" t="n">
        <x:f>ROUND(I459*J459*(1-L459),2)</x:f>
        <x:v>266.19</x:v>
      </x:c>
      <x:c r="N459" s="4" t="n">
        <x:f>ROUND(I459*K459,2)</x:f>
        <x:v>144</x:v>
      </x:c>
      <x:c r="O459" s="4" t="n">
        <x:f>ROUND(M459-N459,2)</x:f>
        <x:v>122.19</x:v>
      </x:c>
      <x:c r="P459" s="6" t="n">
        <x:v>5</x:v>
      </x:c>
      <x:c r="Q459" t="str">
        <x:v>No</x:v>
      </x:c>
    </x:row>
    <x:row r="460">
      <x:c r="A460" t="str">
        <x:v>ORD-00961</x:v>
      </x:c>
      <x:c r="B460" s="3" t="n">
        <x:v>45486.64740534722</x:v>
      </x:c>
      <x:c r="C460" t="str">
        <x:v>2024-07</x:v>
      </x:c>
      <x:c r="D460" t="str">
        <x:v>CUS-0158</x:v>
      </x:c>
      <x:c r="E460" t="str">
        <x:v>Scotland</x:v>
      </x:c>
      <x:c r="F460" t="str">
        <x:v>Marketplace</x:v>
      </x:c>
      <x:c r="G460" t="str">
        <x:v>Fashion</x:v>
      </x:c>
      <x:c r="H460" t="str">
        <x:v>Backpack</x:v>
      </x:c>
      <x:c r="I460" t="n">
        <x:v>1</x:v>
      </x:c>
      <x:c r="J460" s="4" t="n">
        <x:v>51.23</x:v>
      </x:c>
      <x:c r="K460" s="4" t="n">
        <x:v>21</x:v>
      </x:c>
      <x:c r="L460" s="5" t="n">
        <x:v>0</x:v>
      </x:c>
      <x:c r="M460" s="4" t="n">
        <x:f>ROUND(I460*J460*(1-L460),2)</x:f>
        <x:v>51.23</x:v>
      </x:c>
      <x:c r="N460" s="4" t="n">
        <x:f>ROUND(I460*K460,2)</x:f>
        <x:v>21</x:v>
      </x:c>
      <x:c r="O460" s="4" t="n">
        <x:f>ROUND(M460-N460,2)</x:f>
        <x:v>30.23</x:v>
      </x:c>
      <x:c r="P460" s="6" t="n">
        <x:v>4.9</x:v>
      </x:c>
      <x:c r="Q460" t="str">
        <x:v>No</x:v>
      </x:c>
    </x:row>
    <x:row r="461">
      <x:c r="A461" t="str">
        <x:v>ORD-01273</x:v>
      </x:c>
      <x:c r="B461" s="3" t="n">
        <x:v>45486.69365523148</x:v>
      </x:c>
      <x:c r="C461" t="str">
        <x:v>2024-07</x:v>
      </x:c>
      <x:c r="D461" t="str">
        <x:v>CUS-0375</x:v>
      </x:c>
      <x:c r="E461" t="str">
        <x:v>North West</x:v>
      </x:c>
      <x:c r="F461" t="str">
        <x:v>Online</x:v>
      </x:c>
      <x:c r="G461" t="str">
        <x:v>Electronics</x:v>
      </x:c>
      <x:c r="H461" t="str">
        <x:v>Smart Watch</x:v>
      </x:c>
      <x:c r="I461" t="n">
        <x:v>3</x:v>
      </x:c>
      <x:c r="J461" s="4" t="n">
        <x:v>157.53</x:v>
      </x:c>
      <x:c r="K461" s="4" t="n">
        <x:v>92</x:v>
      </x:c>
      <x:c r="L461" s="5" t="n">
        <x:v>0.1</x:v>
      </x:c>
      <x:c r="M461" s="4" t="n">
        <x:f>ROUND(I461*J461*(1-L461),2)</x:f>
        <x:v>425.33</x:v>
      </x:c>
      <x:c r="N461" s="4" t="n">
        <x:f>ROUND(I461*K461,2)</x:f>
        <x:v>276</x:v>
      </x:c>
      <x:c r="O461" s="4" t="n">
        <x:f>ROUND(M461-N461,2)</x:f>
        <x:v>149.33</x:v>
      </x:c>
      <x:c r="P461" s="6" t="n">
        <x:v>3.8</x:v>
      </x:c>
      <x:c r="Q461" t="str">
        <x:v>No</x:v>
      </x:c>
    </x:row>
    <x:row r="462">
      <x:c r="A462" t="str">
        <x:v>ORD-00798</x:v>
      </x:c>
      <x:c r="B462" s="3" t="n">
        <x:v>45486.7735044213</x:v>
      </x:c>
      <x:c r="C462" t="str">
        <x:v>2024-07</x:v>
      </x:c>
      <x:c r="D462" t="str">
        <x:v>CUS-0134</x:v>
      </x:c>
      <x:c r="E462" t="str">
        <x:v>Midlands</x:v>
      </x:c>
      <x:c r="F462" t="str">
        <x:v>Store</x:v>
      </x:c>
      <x:c r="G462" t="str">
        <x:v>Electronics</x:v>
      </x:c>
      <x:c r="H462" t="str">
        <x:v>Bluetooth Speaker</x:v>
      </x:c>
      <x:c r="I462" t="n">
        <x:v>4</x:v>
      </x:c>
      <x:c r="J462" s="4" t="n">
        <x:v>64.42</x:v>
      </x:c>
      <x:c r="K462" s="4" t="n">
        <x:v>34</x:v>
      </x:c>
      <x:c r="L462" s="5" t="n">
        <x:v>0.05</x:v>
      </x:c>
      <x:c r="M462" s="4" t="n">
        <x:f>ROUND(I462*J462*(1-L462),2)</x:f>
        <x:v>244.8</x:v>
      </x:c>
      <x:c r="N462" s="4" t="n">
        <x:f>ROUND(I462*K462,2)</x:f>
        <x:v>136</x:v>
      </x:c>
      <x:c r="O462" s="4" t="n">
        <x:f>ROUND(M462-N462,2)</x:f>
        <x:v>108.8</x:v>
      </x:c>
      <x:c r="P462" s="6" t="n">
        <x:v>3.5</x:v>
      </x:c>
      <x:c r="Q462" t="str">
        <x:v>No</x:v>
      </x:c>
    </x:row>
    <x:row r="463">
      <x:c r="A463" t="str">
        <x:v>ORD-00586</x:v>
      </x:c>
      <x:c r="B463" s="3" t="n">
        <x:v>45488.25031773148</x:v>
      </x:c>
      <x:c r="C463" t="str">
        <x:v>2024-07</x:v>
      </x:c>
      <x:c r="D463" t="str">
        <x:v>CUS-0571</x:v>
      </x:c>
      <x:c r="E463" t="str">
        <x:v>London</x:v>
      </x:c>
      <x:c r="F463" t="str">
        <x:v>Online</x:v>
      </x:c>
      <x:c r="G463" t="str">
        <x:v>Fashion</x:v>
      </x:c>
      <x:c r="H463" t="str">
        <x:v>Winter Jacket</x:v>
      </x:c>
      <x:c r="I463" t="n">
        <x:v>4</x:v>
      </x:c>
      <x:c r="J463" s="4" t="n">
        <x:v>92.95</x:v>
      </x:c>
      <x:c r="K463" s="4" t="n">
        <x:v>46</x:v>
      </x:c>
      <x:c r="L463" s="5" t="n">
        <x:v>0</x:v>
      </x:c>
      <x:c r="M463" s="4" t="n">
        <x:f>ROUND(I463*J463*(1-L463),2)</x:f>
        <x:v>371.8</x:v>
      </x:c>
      <x:c r="N463" s="4" t="n">
        <x:f>ROUND(I463*K463,2)</x:f>
        <x:v>184</x:v>
      </x:c>
      <x:c r="O463" s="4" t="n">
        <x:f>ROUND(M463-N463,2)</x:f>
        <x:v>187.8</x:v>
      </x:c>
      <x:c r="P463" s="6" t="n">
        <x:v>4.2</x:v>
      </x:c>
      <x:c r="Q463" t="str">
        <x:v>Yes</x:v>
      </x:c>
    </x:row>
    <x:row r="464">
      <x:c r="A464" t="str">
        <x:v>ORD-00285</x:v>
      </x:c>
      <x:c r="B464" s="3" t="n">
        <x:v>45488.44227061343</x:v>
      </x:c>
      <x:c r="C464" t="str">
        <x:v>2024-07</x:v>
      </x:c>
      <x:c r="D464" t="str">
        <x:v>CUS-0025</x:v>
      </x:c>
      <x:c r="E464" t="str">
        <x:v>North West</x:v>
      </x:c>
      <x:c r="F464" t="str">
        <x:v>Store</x:v>
      </x:c>
      <x:c r="G464" t="str">
        <x:v>Home</x:v>
      </x:c>
      <x:c r="H464" t="str">
        <x:v>Air Fryer</x:v>
      </x:c>
      <x:c r="I464" t="n">
        <x:v>4</x:v>
      </x:c>
      <x:c r="J464" s="4" t="n">
        <x:v>114.17</x:v>
      </x:c>
      <x:c r="K464" s="4" t="n">
        <x:v>69</x:v>
      </x:c>
      <x:c r="L464" s="5" t="n">
        <x:v>0.15</x:v>
      </x:c>
      <x:c r="M464" s="4" t="n">
        <x:f>ROUND(I464*J464*(1-L464),2)</x:f>
        <x:v>388.18</x:v>
      </x:c>
      <x:c r="N464" s="4" t="n">
        <x:f>ROUND(I464*K464,2)</x:f>
        <x:v>276</x:v>
      </x:c>
      <x:c r="O464" s="4" t="n">
        <x:f>ROUND(M464-N464,2)</x:f>
        <x:v>112.18</x:v>
      </x:c>
      <x:c r="P464" s="6" t="n">
        <x:v>4.2</x:v>
      </x:c>
      <x:c r="Q464" t="str">
        <x:v>No</x:v>
      </x:c>
    </x:row>
    <x:row r="465">
      <x:c r="A465" t="str">
        <x:v>ORD-01655</x:v>
      </x:c>
      <x:c r="B465" s="3" t="n">
        <x:v>45489.38767318287</x:v>
      </x:c>
      <x:c r="C465" t="str">
        <x:v>2024-07</x:v>
      </x:c>
      <x:c r="D465" t="str">
        <x:v>CUS-0544</x:v>
      </x:c>
      <x:c r="E465" t="str">
        <x:v>London</x:v>
      </x:c>
      <x:c r="F465" t="str">
        <x:v>Store</x:v>
      </x:c>
      <x:c r="G465" t="str">
        <x:v>Books</x:v>
      </x:c>
      <x:c r="H465" t="str">
        <x:v>Data Analytics Handbook</x:v>
      </x:c>
      <x:c r="I465" t="n">
        <x:v>3</x:v>
      </x:c>
      <x:c r="J465" s="4" t="n">
        <x:v>41.39</x:v>
      </x:c>
      <x:c r="K465" s="4" t="n">
        <x:v>14</x:v>
      </x:c>
      <x:c r="L465" s="5" t="n">
        <x:v>0</x:v>
      </x:c>
      <x:c r="M465" s="4" t="n">
        <x:f>ROUND(I465*J465*(1-L465),2)</x:f>
        <x:v>124.17</x:v>
      </x:c>
      <x:c r="N465" s="4" t="n">
        <x:f>ROUND(I465*K465,2)</x:f>
        <x:v>42</x:v>
      </x:c>
      <x:c r="O465" s="4" t="n">
        <x:f>ROUND(M465-N465,2)</x:f>
        <x:v>82.17</x:v>
      </x:c>
      <x:c r="P465" s="6" t="n">
        <x:v>4.1</x:v>
      </x:c>
      <x:c r="Q465" t="str">
        <x:v>No</x:v>
      </x:c>
    </x:row>
    <x:row r="466">
      <x:c r="A466" t="str">
        <x:v>ORD-01727</x:v>
      </x:c>
      <x:c r="B466" s="3" t="n">
        <x:v>45490.0806818287</x:v>
      </x:c>
      <x:c r="C466" t="str">
        <x:v>2024-07</x:v>
      </x:c>
      <x:c r="D466" t="str">
        <x:v>CUS-0148</x:v>
      </x:c>
      <x:c r="E466" t="str">
        <x:v>South East</x:v>
      </x:c>
      <x:c r="F466" t="str">
        <x:v>Online</x:v>
      </x:c>
      <x:c r="G466" t="str">
        <x:v>Electronics</x:v>
      </x:c>
      <x:c r="H466" t="str">
        <x:v>Smart Watch</x:v>
      </x:c>
      <x:c r="I466" t="n">
        <x:v>3</x:v>
      </x:c>
      <x:c r="J466" s="4" t="n">
        <x:v>163.44</x:v>
      </x:c>
      <x:c r="K466" s="4" t="n">
        <x:v>92</x:v>
      </x:c>
      <x:c r="L466" s="5" t="n">
        <x:v>0</x:v>
      </x:c>
      <x:c r="M466" s="4" t="n">
        <x:f>ROUND(I466*J466*(1-L466),2)</x:f>
        <x:v>490.32</x:v>
      </x:c>
      <x:c r="N466" s="4" t="n">
        <x:f>ROUND(I466*K466,2)</x:f>
        <x:v>276</x:v>
      </x:c>
      <x:c r="O466" s="4" t="n">
        <x:f>ROUND(M466-N466,2)</x:f>
        <x:v>214.32</x:v>
      </x:c>
      <x:c r="P466" s="6" t="n">
        <x:v>5</x:v>
      </x:c>
      <x:c r="Q466" t="str">
        <x:v>No</x:v>
      </x:c>
    </x:row>
    <x:row r="467">
      <x:c r="A467" t="str">
        <x:v>ORD-00498</x:v>
      </x:c>
      <x:c r="B467" s="3" t="n">
        <x:v>45490.72730425926</x:v>
      </x:c>
      <x:c r="C467" t="str">
        <x:v>2024-07</x:v>
      </x:c>
      <x:c r="D467" t="str">
        <x:v>CUS-0346</x:v>
      </x:c>
      <x:c r="E467" t="str">
        <x:v>South West</x:v>
      </x:c>
      <x:c r="F467" t="str">
        <x:v>Online</x:v>
      </x:c>
      <x:c r="G467" t="str">
        <x:v>Sports</x:v>
      </x:c>
      <x:c r="H467" t="str">
        <x:v>Fitness Tracker</x:v>
      </x:c>
      <x:c r="I467" t="n">
        <x:v>1</x:v>
      </x:c>
      <x:c r="J467" s="4" t="n">
        <x:v>53.87</x:v>
      </x:c>
      <x:c r="K467" s="4" t="n">
        <x:v>27</x:v>
      </x:c>
      <x:c r="L467" s="5" t="n">
        <x:v>0</x:v>
      </x:c>
      <x:c r="M467" s="4" t="n">
        <x:f>ROUND(I467*J467*(1-L467),2)</x:f>
        <x:v>53.87</x:v>
      </x:c>
      <x:c r="N467" s="4" t="n">
        <x:f>ROUND(I467*K467,2)</x:f>
        <x:v>27</x:v>
      </x:c>
      <x:c r="O467" s="4" t="n">
        <x:f>ROUND(M467-N467,2)</x:f>
        <x:v>26.87</x:v>
      </x:c>
      <x:c r="P467" s="6" t="n">
        <x:v>4.3</x:v>
      </x:c>
      <x:c r="Q467" t="str">
        <x:v>No</x:v>
      </x:c>
    </x:row>
    <x:row r="468">
      <x:c r="A468" t="str">
        <x:v>ORD-00145</x:v>
      </x:c>
      <x:c r="B468" s="3" t="n">
        <x:v>45490.815127581016</x:v>
      </x:c>
      <x:c r="C468" t="str">
        <x:v>2024-07</x:v>
      </x:c>
      <x:c r="D468" t="str">
        <x:v>CUS-0436</x:v>
      </x:c>
      <x:c r="E468" t="str">
        <x:v>North West</x:v>
      </x:c>
      <x:c r="F468" t="str">
        <x:v>Online</x:v>
      </x:c>
      <x:c r="G468" t="str">
        <x:v>Beauty</x:v>
      </x:c>
      <x:c r="H468" t="str">
        <x:v>Skin Care Set</x:v>
      </x:c>
      <x:c r="I468" t="n">
        <x:v>4</x:v>
      </x:c>
      <x:c r="J468" s="4" t="n">
        <x:v>42.84</x:v>
      </x:c>
      <x:c r="K468" s="4" t="n">
        <x:v>18</x:v>
      </x:c>
      <x:c r="L468" s="5" t="n">
        <x:v>0.15</x:v>
      </x:c>
      <x:c r="M468" s="4" t="n">
        <x:f>ROUND(I468*J468*(1-L468),2)</x:f>
        <x:v>145.66</x:v>
      </x:c>
      <x:c r="N468" s="4" t="n">
        <x:f>ROUND(I468*K468,2)</x:f>
        <x:v>72</x:v>
      </x:c>
      <x:c r="O468" s="4" t="n">
        <x:f>ROUND(M468-N468,2)</x:f>
        <x:v>73.66</x:v>
      </x:c>
      <x:c r="P468" s="6" t="n">
        <x:v>3.8</x:v>
      </x:c>
      <x:c r="Q468" t="str">
        <x:v>No</x:v>
      </x:c>
    </x:row>
    <x:row r="469">
      <x:c r="A469" t="str">
        <x:v>ORD-00446</x:v>
      </x:c>
      <x:c r="B469" s="3" t="n">
        <x:v>45491.425274560184</x:v>
      </x:c>
      <x:c r="C469" t="str">
        <x:v>2024-07</x:v>
      </x:c>
      <x:c r="D469" t="str">
        <x:v>CUS-0466</x:v>
      </x:c>
      <x:c r="E469" t="str">
        <x:v>North East</x:v>
      </x:c>
      <x:c r="F469" t="str">
        <x:v>Marketplace</x:v>
      </x:c>
      <x:c r="G469" t="str">
        <x:v>Electronics</x:v>
      </x:c>
      <x:c r="H469" t="str">
        <x:v>Wireless Headphones</x:v>
      </x:c>
      <x:c r="I469" t="n">
        <x:v>5</x:v>
      </x:c>
      <x:c r="J469" s="4" t="n">
        <x:v>92.18</x:v>
      </x:c>
      <x:c r="K469" s="4" t="n">
        <x:v>48</x:v>
      </x:c>
      <x:c r="L469" s="5" t="n">
        <x:v>0</x:v>
      </x:c>
      <x:c r="M469" s="4" t="n">
        <x:f>ROUND(I469*J469*(1-L469),2)</x:f>
        <x:v>460.9</x:v>
      </x:c>
      <x:c r="N469" s="4" t="n">
        <x:f>ROUND(I469*K469,2)</x:f>
        <x:v>240</x:v>
      </x:c>
      <x:c r="O469" s="4" t="n">
        <x:f>ROUND(M469-N469,2)</x:f>
        <x:v>220.9</x:v>
      </x:c>
      <x:c r="P469" s="6" t="n">
        <x:v>4.3</x:v>
      </x:c>
      <x:c r="Q469" t="str">
        <x:v>No</x:v>
      </x:c>
    </x:row>
    <x:row r="470">
      <x:c r="A470" t="str">
        <x:v>ORD-01529</x:v>
      </x:c>
      <x:c r="B470" s="3" t="n">
        <x:v>45491.68049571759</x:v>
      </x:c>
      <x:c r="C470" t="str">
        <x:v>2024-07</x:v>
      </x:c>
      <x:c r="D470" t="str">
        <x:v>CUS-0060</x:v>
      </x:c>
      <x:c r="E470" t="str">
        <x:v>South East</x:v>
      </x:c>
      <x:c r="F470" t="str">
        <x:v>Store</x:v>
      </x:c>
      <x:c r="G470" t="str">
        <x:v>Books</x:v>
      </x:c>
      <x:c r="H470" t="str">
        <x:v>Business Intelligence Guide</x:v>
      </x:c>
      <x:c r="I470" t="n">
        <x:v>3</x:v>
      </x:c>
      <x:c r="J470" s="4" t="n">
        <x:v>34.8</x:v>
      </x:c>
      <x:c r="K470" s="4" t="n">
        <x:v>12</x:v>
      </x:c>
      <x:c r="L470" s="5" t="n">
        <x:v>0.2</x:v>
      </x:c>
      <x:c r="M470" s="4" t="n">
        <x:f>ROUND(I470*J470*(1-L470),2)</x:f>
        <x:v>83.52</x:v>
      </x:c>
      <x:c r="N470" s="4" t="n">
        <x:f>ROUND(I470*K470,2)</x:f>
        <x:v>36</x:v>
      </x:c>
      <x:c r="O470" s="4" t="n">
        <x:f>ROUND(M470-N470,2)</x:f>
        <x:v>47.52</x:v>
      </x:c>
      <x:c r="P470" s="6" t="n">
        <x:v>5</x:v>
      </x:c>
      <x:c r="Q470" t="str">
        <x:v>No</x:v>
      </x:c>
    </x:row>
    <x:row r="471">
      <x:c r="A471" t="str">
        <x:v>ORD-00522</x:v>
      </x:c>
      <x:c r="B471" s="3" t="n">
        <x:v>45492.895920138886</x:v>
      </x:c>
      <x:c r="C471" t="str">
        <x:v>2024-07</x:v>
      </x:c>
      <x:c r="D471" t="str">
        <x:v>CUS-0610</x:v>
      </x:c>
      <x:c r="E471" t="str">
        <x:v>Scotland</x:v>
      </x:c>
      <x:c r="F471" t="str">
        <x:v>Online</x:v>
      </x:c>
      <x:c r="G471" t="str">
        <x:v>Home</x:v>
      </x:c>
      <x:c r="H471" t="str">
        <x:v>Desk Lamp</x:v>
      </x:c>
      <x:c r="I471" t="n">
        <x:v>3</x:v>
      </x:c>
      <x:c r="J471" s="4" t="n">
        <x:v>34.52</x:v>
      </x:c>
      <x:c r="K471" s="4" t="n">
        <x:v>17</x:v>
      </x:c>
      <x:c r="L471" s="5" t="n">
        <x:v>0</x:v>
      </x:c>
      <x:c r="M471" s="4" t="n">
        <x:f>ROUND(I471*J471*(1-L471),2)</x:f>
        <x:v>103.56</x:v>
      </x:c>
      <x:c r="N471" s="4" t="n">
        <x:f>ROUND(I471*K471,2)</x:f>
        <x:v>51</x:v>
      </x:c>
      <x:c r="O471" s="4" t="n">
        <x:f>ROUND(M471-N471,2)</x:f>
        <x:v>52.56</x:v>
      </x:c>
      <x:c r="P471" s="6" t="n">
        <x:v>3.5</x:v>
      </x:c>
      <x:c r="Q471" t="str">
        <x:v>No</x:v>
      </x:c>
    </x:row>
    <x:row r="472">
      <x:c r="A472" t="str">
        <x:v>ORD-00776</x:v>
      </x:c>
      <x:c r="B472" s="3" t="n">
        <x:v>45492.960800381945</x:v>
      </x:c>
      <x:c r="C472" t="str">
        <x:v>2024-07</x:v>
      </x:c>
      <x:c r="D472" t="str">
        <x:v>CUS-0102</x:v>
      </x:c>
      <x:c r="E472" t="str">
        <x:v>South East</x:v>
      </x:c>
      <x:c r="F472" t="str">
        <x:v>Online</x:v>
      </x:c>
      <x:c r="G472" t="str">
        <x:v>Home</x:v>
      </x:c>
      <x:c r="H472" t="str">
        <x:v>Air Fryer</x:v>
      </x:c>
      <x:c r="I472" t="n">
        <x:v>2</x:v>
      </x:c>
      <x:c r="J472" s="4" t="n">
        <x:v>118.81</x:v>
      </x:c>
      <x:c r="K472" s="4" t="n">
        <x:v>69</x:v>
      </x:c>
      <x:c r="L472" s="5" t="n">
        <x:v>0.15</x:v>
      </x:c>
      <x:c r="M472" s="4" t="n">
        <x:f>ROUND(I472*J472*(1-L472),2)</x:f>
        <x:v>201.98</x:v>
      </x:c>
      <x:c r="N472" s="4" t="n">
        <x:f>ROUND(I472*K472,2)</x:f>
        <x:v>138</x:v>
      </x:c>
      <x:c r="O472" s="4" t="n">
        <x:f>ROUND(M472-N472,2)</x:f>
        <x:v>63.98</x:v>
      </x:c>
      <x:c r="P472" s="6" t="n">
        <x:v>3.9</x:v>
      </x:c>
      <x:c r="Q472" t="str">
        <x:v>No</x:v>
      </x:c>
    </x:row>
    <x:row r="473">
      <x:c r="A473" t="str">
        <x:v>ORD-00946</x:v>
      </x:c>
      <x:c r="B473" s="3" t="n">
        <x:v>45493.828948483795</x:v>
      </x:c>
      <x:c r="C473" t="str">
        <x:v>2024-07</x:v>
      </x:c>
      <x:c r="D473" t="str">
        <x:v>CUS-0372</x:v>
      </x:c>
      <x:c r="E473" t="str">
        <x:v>South East</x:v>
      </x:c>
      <x:c r="F473" t="str">
        <x:v>Marketplace</x:v>
      </x:c>
      <x:c r="G473" t="str">
        <x:v>Beauty</x:v>
      </x:c>
      <x:c r="H473" t="str">
        <x:v>Skin Care Set</x:v>
      </x:c>
      <x:c r="I473" t="n">
        <x:v>4</x:v>
      </x:c>
      <x:c r="J473" s="4" t="n">
        <x:v>43.92</x:v>
      </x:c>
      <x:c r="K473" s="4" t="n">
        <x:v>18</x:v>
      </x:c>
      <x:c r="L473" s="5" t="n">
        <x:v>0</x:v>
      </x:c>
      <x:c r="M473" s="4" t="n">
        <x:f>ROUND(I473*J473*(1-L473),2)</x:f>
        <x:v>175.68</x:v>
      </x:c>
      <x:c r="N473" s="4" t="n">
        <x:f>ROUND(I473*K473,2)</x:f>
        <x:v>72</x:v>
      </x:c>
      <x:c r="O473" s="4" t="n">
        <x:f>ROUND(M473-N473,2)</x:f>
        <x:v>103.68</x:v>
      </x:c>
      <x:c r="P473" s="6" t="n">
        <x:v>4.6</x:v>
      </x:c>
      <x:c r="Q473" t="str">
        <x:v>No</x:v>
      </x:c>
    </x:row>
    <x:row r="474">
      <x:c r="A474" t="str">
        <x:v>ORD-01229</x:v>
      </x:c>
      <x:c r="B474" s="3" t="n">
        <x:v>45494.50899310185</x:v>
      </x:c>
      <x:c r="C474" t="str">
        <x:v>2024-07</x:v>
      </x:c>
      <x:c r="D474" t="str">
        <x:v>CUS-0026</x:v>
      </x:c>
      <x:c r="E474" t="str">
        <x:v>North West</x:v>
      </x:c>
      <x:c r="F474" t="str">
        <x:v>Store</x:v>
      </x:c>
      <x:c r="G474" t="str">
        <x:v>Sports</x:v>
      </x:c>
      <x:c r="H474" t="str">
        <x:v>Running Shoes</x:v>
      </x:c>
      <x:c r="I474" t="n">
        <x:v>2</x:v>
      </x:c>
      <x:c r="J474" s="4" t="n">
        <x:v>81.93</x:v>
      </x:c>
      <x:c r="K474" s="4" t="n">
        <x:v>38</x:v>
      </x:c>
      <x:c r="L474" s="5" t="n">
        <x:v>0.15</x:v>
      </x:c>
      <x:c r="M474" s="4" t="n">
        <x:f>ROUND(I474*J474*(1-L474),2)</x:f>
        <x:v>139.28</x:v>
      </x:c>
      <x:c r="N474" s="4" t="n">
        <x:f>ROUND(I474*K474,2)</x:f>
        <x:v>76</x:v>
      </x:c>
      <x:c r="O474" s="4" t="n">
        <x:f>ROUND(M474-N474,2)</x:f>
        <x:v>63.28</x:v>
      </x:c>
      <x:c r="P474" s="6" t="n">
        <x:v>3.6</x:v>
      </x:c>
      <x:c r="Q474" t="str">
        <x:v>No</x:v>
      </x:c>
    </x:row>
    <x:row r="475">
      <x:c r="A475" t="str">
        <x:v>ORD-01366</x:v>
      </x:c>
      <x:c r="B475" s="3" t="n">
        <x:v>45494.84706199074</x:v>
      </x:c>
      <x:c r="C475" t="str">
        <x:v>2024-07</x:v>
      </x:c>
      <x:c r="D475" t="str">
        <x:v>CUS-0220</x:v>
      </x:c>
      <x:c r="E475" t="str">
        <x:v>London</x:v>
      </x:c>
      <x:c r="F475" t="str">
        <x:v>Online</x:v>
      </x:c>
      <x:c r="G475" t="str">
        <x:v>Home</x:v>
      </x:c>
      <x:c r="H475" t="str">
        <x:v>Air Fryer</x:v>
      </x:c>
      <x:c r="I475" t="n">
        <x:v>2</x:v>
      </x:c>
      <x:c r="J475" s="4" t="n">
        <x:v>120.62</x:v>
      </x:c>
      <x:c r="K475" s="4" t="n">
        <x:v>69</x:v>
      </x:c>
      <x:c r="L475" s="5" t="n">
        <x:v>0.15</x:v>
      </x:c>
      <x:c r="M475" s="4" t="n">
        <x:f>ROUND(I475*J475*(1-L475),2)</x:f>
        <x:v>205.05</x:v>
      </x:c>
      <x:c r="N475" s="4" t="n">
        <x:f>ROUND(I475*K475,2)</x:f>
        <x:v>138</x:v>
      </x:c>
      <x:c r="O475" s="4" t="n">
        <x:f>ROUND(M475-N475,2)</x:f>
        <x:v>67.05</x:v>
      </x:c>
      <x:c r="P475" s="6" t="n">
        <x:v>3.7</x:v>
      </x:c>
      <x:c r="Q475" t="str">
        <x:v>Yes</x:v>
      </x:c>
    </x:row>
    <x:row r="476">
      <x:c r="A476" t="str">
        <x:v>ORD-01215</x:v>
      </x:c>
      <x:c r="B476" s="3" t="n">
        <x:v>45494.94682171296</x:v>
      </x:c>
      <x:c r="C476" t="str">
        <x:v>2024-07</x:v>
      </x:c>
      <x:c r="D476" t="str">
        <x:v>CUS-0229</x:v>
      </x:c>
      <x:c r="E476" t="str">
        <x:v>London</x:v>
      </x:c>
      <x:c r="F476" t="str">
        <x:v>Store</x:v>
      </x:c>
      <x:c r="G476" t="str">
        <x:v>Fashion</x:v>
      </x:c>
      <x:c r="H476" t="str">
        <x:v>Classic Trainers</x:v>
      </x:c>
      <x:c r="I476" t="n">
        <x:v>4</x:v>
      </x:c>
      <x:c r="J476" s="4" t="n">
        <x:v>72.54</x:v>
      </x:c>
      <x:c r="K476" s="4" t="n">
        <x:v>32</x:v>
      </x:c>
      <x:c r="L476" s="5" t="n">
        <x:v>0</x:v>
      </x:c>
      <x:c r="M476" s="4" t="n">
        <x:f>ROUND(I476*J476*(1-L476),2)</x:f>
        <x:v>290.16</x:v>
      </x:c>
      <x:c r="N476" s="4" t="n">
        <x:f>ROUND(I476*K476,2)</x:f>
        <x:v>128</x:v>
      </x:c>
      <x:c r="O476" s="4" t="n">
        <x:f>ROUND(M476-N476,2)</x:f>
        <x:v>162.16</x:v>
      </x:c>
      <x:c r="P476" s="6" t="n">
        <x:v>4.4</x:v>
      </x:c>
      <x:c r="Q476" t="str">
        <x:v>No</x:v>
      </x:c>
    </x:row>
    <x:row r="477">
      <x:c r="A477" t="str">
        <x:v>ORD-00120</x:v>
      </x:c>
      <x:c r="B477" s="3" t="n">
        <x:v>45495.07514394676</x:v>
      </x:c>
      <x:c r="C477" t="str">
        <x:v>2024-07</x:v>
      </x:c>
      <x:c r="D477" t="str">
        <x:v>CUS-0182</x:v>
      </x:c>
      <x:c r="E477" t="str">
        <x:v>North East</x:v>
      </x:c>
      <x:c r="F477" t="str">
        <x:v>Online</x:v>
      </x:c>
      <x:c r="G477" t="str">
        <x:v>Home</x:v>
      </x:c>
      <x:c r="H477" t="str">
        <x:v>Desk Lamp</x:v>
      </x:c>
      <x:c r="I477" t="n">
        <x:v>5</x:v>
      </x:c>
      <x:c r="J477" s="4" t="n">
        <x:v>35.7</x:v>
      </x:c>
      <x:c r="K477" s="4" t="n">
        <x:v>17</x:v>
      </x:c>
      <x:c r="L477" s="5" t="n">
        <x:v>0</x:v>
      </x:c>
      <x:c r="M477" s="4" t="n">
        <x:f>ROUND(I477*J477*(1-L477),2)</x:f>
        <x:v>178.5</x:v>
      </x:c>
      <x:c r="N477" s="4" t="n">
        <x:f>ROUND(I477*K477,2)</x:f>
        <x:v>85</x:v>
      </x:c>
      <x:c r="O477" s="4" t="n">
        <x:f>ROUND(M477-N477,2)</x:f>
        <x:v>93.5</x:v>
      </x:c>
      <x:c r="P477" s="6" t="n">
        <x:v>3.8</x:v>
      </x:c>
      <x:c r="Q477" t="str">
        <x:v>No</x:v>
      </x:c>
    </x:row>
    <x:row r="478">
      <x:c r="A478" t="str">
        <x:v>ORD-01246</x:v>
      </x:c>
      <x:c r="B478" s="3" t="n">
        <x:v>45495.177968842596</x:v>
      </x:c>
      <x:c r="C478" t="str">
        <x:v>2024-07</x:v>
      </x:c>
      <x:c r="D478" t="str">
        <x:v>CUS-0390</x:v>
      </x:c>
      <x:c r="E478" t="str">
        <x:v>North West</x:v>
      </x:c>
      <x:c r="F478" t="str">
        <x:v>Marketplace</x:v>
      </x:c>
      <x:c r="G478" t="str">
        <x:v>Beauty</x:v>
      </x:c>
      <x:c r="H478" t="str">
        <x:v>Skin Care Set</x:v>
      </x:c>
      <x:c r="I478" t="n">
        <x:v>1</x:v>
      </x:c>
      <x:c r="J478" s="4" t="n">
        <x:v>45.29</x:v>
      </x:c>
      <x:c r="K478" s="4" t="n">
        <x:v>18</x:v>
      </x:c>
      <x:c r="L478" s="5" t="n">
        <x:v>0.1</x:v>
      </x:c>
      <x:c r="M478" s="4" t="n">
        <x:f>ROUND(I478*J478*(1-L478),2)</x:f>
        <x:v>40.76</x:v>
      </x:c>
      <x:c r="N478" s="4" t="n">
        <x:f>ROUND(I478*K478,2)</x:f>
        <x:v>18</x:v>
      </x:c>
      <x:c r="O478" s="4" t="n">
        <x:f>ROUND(M478-N478,2)</x:f>
        <x:v>22.76</x:v>
      </x:c>
      <x:c r="P478" s="6" t="n">
        <x:v>4.6</x:v>
      </x:c>
      <x:c r="Q478" t="str">
        <x:v>No</x:v>
      </x:c>
    </x:row>
    <x:row r="479">
      <x:c r="A479" t="str">
        <x:v>ORD-00821</x:v>
      </x:c>
      <x:c r="B479" s="3" t="n">
        <x:v>45495.24695988426</x:v>
      </x:c>
      <x:c r="C479" t="str">
        <x:v>2024-07</x:v>
      </x:c>
      <x:c r="D479" t="str">
        <x:v>CUS-0540</x:v>
      </x:c>
      <x:c r="E479" t="str">
        <x:v>South West</x:v>
      </x:c>
      <x:c r="F479" t="str">
        <x:v>Online</x:v>
      </x:c>
      <x:c r="G479" t="str">
        <x:v>Electronics</x:v>
      </x:c>
      <x:c r="H479" t="str">
        <x:v>Smart Watch</x:v>
      </x:c>
      <x:c r="I479" t="n">
        <x:v>4</x:v>
      </x:c>
      <x:c r="J479" s="4" t="n">
        <x:v>166.07</x:v>
      </x:c>
      <x:c r="K479" s="4" t="n">
        <x:v>92</x:v>
      </x:c>
      <x:c r="L479" s="5" t="n">
        <x:v>0.1</x:v>
      </x:c>
      <x:c r="M479" s="4" t="n">
        <x:f>ROUND(I479*J479*(1-L479),2)</x:f>
        <x:v>597.85</x:v>
      </x:c>
      <x:c r="N479" s="4" t="n">
        <x:f>ROUND(I479*K479,2)</x:f>
        <x:v>368</x:v>
      </x:c>
      <x:c r="O479" s="4" t="n">
        <x:f>ROUND(M479-N479,2)</x:f>
        <x:v>229.85</x:v>
      </x:c>
      <x:c r="P479" s="6" t="n">
        <x:v>3.3</x:v>
      </x:c>
      <x:c r="Q479" t="str">
        <x:v>No</x:v>
      </x:c>
    </x:row>
    <x:row r="480">
      <x:c r="A480" t="str">
        <x:v>ORD-00294</x:v>
      </x:c>
      <x:c r="B480" s="3" t="n">
        <x:v>45495.86173130787</x:v>
      </x:c>
      <x:c r="C480" t="str">
        <x:v>2024-07</x:v>
      </x:c>
      <x:c r="D480" t="str">
        <x:v>CUS-0357</x:v>
      </x:c>
      <x:c r="E480" t="str">
        <x:v>London</x:v>
      </x:c>
      <x:c r="F480" t="str">
        <x:v>Online</x:v>
      </x:c>
      <x:c r="G480" t="str">
        <x:v>Books</x:v>
      </x:c>
      <x:c r="H480" t="str">
        <x:v>Data Analytics Handbook</x:v>
      </x:c>
      <x:c r="I480" t="n">
        <x:v>4</x:v>
      </x:c>
      <x:c r="J480" s="4" t="n">
        <x:v>40.96</x:v>
      </x:c>
      <x:c r="K480" s="4" t="n">
        <x:v>14</x:v>
      </x:c>
      <x:c r="L480" s="5" t="n">
        <x:v>0.15</x:v>
      </x:c>
      <x:c r="M480" s="4" t="n">
        <x:f>ROUND(I480*J480*(1-L480),2)</x:f>
        <x:v>139.26</x:v>
      </x:c>
      <x:c r="N480" s="4" t="n">
        <x:f>ROUND(I480*K480,2)</x:f>
        <x:v>56</x:v>
      </x:c>
      <x:c r="O480" s="4" t="n">
        <x:f>ROUND(M480-N480,2)</x:f>
        <x:v>83.26</x:v>
      </x:c>
      <x:c r="P480" s="6" t="n">
        <x:v>4.2</x:v>
      </x:c>
      <x:c r="Q480" t="str">
        <x:v>No</x:v>
      </x:c>
    </x:row>
    <x:row r="481">
      <x:c r="A481" t="str">
        <x:v>ORD-00641</x:v>
      </x:c>
      <x:c r="B481" s="3" t="n">
        <x:v>45496.469209814815</x:v>
      </x:c>
      <x:c r="C481" t="str">
        <x:v>2024-07</x:v>
      </x:c>
      <x:c r="D481" t="str">
        <x:v>CUS-0212</x:v>
      </x:c>
      <x:c r="E481" t="str">
        <x:v>Scotland</x:v>
      </x:c>
      <x:c r="F481" t="str">
        <x:v>Marketplace</x:v>
      </x:c>
      <x:c r="G481" t="str">
        <x:v>Electronics</x:v>
      </x:c>
      <x:c r="H481" t="str">
        <x:v>Wireless Headphones</x:v>
      </x:c>
      <x:c r="I481" t="n">
        <x:v>5</x:v>
      </x:c>
      <x:c r="J481" s="4" t="n">
        <x:v>88.24</x:v>
      </x:c>
      <x:c r="K481" s="4" t="n">
        <x:v>48</x:v>
      </x:c>
      <x:c r="L481" s="5" t="n">
        <x:v>0</x:v>
      </x:c>
      <x:c r="M481" s="4" t="n">
        <x:f>ROUND(I481*J481*(1-L481),2)</x:f>
        <x:v>441.2</x:v>
      </x:c>
      <x:c r="N481" s="4" t="n">
        <x:f>ROUND(I481*K481,2)</x:f>
        <x:v>240</x:v>
      </x:c>
      <x:c r="O481" s="4" t="n">
        <x:f>ROUND(M481-N481,2)</x:f>
        <x:v>201.2</x:v>
      </x:c>
      <x:c r="P481" s="6" t="n">
        <x:v>3.6</x:v>
      </x:c>
      <x:c r="Q481" t="str">
        <x:v>No</x:v>
      </x:c>
    </x:row>
    <x:row r="482">
      <x:c r="A482" t="str">
        <x:v>ORD-01261</x:v>
      </x:c>
      <x:c r="B482" s="3" t="n">
        <x:v>45496.50974474537</x:v>
      </x:c>
      <x:c r="C482" t="str">
        <x:v>2024-07</x:v>
      </x:c>
      <x:c r="D482" t="str">
        <x:v>CUS-0312</x:v>
      </x:c>
      <x:c r="E482" t="str">
        <x:v>Midlands</x:v>
      </x:c>
      <x:c r="F482" t="str">
        <x:v>Store</x:v>
      </x:c>
      <x:c r="G482" t="str">
        <x:v>Sports</x:v>
      </x:c>
      <x:c r="H482" t="str">
        <x:v>Yoga Mat</x:v>
      </x:c>
      <x:c r="I482" t="n">
        <x:v>4</x:v>
      </x:c>
      <x:c r="J482" s="4" t="n">
        <x:v>29.28</x:v>
      </x:c>
      <x:c r="K482" s="4" t="n">
        <x:v>12</x:v>
      </x:c>
      <x:c r="L482" s="5" t="n">
        <x:v>0</x:v>
      </x:c>
      <x:c r="M482" s="4" t="n">
        <x:f>ROUND(I482*J482*(1-L482),2)</x:f>
        <x:v>117.12</x:v>
      </x:c>
      <x:c r="N482" s="4" t="n">
        <x:f>ROUND(I482*K482,2)</x:f>
        <x:v>48</x:v>
      </x:c>
      <x:c r="O482" s="4" t="n">
        <x:f>ROUND(M482-N482,2)</x:f>
        <x:v>69.12</x:v>
      </x:c>
      <x:c r="P482" s="6" t="n">
        <x:v>4</x:v>
      </x:c>
      <x:c r="Q482" t="str">
        <x:v>No</x:v>
      </x:c>
    </x:row>
    <x:row r="483">
      <x:c r="A483" t="str">
        <x:v>ORD-00318</x:v>
      </x:c>
      <x:c r="B483" s="3" t="n">
        <x:v>45496.96127231482</x:v>
      </x:c>
      <x:c r="C483" t="str">
        <x:v>2024-07</x:v>
      </x:c>
      <x:c r="D483" t="str">
        <x:v>CUS-0342</x:v>
      </x:c>
      <x:c r="E483" t="str">
        <x:v>Wales</x:v>
      </x:c>
      <x:c r="F483" t="str">
        <x:v>Marketplace</x:v>
      </x:c>
      <x:c r="G483" t="str">
        <x:v>Electronics</x:v>
      </x:c>
      <x:c r="H483" t="str">
        <x:v>Wireless Headphones</x:v>
      </x:c>
      <x:c r="I483" t="n">
        <x:v>4</x:v>
      </x:c>
      <x:c r="J483" s="4" t="n">
        <x:v>92.98</x:v>
      </x:c>
      <x:c r="K483" s="4" t="n">
        <x:v>48</x:v>
      </x:c>
      <x:c r="L483" s="5" t="n">
        <x:v>0.1</x:v>
      </x:c>
      <x:c r="M483" s="4" t="n">
        <x:f>ROUND(I483*J483*(1-L483),2)</x:f>
        <x:v>334.73</x:v>
      </x:c>
      <x:c r="N483" s="4" t="n">
        <x:f>ROUND(I483*K483,2)</x:f>
        <x:v>192</x:v>
      </x:c>
      <x:c r="O483" s="4" t="n">
        <x:f>ROUND(M483-N483,2)</x:f>
        <x:v>142.73</x:v>
      </x:c>
      <x:c r="P483" s="6" t="n">
        <x:v>4.6</x:v>
      </x:c>
      <x:c r="Q483" t="str">
        <x:v>No</x:v>
      </x:c>
    </x:row>
    <x:row r="484">
      <x:c r="A484" t="str">
        <x:v>ORD-01377</x:v>
      </x:c>
      <x:c r="B484" s="3" t="n">
        <x:v>45496.99760126157</x:v>
      </x:c>
      <x:c r="C484" t="str">
        <x:v>2024-07</x:v>
      </x:c>
      <x:c r="D484" t="str">
        <x:v>CUS-0167</x:v>
      </x:c>
      <x:c r="E484" t="str">
        <x:v>North East</x:v>
      </x:c>
      <x:c r="F484" t="str">
        <x:v>Store</x:v>
      </x:c>
      <x:c r="G484" t="str">
        <x:v>Beauty</x:v>
      </x:c>
      <x:c r="H484" t="str">
        <x:v>Hair Dryer</x:v>
      </x:c>
      <x:c r="I484" t="n">
        <x:v>5</x:v>
      </x:c>
      <x:c r="J484" s="4" t="n">
        <x:v>61.69</x:v>
      </x:c>
      <x:c r="K484" s="4" t="n">
        <x:v>29</x:v>
      </x:c>
      <x:c r="L484" s="5" t="n">
        <x:v>0.05</x:v>
      </x:c>
      <x:c r="M484" s="4" t="n">
        <x:f>ROUND(I484*J484*(1-L484),2)</x:f>
        <x:v>293.03</x:v>
      </x:c>
      <x:c r="N484" s="4" t="n">
        <x:f>ROUND(I484*K484,2)</x:f>
        <x:v>145</x:v>
      </x:c>
      <x:c r="O484" s="4" t="n">
        <x:f>ROUND(M484-N484,2)</x:f>
        <x:v>148.03</x:v>
      </x:c>
      <x:c r="P484" s="6" t="n">
        <x:v>4.2</x:v>
      </x:c>
      <x:c r="Q484" t="str">
        <x:v>No</x:v>
      </x:c>
    </x:row>
    <x:row r="485">
      <x:c r="A485" t="str">
        <x:v>ORD-00875</x:v>
      </x:c>
      <x:c r="B485" s="3" t="n">
        <x:v>45497.482517349534</x:v>
      </x:c>
      <x:c r="C485" t="str">
        <x:v>2024-07</x:v>
      </x:c>
      <x:c r="D485" t="str">
        <x:v>CUS-0058</x:v>
      </x:c>
      <x:c r="E485" t="str">
        <x:v>South East</x:v>
      </x:c>
      <x:c r="F485" t="str">
        <x:v>Marketplace</x:v>
      </x:c>
      <x:c r="G485" t="str">
        <x:v>Sports</x:v>
      </x:c>
      <x:c r="H485" t="str">
        <x:v>Fitness Tracker</x:v>
      </x:c>
      <x:c r="I485" t="n">
        <x:v>4</x:v>
      </x:c>
      <x:c r="J485" s="4" t="n">
        <x:v>57.3</x:v>
      </x:c>
      <x:c r="K485" s="4" t="n">
        <x:v>27</x:v>
      </x:c>
      <x:c r="L485" s="5" t="n">
        <x:v>0</x:v>
      </x:c>
      <x:c r="M485" s="4" t="n">
        <x:f>ROUND(I485*J485*(1-L485),2)</x:f>
        <x:v>229.2</x:v>
      </x:c>
      <x:c r="N485" s="4" t="n">
        <x:f>ROUND(I485*K485,2)</x:f>
        <x:v>108</x:v>
      </x:c>
      <x:c r="O485" s="4" t="n">
        <x:f>ROUND(M485-N485,2)</x:f>
        <x:v>121.2</x:v>
      </x:c>
      <x:c r="P485" s="6" t="n">
        <x:v>4.7</x:v>
      </x:c>
      <x:c r="Q485" t="str">
        <x:v>No</x:v>
      </x:c>
    </x:row>
    <x:row r="486">
      <x:c r="A486" t="str">
        <x:v>ORD-00106</x:v>
      </x:c>
      <x:c r="B486" s="3" t="n">
        <x:v>45498.49621684028</x:v>
      </x:c>
      <x:c r="C486" t="str">
        <x:v>2024-07</x:v>
      </x:c>
      <x:c r="D486" t="str">
        <x:v>CUS-0507</x:v>
      </x:c>
      <x:c r="E486" t="str">
        <x:v>Scotland</x:v>
      </x:c>
      <x:c r="F486" t="str">
        <x:v>Marketplace</x:v>
      </x:c>
      <x:c r="G486" t="str">
        <x:v>Books</x:v>
      </x:c>
      <x:c r="H486" t="str">
        <x:v>Business Intelligence Guide</x:v>
      </x:c>
      <x:c r="I486" t="n">
        <x:v>4</x:v>
      </x:c>
      <x:c r="J486" s="4" t="n">
        <x:v>36.37</x:v>
      </x:c>
      <x:c r="K486" s="4" t="n">
        <x:v>12</x:v>
      </x:c>
      <x:c r="L486" s="5" t="n">
        <x:v>0</x:v>
      </x:c>
      <x:c r="M486" s="4" t="n">
        <x:f>ROUND(I486*J486*(1-L486),2)</x:f>
        <x:v>145.48</x:v>
      </x:c>
      <x:c r="N486" s="4" t="n">
        <x:f>ROUND(I486*K486,2)</x:f>
        <x:v>48</x:v>
      </x:c>
      <x:c r="O486" s="4" t="n">
        <x:f>ROUND(M486-N486,2)</x:f>
        <x:v>97.48</x:v>
      </x:c>
      <x:c r="P486" s="6" t="n">
        <x:v>3.5</x:v>
      </x:c>
      <x:c r="Q486" t="str">
        <x:v>No</x:v>
      </x:c>
    </x:row>
    <x:row r="487">
      <x:c r="A487" t="str">
        <x:v>ORD-00644</x:v>
      </x:c>
      <x:c r="B487" s="3" t="n">
        <x:v>45498.63333550926</x:v>
      </x:c>
      <x:c r="C487" t="str">
        <x:v>2024-07</x:v>
      </x:c>
      <x:c r="D487" t="str">
        <x:v>CUS-0392</x:v>
      </x:c>
      <x:c r="E487" t="str">
        <x:v>North East</x:v>
      </x:c>
      <x:c r="F487" t="str">
        <x:v>Marketplace</x:v>
      </x:c>
      <x:c r="G487" t="str">
        <x:v>Fashion</x:v>
      </x:c>
      <x:c r="H487" t="str">
        <x:v>Winter Jacket</x:v>
      </x:c>
      <x:c r="I487" t="n">
        <x:v>1</x:v>
      </x:c>
      <x:c r="J487" s="4" t="n">
        <x:v>94.77</x:v>
      </x:c>
      <x:c r="K487" s="4" t="n">
        <x:v>46</x:v>
      </x:c>
      <x:c r="L487" s="5" t="n">
        <x:v>0.2</x:v>
      </x:c>
      <x:c r="M487" s="4" t="n">
        <x:f>ROUND(I487*J487*(1-L487),2)</x:f>
        <x:v>75.82</x:v>
      </x:c>
      <x:c r="N487" s="4" t="n">
        <x:f>ROUND(I487*K487,2)</x:f>
        <x:v>46</x:v>
      </x:c>
      <x:c r="O487" s="4" t="n">
        <x:f>ROUND(M487-N487,2)</x:f>
        <x:v>29.82</x:v>
      </x:c>
      <x:c r="P487" s="6" t="n">
        <x:v>3.5</x:v>
      </x:c>
      <x:c r="Q487" t="str">
        <x:v>No</x:v>
      </x:c>
    </x:row>
    <x:row r="488">
      <x:c r="A488" t="str">
        <x:v>ORD-01344</x:v>
      </x:c>
      <x:c r="B488" s="3" t="n">
        <x:v>45499.10345297454</x:v>
      </x:c>
      <x:c r="C488" t="str">
        <x:v>2024-07</x:v>
      </x:c>
      <x:c r="D488" t="str">
        <x:v>CUS-0574</x:v>
      </x:c>
      <x:c r="E488" t="str">
        <x:v>North West</x:v>
      </x:c>
      <x:c r="F488" t="str">
        <x:v>Store</x:v>
      </x:c>
      <x:c r="G488" t="str">
        <x:v>Fashion</x:v>
      </x:c>
      <x:c r="H488" t="str">
        <x:v>Winter Jacket</x:v>
      </x:c>
      <x:c r="I488" t="n">
        <x:v>4</x:v>
      </x:c>
      <x:c r="J488" s="4" t="n">
        <x:v>96.63</x:v>
      </x:c>
      <x:c r="K488" s="4" t="n">
        <x:v>46</x:v>
      </x:c>
      <x:c r="L488" s="5" t="n">
        <x:v>0.1</x:v>
      </x:c>
      <x:c r="M488" s="4" t="n">
        <x:f>ROUND(I488*J488*(1-L488),2)</x:f>
        <x:v>347.87</x:v>
      </x:c>
      <x:c r="N488" s="4" t="n">
        <x:f>ROUND(I488*K488,2)</x:f>
        <x:v>184</x:v>
      </x:c>
      <x:c r="O488" s="4" t="n">
        <x:f>ROUND(M488-N488,2)</x:f>
        <x:v>163.87</x:v>
      </x:c>
      <x:c r="P488" s="6" t="n">
        <x:v>4.2</x:v>
      </x:c>
      <x:c r="Q488" t="str">
        <x:v>No</x:v>
      </x:c>
    </x:row>
    <x:row r="489">
      <x:c r="A489" t="str">
        <x:v>ORD-01768</x:v>
      </x:c>
      <x:c r="B489" s="3" t="n">
        <x:v>45499.28926020833</x:v>
      </x:c>
      <x:c r="C489" t="str">
        <x:v>2024-07</x:v>
      </x:c>
      <x:c r="D489" t="str">
        <x:v>CUS-0378</x:v>
      </x:c>
      <x:c r="E489" t="str">
        <x:v>London</x:v>
      </x:c>
      <x:c r="F489" t="str">
        <x:v>Marketplace</x:v>
      </x:c>
      <x:c r="G489" t="str">
        <x:v>Home</x:v>
      </x:c>
      <x:c r="H489" t="str">
        <x:v>Coffee Maker</x:v>
      </x:c>
      <x:c r="I489" t="n">
        <x:v>5</x:v>
      </x:c>
      <x:c r="J489" s="4" t="n">
        <x:v>78.47</x:v>
      </x:c>
      <x:c r="K489" s="4" t="n">
        <x:v>41</x:v>
      </x:c>
      <x:c r="L489" s="5" t="n">
        <x:v>0.15</x:v>
      </x:c>
      <x:c r="M489" s="4" t="n">
        <x:f>ROUND(I489*J489*(1-L489),2)</x:f>
        <x:v>333.5</x:v>
      </x:c>
      <x:c r="N489" s="4" t="n">
        <x:f>ROUND(I489*K489,2)</x:f>
        <x:v>205</x:v>
      </x:c>
      <x:c r="O489" s="4" t="n">
        <x:f>ROUND(M489-N489,2)</x:f>
        <x:v>128.5</x:v>
      </x:c>
      <x:c r="P489" s="6" t="n">
        <x:v>4</x:v>
      </x:c>
      <x:c r="Q489" t="str">
        <x:v>No</x:v>
      </x:c>
    </x:row>
    <x:row r="490">
      <x:c r="A490" t="str">
        <x:v>ORD-00484</x:v>
      </x:c>
      <x:c r="B490" s="3" t="n">
        <x:v>45499.544757731484</x:v>
      </x:c>
      <x:c r="C490" t="str">
        <x:v>2024-07</x:v>
      </x:c>
      <x:c r="D490" t="str">
        <x:v>CUS-0509</x:v>
      </x:c>
      <x:c r="E490" t="str">
        <x:v>South East</x:v>
      </x:c>
      <x:c r="F490" t="str">
        <x:v>Store</x:v>
      </x:c>
      <x:c r="G490" t="str">
        <x:v>Beauty</x:v>
      </x:c>
      <x:c r="H490" t="str">
        <x:v>Hair Dryer</x:v>
      </x:c>
      <x:c r="I490" t="n">
        <x:v>1</x:v>
      </x:c>
      <x:c r="J490" s="4" t="n">
        <x:v>62.11</x:v>
      </x:c>
      <x:c r="K490" s="4" t="n">
        <x:v>29</x:v>
      </x:c>
      <x:c r="L490" s="5" t="n">
        <x:v>0.1</x:v>
      </x:c>
      <x:c r="M490" s="4" t="n">
        <x:f>ROUND(I490*J490*(1-L490),2)</x:f>
        <x:v>55.9</x:v>
      </x:c>
      <x:c r="N490" s="4" t="n">
        <x:f>ROUND(I490*K490,2)</x:f>
        <x:v>29</x:v>
      </x:c>
      <x:c r="O490" s="4" t="n">
        <x:f>ROUND(M490-N490,2)</x:f>
        <x:v>26.9</x:v>
      </x:c>
      <x:c r="P490" s="6" t="n">
        <x:v>4.1</x:v>
      </x:c>
      <x:c r="Q490" t="str">
        <x:v>No</x:v>
      </x:c>
    </x:row>
    <x:row r="491">
      <x:c r="A491" t="str">
        <x:v>ORD-00977</x:v>
      </x:c>
      <x:c r="B491" s="3" t="n">
        <x:v>45499.69156006944</x:v>
      </x:c>
      <x:c r="C491" t="str">
        <x:v>2024-07</x:v>
      </x:c>
      <x:c r="D491" t="str">
        <x:v>CUS-0335</x:v>
      </x:c>
      <x:c r="E491" t="str">
        <x:v>South West</x:v>
      </x:c>
      <x:c r="F491" t="str">
        <x:v>Marketplace</x:v>
      </x:c>
      <x:c r="G491" t="str">
        <x:v>Sports</x:v>
      </x:c>
      <x:c r="H491" t="str">
        <x:v>Fitness Tracker</x:v>
      </x:c>
      <x:c r="I491" t="n">
        <x:v>1</x:v>
      </x:c>
      <x:c r="J491" s="4" t="n">
        <x:v>54.48</x:v>
      </x:c>
      <x:c r="K491" s="4" t="n">
        <x:v>27</x:v>
      </x:c>
      <x:c r="L491" s="5" t="n">
        <x:v>0.15</x:v>
      </x:c>
      <x:c r="M491" s="4" t="n">
        <x:f>ROUND(I491*J491*(1-L491),2)</x:f>
        <x:v>46.31</x:v>
      </x:c>
      <x:c r="N491" s="4" t="n">
        <x:f>ROUND(I491*K491,2)</x:f>
        <x:v>27</x:v>
      </x:c>
      <x:c r="O491" s="4" t="n">
        <x:f>ROUND(M491-N491,2)</x:f>
        <x:v>19.31</x:v>
      </x:c>
      <x:c r="P491" s="6" t="n">
        <x:v>4.6</x:v>
      </x:c>
      <x:c r="Q491" t="str">
        <x:v>Yes</x:v>
      </x:c>
    </x:row>
    <x:row r="492">
      <x:c r="A492" t="str">
        <x:v>ORD-00232</x:v>
      </x:c>
      <x:c r="B492" s="3" t="n">
        <x:v>45499.770496192126</x:v>
      </x:c>
      <x:c r="C492" t="str">
        <x:v>2024-07</x:v>
      </x:c>
      <x:c r="D492" t="str">
        <x:v>CUS-0385</x:v>
      </x:c>
      <x:c r="E492" t="str">
        <x:v>Midlands</x:v>
      </x:c>
      <x:c r="F492" t="str">
        <x:v>Store</x:v>
      </x:c>
      <x:c r="G492" t="str">
        <x:v>Sports</x:v>
      </x:c>
      <x:c r="H492" t="str">
        <x:v>Fitness Tracker</x:v>
      </x:c>
      <x:c r="I492" t="n">
        <x:v>1</x:v>
      </x:c>
      <x:c r="J492" s="4" t="n">
        <x:v>55.66</x:v>
      </x:c>
      <x:c r="K492" s="4" t="n">
        <x:v>27</x:v>
      </x:c>
      <x:c r="L492" s="5" t="n">
        <x:v>0</x:v>
      </x:c>
      <x:c r="M492" s="4" t="n">
        <x:f>ROUND(I492*J492*(1-L492),2)</x:f>
        <x:v>55.66</x:v>
      </x:c>
      <x:c r="N492" s="4" t="n">
        <x:f>ROUND(I492*K492,2)</x:f>
        <x:v>27</x:v>
      </x:c>
      <x:c r="O492" s="4" t="n">
        <x:f>ROUND(M492-N492,2)</x:f>
        <x:v>28.66</x:v>
      </x:c>
      <x:c r="P492" s="6" t="n">
        <x:v>3.8</x:v>
      </x:c>
      <x:c r="Q492" t="str">
        <x:v>No</x:v>
      </x:c>
    </x:row>
    <x:row r="493">
      <x:c r="A493" t="str">
        <x:v>ORD-01112</x:v>
      </x:c>
      <x:c r="B493" s="3" t="n">
        <x:v>45499.773144942126</x:v>
      </x:c>
      <x:c r="C493" t="str">
        <x:v>2024-07</x:v>
      </x:c>
      <x:c r="D493" t="str">
        <x:v>CUS-0559</x:v>
      </x:c>
      <x:c r="E493" t="str">
        <x:v>South East</x:v>
      </x:c>
      <x:c r="F493" t="str">
        <x:v>Online</x:v>
      </x:c>
      <x:c r="G493" t="str">
        <x:v>Fashion</x:v>
      </x:c>
      <x:c r="H493" t="str">
        <x:v>Winter Jacket</x:v>
      </x:c>
      <x:c r="I493" t="n">
        <x:v>3</x:v>
      </x:c>
      <x:c r="J493" s="4" t="n">
        <x:v>94.84</x:v>
      </x:c>
      <x:c r="K493" s="4" t="n">
        <x:v>46</x:v>
      </x:c>
      <x:c r="L493" s="5" t="n">
        <x:v>0.15</x:v>
      </x:c>
      <x:c r="M493" s="4" t="n">
        <x:f>ROUND(I493*J493*(1-L493),2)</x:f>
        <x:v>241.84</x:v>
      </x:c>
      <x:c r="N493" s="4" t="n">
        <x:f>ROUND(I493*K493,2)</x:f>
        <x:v>138</x:v>
      </x:c>
      <x:c r="O493" s="4" t="n">
        <x:f>ROUND(M493-N493,2)</x:f>
        <x:v>103.84</x:v>
      </x:c>
      <x:c r="P493" s="6" t="n">
        <x:v>4.2</x:v>
      </x:c>
      <x:c r="Q493" t="str">
        <x:v>No</x:v>
      </x:c>
    </x:row>
    <x:row r="494">
      <x:c r="A494" t="str">
        <x:v>ORD-00133</x:v>
      </x:c>
      <x:c r="B494" s="3" t="n">
        <x:v>45500.1726940625</x:v>
      </x:c>
      <x:c r="C494" t="str">
        <x:v>2024-07</x:v>
      </x:c>
      <x:c r="D494" t="str">
        <x:v>CUS-0577</x:v>
      </x:c>
      <x:c r="E494" t="str">
        <x:v>Wales</x:v>
      </x:c>
      <x:c r="F494" t="str">
        <x:v>Store</x:v>
      </x:c>
      <x:c r="G494" t="str">
        <x:v>Fashion</x:v>
      </x:c>
      <x:c r="H494" t="str">
        <x:v>Winter Jacket</x:v>
      </x:c>
      <x:c r="I494" t="n">
        <x:v>4</x:v>
      </x:c>
      <x:c r="J494" s="4" t="n">
        <x:v>98.36</x:v>
      </x:c>
      <x:c r="K494" s="4" t="n">
        <x:v>46</x:v>
      </x:c>
      <x:c r="L494" s="5" t="n">
        <x:v>0.05</x:v>
      </x:c>
      <x:c r="M494" s="4" t="n">
        <x:f>ROUND(I494*J494*(1-L494),2)</x:f>
        <x:v>373.77</x:v>
      </x:c>
      <x:c r="N494" s="4" t="n">
        <x:f>ROUND(I494*K494,2)</x:f>
        <x:v>184</x:v>
      </x:c>
      <x:c r="O494" s="4" t="n">
        <x:f>ROUND(M494-N494,2)</x:f>
        <x:v>189.77</x:v>
      </x:c>
      <x:c r="P494" s="6" t="n">
        <x:v>4.7</x:v>
      </x:c>
      <x:c r="Q494" t="str">
        <x:v>No</x:v>
      </x:c>
    </x:row>
    <x:row r="495">
      <x:c r="A495" t="str">
        <x:v>ORD-00796</x:v>
      </x:c>
      <x:c r="B495" s="3" t="n">
        <x:v>45500.59448907407</x:v>
      </x:c>
      <x:c r="C495" t="str">
        <x:v>2024-07</x:v>
      </x:c>
      <x:c r="D495" t="str">
        <x:v>CUS-0501</x:v>
      </x:c>
      <x:c r="E495" t="str">
        <x:v>Wales</x:v>
      </x:c>
      <x:c r="F495" t="str">
        <x:v>Online</x:v>
      </x:c>
      <x:c r="G495" t="str">
        <x:v>Sports</x:v>
      </x:c>
      <x:c r="H495" t="str">
        <x:v>Running Shoes</x:v>
      </x:c>
      <x:c r="I495" t="n">
        <x:v>4</x:v>
      </x:c>
      <x:c r="J495" s="4" t="n">
        <x:v>76.59</x:v>
      </x:c>
      <x:c r="K495" s="4" t="n">
        <x:v>38</x:v>
      </x:c>
      <x:c r="L495" s="5" t="n">
        <x:v>0.1</x:v>
      </x:c>
      <x:c r="M495" s="4" t="n">
        <x:f>ROUND(I495*J495*(1-L495),2)</x:f>
        <x:v>275.72</x:v>
      </x:c>
      <x:c r="N495" s="4" t="n">
        <x:f>ROUND(I495*K495,2)</x:f>
        <x:v>152</x:v>
      </x:c>
      <x:c r="O495" s="4" t="n">
        <x:f>ROUND(M495-N495,2)</x:f>
        <x:v>123.72</x:v>
      </x:c>
      <x:c r="P495" s="6" t="n">
        <x:v>4.6</x:v>
      </x:c>
      <x:c r="Q495" t="str">
        <x:v>No</x:v>
      </x:c>
    </x:row>
    <x:row r="496">
      <x:c r="A496" t="str">
        <x:v>ORD-00787</x:v>
      </x:c>
      <x:c r="B496" s="3" t="n">
        <x:v>45501.13285380787</x:v>
      </x:c>
      <x:c r="C496" t="str">
        <x:v>2024-07</x:v>
      </x:c>
      <x:c r="D496" t="str">
        <x:v>CUS-0078</x:v>
      </x:c>
      <x:c r="E496" t="str">
        <x:v>North East</x:v>
      </x:c>
      <x:c r="F496" t="str">
        <x:v>Online</x:v>
      </x:c>
      <x:c r="G496" t="str">
        <x:v>Books</x:v>
      </x:c>
      <x:c r="H496" t="str">
        <x:v>Business Intelligence Guide</x:v>
      </x:c>
      <x:c r="I496" t="n">
        <x:v>5</x:v>
      </x:c>
      <x:c r="J496" s="4" t="n">
        <x:v>35.34</x:v>
      </x:c>
      <x:c r="K496" s="4" t="n">
        <x:v>12</x:v>
      </x:c>
      <x:c r="L496" s="5" t="n">
        <x:v>0.2</x:v>
      </x:c>
      <x:c r="M496" s="4" t="n">
        <x:f>ROUND(I496*J496*(1-L496),2)</x:f>
        <x:v>141.36</x:v>
      </x:c>
      <x:c r="N496" s="4" t="n">
        <x:f>ROUND(I496*K496,2)</x:f>
        <x:v>60</x:v>
      </x:c>
      <x:c r="O496" s="4" t="n">
        <x:f>ROUND(M496-N496,2)</x:f>
        <x:v>81.36</x:v>
      </x:c>
      <x:c r="P496" s="6" t="n">
        <x:v>5</x:v>
      </x:c>
      <x:c r="Q496" t="str">
        <x:v>No</x:v>
      </x:c>
    </x:row>
    <x:row r="497">
      <x:c r="A497" t="str">
        <x:v>ORD-00185</x:v>
      </x:c>
      <x:c r="B497" s="3" t="n">
        <x:v>45501.14968387732</x:v>
      </x:c>
      <x:c r="C497" t="str">
        <x:v>2024-07</x:v>
      </x:c>
      <x:c r="D497" t="str">
        <x:v>CUS-0256</x:v>
      </x:c>
      <x:c r="E497" t="str">
        <x:v>South West</x:v>
      </x:c>
      <x:c r="F497" t="str">
        <x:v>Online</x:v>
      </x:c>
      <x:c r="G497" t="str">
        <x:v>Home</x:v>
      </x:c>
      <x:c r="H497" t="str">
        <x:v>Desk Lamp</x:v>
      </x:c>
      <x:c r="I497" t="n">
        <x:v>2</x:v>
      </x:c>
      <x:c r="J497" s="4" t="n">
        <x:v>36.6</x:v>
      </x:c>
      <x:c r="K497" s="4" t="n">
        <x:v>17</x:v>
      </x:c>
      <x:c r="L497" s="5" t="n">
        <x:v>0.15</x:v>
      </x:c>
      <x:c r="M497" s="4" t="n">
        <x:f>ROUND(I497*J497*(1-L497),2)</x:f>
        <x:v>62.22</x:v>
      </x:c>
      <x:c r="N497" s="4" t="n">
        <x:f>ROUND(I497*K497,2)</x:f>
        <x:v>34</x:v>
      </x:c>
      <x:c r="O497" s="4" t="n">
        <x:f>ROUND(M497-N497,2)</x:f>
        <x:v>28.22</x:v>
      </x:c>
      <x:c r="P497" s="6" t="n">
        <x:v>4</x:v>
      </x:c>
      <x:c r="Q497" t="str">
        <x:v>No</x:v>
      </x:c>
    </x:row>
    <x:row r="498">
      <x:c r="A498" t="str">
        <x:v>ORD-00701</x:v>
      </x:c>
      <x:c r="B498" s="3" t="n">
        <x:v>45501.1647075463</x:v>
      </x:c>
      <x:c r="C498" t="str">
        <x:v>2024-07</x:v>
      </x:c>
      <x:c r="D498" t="str">
        <x:v>CUS-0395</x:v>
      </x:c>
      <x:c r="E498" t="str">
        <x:v>Midlands</x:v>
      </x:c>
      <x:c r="F498" t="str">
        <x:v>Store</x:v>
      </x:c>
      <x:c r="G498" t="str">
        <x:v>Fashion</x:v>
      </x:c>
      <x:c r="H498" t="str">
        <x:v>Winter Jacket</x:v>
      </x:c>
      <x:c r="I498" t="n">
        <x:v>5</x:v>
      </x:c>
      <x:c r="J498" s="4" t="n">
        <x:v>98.89</x:v>
      </x:c>
      <x:c r="K498" s="4" t="n">
        <x:v>46</x:v>
      </x:c>
      <x:c r="L498" s="5" t="n">
        <x:v>0.05</x:v>
      </x:c>
      <x:c r="M498" s="4" t="n">
        <x:f>ROUND(I498*J498*(1-L498),2)</x:f>
        <x:v>469.73</x:v>
      </x:c>
      <x:c r="N498" s="4" t="n">
        <x:f>ROUND(I498*K498,2)</x:f>
        <x:v>230</x:v>
      </x:c>
      <x:c r="O498" s="4" t="n">
        <x:f>ROUND(M498-N498,2)</x:f>
        <x:v>239.73</x:v>
      </x:c>
      <x:c r="P498" s="6" t="n">
        <x:v>4.6</x:v>
      </x:c>
      <x:c r="Q498" t="str">
        <x:v>No</x:v>
      </x:c>
    </x:row>
    <x:row r="499">
      <x:c r="A499" t="str">
        <x:v>ORD-01357</x:v>
      </x:c>
      <x:c r="B499" s="3" t="n">
        <x:v>45501.30342729167</x:v>
      </x:c>
      <x:c r="C499" t="str">
        <x:v>2024-07</x:v>
      </x:c>
      <x:c r="D499" t="str">
        <x:v>CUS-0510</x:v>
      </x:c>
      <x:c r="E499" t="str">
        <x:v>South West</x:v>
      </x:c>
      <x:c r="F499" t="str">
        <x:v>Store</x:v>
      </x:c>
      <x:c r="G499" t="str">
        <x:v>Books</x:v>
      </x:c>
      <x:c r="H499" t="str">
        <x:v>Data Analytics Handbook</x:v>
      </x:c>
      <x:c r="I499" t="n">
        <x:v>4</x:v>
      </x:c>
      <x:c r="J499" s="4" t="n">
        <x:v>38.74</x:v>
      </x:c>
      <x:c r="K499" s="4" t="n">
        <x:v>14</x:v>
      </x:c>
      <x:c r="L499" s="5" t="n">
        <x:v>0</x:v>
      </x:c>
      <x:c r="M499" s="4" t="n">
        <x:f>ROUND(I499*J499*(1-L499),2)</x:f>
        <x:v>154.96</x:v>
      </x:c>
      <x:c r="N499" s="4" t="n">
        <x:f>ROUND(I499*K499,2)</x:f>
        <x:v>56</x:v>
      </x:c>
      <x:c r="O499" s="4" t="n">
        <x:f>ROUND(M499-N499,2)</x:f>
        <x:v>98.96</x:v>
      </x:c>
      <x:c r="P499" s="6" t="n">
        <x:v>4.8</x:v>
      </x:c>
      <x:c r="Q499" t="str">
        <x:v>No</x:v>
      </x:c>
    </x:row>
    <x:row r="500">
      <x:c r="A500" t="str">
        <x:v>ORD-01535</x:v>
      </x:c>
      <x:c r="B500" s="3" t="n">
        <x:v>45502.3148012963</x:v>
      </x:c>
      <x:c r="C500" t="str">
        <x:v>2024-07</x:v>
      </x:c>
      <x:c r="D500" t="str">
        <x:v>CUS-0060</x:v>
      </x:c>
      <x:c r="E500" t="str">
        <x:v>North East</x:v>
      </x:c>
      <x:c r="F500" t="str">
        <x:v>Store</x:v>
      </x:c>
      <x:c r="G500" t="str">
        <x:v>Books</x:v>
      </x:c>
      <x:c r="H500" t="str">
        <x:v>Business Intelligence Guide</x:v>
      </x:c>
      <x:c r="I500" t="n">
        <x:v>3</x:v>
      </x:c>
      <x:c r="J500" s="4" t="n">
        <x:v>35.7</x:v>
      </x:c>
      <x:c r="K500" s="4" t="n">
        <x:v>12</x:v>
      </x:c>
      <x:c r="L500" s="5" t="n">
        <x:v>0.15</x:v>
      </x:c>
      <x:c r="M500" s="4" t="n">
        <x:f>ROUND(I500*J500*(1-L500),2)</x:f>
        <x:v>91.04</x:v>
      </x:c>
      <x:c r="N500" s="4" t="n">
        <x:f>ROUND(I500*K500,2)</x:f>
        <x:v>36</x:v>
      </x:c>
      <x:c r="O500" s="4" t="n">
        <x:f>ROUND(M500-N500,2)</x:f>
        <x:v>55.04</x:v>
      </x:c>
      <x:c r="P500" s="6" t="n">
        <x:v>4.4</x:v>
      </x:c>
      <x:c r="Q500" t="str">
        <x:v>No</x:v>
      </x:c>
    </x:row>
    <x:row r="501">
      <x:c r="A501" t="str">
        <x:v>ORD-00655</x:v>
      </x:c>
      <x:c r="B501" s="3" t="n">
        <x:v>45502.42071346065</x:v>
      </x:c>
      <x:c r="C501" t="str">
        <x:v>2024-07</x:v>
      </x:c>
      <x:c r="D501" t="str">
        <x:v>CUS-0489</x:v>
      </x:c>
      <x:c r="E501" t="str">
        <x:v>North West</x:v>
      </x:c>
      <x:c r="F501" t="str">
        <x:v>Online</x:v>
      </x:c>
      <x:c r="G501" t="str">
        <x:v>Sports</x:v>
      </x:c>
      <x:c r="H501" t="str">
        <x:v>Yoga Mat</x:v>
      </x:c>
      <x:c r="I501" t="n">
        <x:v>2</x:v>
      </x:c>
      <x:c r="J501" s="4" t="n">
        <x:v>31.29</x:v>
      </x:c>
      <x:c r="K501" s="4" t="n">
        <x:v>12</x:v>
      </x:c>
      <x:c r="L501" s="5" t="n">
        <x:v>0</x:v>
      </x:c>
      <x:c r="M501" s="4" t="n">
        <x:f>ROUND(I501*J501*(1-L501),2)</x:f>
        <x:v>62.58</x:v>
      </x:c>
      <x:c r="N501" s="4" t="n">
        <x:f>ROUND(I501*K501,2)</x:f>
        <x:v>24</x:v>
      </x:c>
      <x:c r="O501" s="4" t="n">
        <x:f>ROUND(M501-N501,2)</x:f>
        <x:v>38.58</x:v>
      </x:c>
      <x:c r="P501" s="6" t="n">
        <x:v>4.7</x:v>
      </x:c>
      <x:c r="Q501" t="str">
        <x:v>No</x:v>
      </x:c>
    </x:row>
    <x:row r="502">
      <x:c r="A502" t="str">
        <x:v>ORD-01530</x:v>
      </x:c>
      <x:c r="B502" s="3" t="n">
        <x:v>45503.97443689815</x:v>
      </x:c>
      <x:c r="C502" t="str">
        <x:v>2024-07</x:v>
      </x:c>
      <x:c r="D502" t="str">
        <x:v>CUS-0379</x:v>
      </x:c>
      <x:c r="E502" t="str">
        <x:v>Midlands</x:v>
      </x:c>
      <x:c r="F502" t="str">
        <x:v>Online</x:v>
      </x:c>
      <x:c r="G502" t="str">
        <x:v>Home</x:v>
      </x:c>
      <x:c r="H502" t="str">
        <x:v>Coffee Maker</x:v>
      </x:c>
      <x:c r="I502" t="n">
        <x:v>5</x:v>
      </x:c>
      <x:c r="J502" s="4" t="n">
        <x:v>77.14</x:v>
      </x:c>
      <x:c r="K502" s="4" t="n">
        <x:v>41</x:v>
      </x:c>
      <x:c r="L502" s="5" t="n">
        <x:v>0.1</x:v>
      </x:c>
      <x:c r="M502" s="4" t="n">
        <x:f>ROUND(I502*J502*(1-L502),2)</x:f>
        <x:v>347.13</x:v>
      </x:c>
      <x:c r="N502" s="4" t="n">
        <x:f>ROUND(I502*K502,2)</x:f>
        <x:v>205</x:v>
      </x:c>
      <x:c r="O502" s="4" t="n">
        <x:f>ROUND(M502-N502,2)</x:f>
        <x:v>142.13</x:v>
      </x:c>
      <x:c r="P502" s="6" t="n">
        <x:v>4</x:v>
      </x:c>
      <x:c r="Q502" t="str">
        <x:v>No</x:v>
      </x:c>
    </x:row>
    <x:row r="503">
      <x:c r="A503" t="str">
        <x:v>ORD-01242</x:v>
      </x:c>
      <x:c r="B503" s="3" t="n">
        <x:v>45504.15569447917</x:v>
      </x:c>
      <x:c r="C503" t="str">
        <x:v>2024-07</x:v>
      </x:c>
      <x:c r="D503" t="str">
        <x:v>CUS-0184</x:v>
      </x:c>
      <x:c r="E503" t="str">
        <x:v>North East</x:v>
      </x:c>
      <x:c r="F503" t="str">
        <x:v>Online</x:v>
      </x:c>
      <x:c r="G503" t="str">
        <x:v>Sports</x:v>
      </x:c>
      <x:c r="H503" t="str">
        <x:v>Fitness Tracker</x:v>
      </x:c>
      <x:c r="I503" t="n">
        <x:v>2</x:v>
      </x:c>
      <x:c r="J503" s="4" t="n">
        <x:v>53.47</x:v>
      </x:c>
      <x:c r="K503" s="4" t="n">
        <x:v>27</x:v>
      </x:c>
      <x:c r="L503" s="5" t="n">
        <x:v>0</x:v>
      </x:c>
      <x:c r="M503" s="4" t="n">
        <x:f>ROUND(I503*J503*(1-L503),2)</x:f>
        <x:v>106.94</x:v>
      </x:c>
      <x:c r="N503" s="4" t="n">
        <x:f>ROUND(I503*K503,2)</x:f>
        <x:v>54</x:v>
      </x:c>
      <x:c r="O503" s="4" t="n">
        <x:f>ROUND(M503-N503,2)</x:f>
        <x:v>52.94</x:v>
      </x:c>
      <x:c r="P503" s="6" t="n">
        <x:v>3.9</x:v>
      </x:c>
      <x:c r="Q503" t="str">
        <x:v>No</x:v>
      </x:c>
    </x:row>
    <x:row r="504">
      <x:c r="A504" t="str">
        <x:v>ORD-00492</x:v>
      </x:c>
      <x:c r="B504" s="3" t="n">
        <x:v>45504.421560636576</x:v>
      </x:c>
      <x:c r="C504" t="str">
        <x:v>2024-07</x:v>
      </x:c>
      <x:c r="D504" t="str">
        <x:v>CUS-0305</x:v>
      </x:c>
      <x:c r="E504" t="str">
        <x:v>Midlands</x:v>
      </x:c>
      <x:c r="F504" t="str">
        <x:v>Marketplace</x:v>
      </x:c>
      <x:c r="G504" t="str">
        <x:v>Beauty</x:v>
      </x:c>
      <x:c r="H504" t="str">
        <x:v>Skin Care Set</x:v>
      </x:c>
      <x:c r="I504" t="n">
        <x:v>4</x:v>
      </x:c>
      <x:c r="J504" s="4" t="n">
        <x:v>43.91</x:v>
      </x:c>
      <x:c r="K504" s="4" t="n">
        <x:v>18</x:v>
      </x:c>
      <x:c r="L504" s="5" t="n">
        <x:v>0</x:v>
      </x:c>
      <x:c r="M504" s="4" t="n">
        <x:f>ROUND(I504*J504*(1-L504),2)</x:f>
        <x:v>175.64</x:v>
      </x:c>
      <x:c r="N504" s="4" t="n">
        <x:f>ROUND(I504*K504,2)</x:f>
        <x:v>72</x:v>
      </x:c>
      <x:c r="O504" s="4" t="n">
        <x:f>ROUND(M504-N504,2)</x:f>
        <x:v>103.64</x:v>
      </x:c>
      <x:c r="P504" s="6" t="n">
        <x:v>4.2</x:v>
      </x:c>
      <x:c r="Q504" t="str">
        <x:v>No</x:v>
      </x:c>
    </x:row>
    <x:row r="505">
      <x:c r="A505" t="str">
        <x:v>ORD-00072</x:v>
      </x:c>
      <x:c r="B505" s="3" t="n">
        <x:v>45504.63588550926</x:v>
      </x:c>
      <x:c r="C505" t="str">
        <x:v>2024-07</x:v>
      </x:c>
      <x:c r="D505" t="str">
        <x:v>CUS-0181</x:v>
      </x:c>
      <x:c r="E505" t="str">
        <x:v>London</x:v>
      </x:c>
      <x:c r="F505" t="str">
        <x:v>Store</x:v>
      </x:c>
      <x:c r="G505" t="str">
        <x:v>Sports</x:v>
      </x:c>
      <x:c r="H505" t="str">
        <x:v>Yoga Mat</x:v>
      </x:c>
      <x:c r="I505" t="n">
        <x:v>4</x:v>
      </x:c>
      <x:c r="J505" s="4" t="n">
        <x:v>29.41</x:v>
      </x:c>
      <x:c r="K505" s="4" t="n">
        <x:v>12</x:v>
      </x:c>
      <x:c r="L505" s="5" t="n">
        <x:v>0.05</x:v>
      </x:c>
      <x:c r="M505" s="4" t="n">
        <x:f>ROUND(I505*J505*(1-L505),2)</x:f>
        <x:v>111.76</x:v>
      </x:c>
      <x:c r="N505" s="4" t="n">
        <x:f>ROUND(I505*K505,2)</x:f>
        <x:v>48</x:v>
      </x:c>
      <x:c r="O505" s="4" t="n">
        <x:f>ROUND(M505-N505,2)</x:f>
        <x:v>63.76</x:v>
      </x:c>
      <x:c r="P505" s="6" t="n">
        <x:v>4.8</x:v>
      </x:c>
      <x:c r="Q505" t="str">
        <x:v>No</x:v>
      </x:c>
    </x:row>
    <x:row r="506">
      <x:c r="A506" t="str">
        <x:v>ORD-01188</x:v>
      </x:c>
      <x:c r="B506" s="3" t="n">
        <x:v>45504.85721570602</x:v>
      </x:c>
      <x:c r="C506" t="str">
        <x:v>2024-07</x:v>
      </x:c>
      <x:c r="D506" t="str">
        <x:v>CUS-0444</x:v>
      </x:c>
      <x:c r="E506" t="str">
        <x:v>Scotland</x:v>
      </x:c>
      <x:c r="F506" t="str">
        <x:v>Online</x:v>
      </x:c>
      <x:c r="G506" t="str">
        <x:v>Electronics</x:v>
      </x:c>
      <x:c r="H506" t="str">
        <x:v>Bluetooth Speaker</x:v>
      </x:c>
      <x:c r="I506" t="n">
        <x:v>1</x:v>
      </x:c>
      <x:c r="J506" s="4" t="n">
        <x:v>61.85</x:v>
      </x:c>
      <x:c r="K506" s="4" t="n">
        <x:v>34</x:v>
      </x:c>
      <x:c r="L506" s="5" t="n">
        <x:v>0.05</x:v>
      </x:c>
      <x:c r="M506" s="4" t="n">
        <x:f>ROUND(I506*J506*(1-L506),2)</x:f>
        <x:v>58.76</x:v>
      </x:c>
      <x:c r="N506" s="4" t="n">
        <x:f>ROUND(I506*K506,2)</x:f>
        <x:v>34</x:v>
      </x:c>
      <x:c r="O506" s="4" t="n">
        <x:f>ROUND(M506-N506,2)</x:f>
        <x:v>24.76</x:v>
      </x:c>
      <x:c r="P506" s="6" t="n">
        <x:v>3.5</x:v>
      </x:c>
      <x:c r="Q506" t="str">
        <x:v>No</x:v>
      </x:c>
    </x:row>
    <x:row r="507">
      <x:c r="A507" t="str">
        <x:v>ORD-00130</x:v>
      </x:c>
      <x:c r="B507" s="3" t="n">
        <x:v>45505.00639927083</x:v>
      </x:c>
      <x:c r="C507" t="str">
        <x:v>2024-08</x:v>
      </x:c>
      <x:c r="D507" t="str">
        <x:v>CUS-0164</x:v>
      </x:c>
      <x:c r="E507" t="str">
        <x:v>Midlands</x:v>
      </x:c>
      <x:c r="F507" t="str">
        <x:v>Marketplace</x:v>
      </x:c>
      <x:c r="G507" t="str">
        <x:v>Home</x:v>
      </x:c>
      <x:c r="H507" t="str">
        <x:v>Air Fryer</x:v>
      </x:c>
      <x:c r="I507" t="n">
        <x:v>1</x:v>
      </x:c>
      <x:c r="J507" s="4" t="n">
        <x:v>116.03</x:v>
      </x:c>
      <x:c r="K507" s="4" t="n">
        <x:v>69</x:v>
      </x:c>
      <x:c r="L507" s="5" t="n">
        <x:v>0.05</x:v>
      </x:c>
      <x:c r="M507" s="4" t="n">
        <x:f>ROUND(I507*J507*(1-L507),2)</x:f>
        <x:v>110.23</x:v>
      </x:c>
      <x:c r="N507" s="4" t="n">
        <x:f>ROUND(I507*K507,2)</x:f>
        <x:v>69</x:v>
      </x:c>
      <x:c r="O507" s="4" t="n">
        <x:f>ROUND(M507-N507,2)</x:f>
        <x:v>41.23</x:v>
      </x:c>
      <x:c r="P507" s="6" t="n">
        <x:v>4.4</x:v>
      </x:c>
      <x:c r="Q507" t="str">
        <x:v>No</x:v>
      </x:c>
    </x:row>
    <x:row r="508">
      <x:c r="A508" t="str">
        <x:v>ORD-00676</x:v>
      </x:c>
      <x:c r="B508" s="3" t="n">
        <x:v>45505.639550520835</x:v>
      </x:c>
      <x:c r="C508" t="str">
        <x:v>2024-08</x:v>
      </x:c>
      <x:c r="D508" t="str">
        <x:v>CUS-0280</x:v>
      </x:c>
      <x:c r="E508" t="str">
        <x:v>North West</x:v>
      </x:c>
      <x:c r="F508" t="str">
        <x:v>Marketplace</x:v>
      </x:c>
      <x:c r="G508" t="str">
        <x:v>Books</x:v>
      </x:c>
      <x:c r="H508" t="str">
        <x:v>Business Intelligence Guide</x:v>
      </x:c>
      <x:c r="I508" t="n">
        <x:v>4</x:v>
      </x:c>
      <x:c r="J508" s="4" t="n">
        <x:v>36.42</x:v>
      </x:c>
      <x:c r="K508" s="4" t="n">
        <x:v>12</x:v>
      </x:c>
      <x:c r="L508" s="5" t="n">
        <x:v>0.1</x:v>
      </x:c>
      <x:c r="M508" s="4" t="n">
        <x:f>ROUND(I508*J508*(1-L508),2)</x:f>
        <x:v>131.11</x:v>
      </x:c>
      <x:c r="N508" s="4" t="n">
        <x:f>ROUND(I508*K508,2)</x:f>
        <x:v>48</x:v>
      </x:c>
      <x:c r="O508" s="4" t="n">
        <x:f>ROUND(M508-N508,2)</x:f>
        <x:v>83.11</x:v>
      </x:c>
      <x:c r="P508" s="6" t="n">
        <x:v>3.9</x:v>
      </x:c>
      <x:c r="Q508" t="str">
        <x:v>No</x:v>
      </x:c>
    </x:row>
    <x:row r="509">
      <x:c r="A509" t="str">
        <x:v>ORD-01533</x:v>
      </x:c>
      <x:c r="B509" s="3" t="n">
        <x:v>45506.11119121528</x:v>
      </x:c>
      <x:c r="C509" t="str">
        <x:v>2024-08</x:v>
      </x:c>
      <x:c r="D509" t="str">
        <x:v>CUS-0433</x:v>
      </x:c>
      <x:c r="E509" t="str">
        <x:v>Midlands</x:v>
      </x:c>
      <x:c r="F509" t="str">
        <x:v>Store</x:v>
      </x:c>
      <x:c r="G509" t="str">
        <x:v>Sports</x:v>
      </x:c>
      <x:c r="H509" t="str">
        <x:v>Running Shoes</x:v>
      </x:c>
      <x:c r="I509" t="n">
        <x:v>1</x:v>
      </x:c>
      <x:c r="J509" s="4" t="n">
        <x:v>82.74</x:v>
      </x:c>
      <x:c r="K509" s="4" t="n">
        <x:v>38</x:v>
      </x:c>
      <x:c r="L509" s="5" t="n">
        <x:v>0.1</x:v>
      </x:c>
      <x:c r="M509" s="4" t="n">
        <x:f>ROUND(I509*J509*(1-L509),2)</x:f>
        <x:v>74.47</x:v>
      </x:c>
      <x:c r="N509" s="4" t="n">
        <x:f>ROUND(I509*K509,2)</x:f>
        <x:v>38</x:v>
      </x:c>
      <x:c r="O509" s="4" t="n">
        <x:f>ROUND(M509-N509,2)</x:f>
        <x:v>36.47</x:v>
      </x:c>
      <x:c r="P509" s="6" t="n">
        <x:v>4.4</x:v>
      </x:c>
      <x:c r="Q509" t="str">
        <x:v>No</x:v>
      </x:c>
    </x:row>
    <x:row r="510">
      <x:c r="A510" t="str">
        <x:v>ORD-01448</x:v>
      </x:c>
      <x:c r="B510" s="3" t="n">
        <x:v>45506.249233483795</x:v>
      </x:c>
      <x:c r="C510" t="str">
        <x:v>2024-08</x:v>
      </x:c>
      <x:c r="D510" t="str">
        <x:v>CUS-0477</x:v>
      </x:c>
      <x:c r="E510" t="str">
        <x:v>Scotland</x:v>
      </x:c>
      <x:c r="F510" t="str">
        <x:v>Marketplace</x:v>
      </x:c>
      <x:c r="G510" t="str">
        <x:v>Electronics</x:v>
      </x:c>
      <x:c r="H510" t="str">
        <x:v>Bluetooth Speaker</x:v>
      </x:c>
      <x:c r="I510" t="n">
        <x:v>2</x:v>
      </x:c>
      <x:c r="J510" s="4" t="n">
        <x:v>65.47</x:v>
      </x:c>
      <x:c r="K510" s="4" t="n">
        <x:v>34</x:v>
      </x:c>
      <x:c r="L510" s="5" t="n">
        <x:v>0.2</x:v>
      </x:c>
      <x:c r="M510" s="4" t="n">
        <x:f>ROUND(I510*J510*(1-L510),2)</x:f>
        <x:v>104.75</x:v>
      </x:c>
      <x:c r="N510" s="4" t="n">
        <x:f>ROUND(I510*K510,2)</x:f>
        <x:v>68</x:v>
      </x:c>
      <x:c r="O510" s="4" t="n">
        <x:f>ROUND(M510-N510,2)</x:f>
        <x:v>36.75</x:v>
      </x:c>
      <x:c r="P510" s="6" t="n">
        <x:v>3.5</x:v>
      </x:c>
      <x:c r="Q510" t="str">
        <x:v>No</x:v>
      </x:c>
    </x:row>
    <x:row r="511">
      <x:c r="A511" t="str">
        <x:v>ORD-01412</x:v>
      </x:c>
      <x:c r="B511" s="3" t="n">
        <x:v>45506.30413261574</x:v>
      </x:c>
      <x:c r="C511" t="str">
        <x:v>2024-08</x:v>
      </x:c>
      <x:c r="D511" t="str">
        <x:v>CUS-0453</x:v>
      </x:c>
      <x:c r="E511" t="str">
        <x:v>London</x:v>
      </x:c>
      <x:c r="F511" t="str">
        <x:v>Marketplace</x:v>
      </x:c>
      <x:c r="G511" t="str">
        <x:v>Home</x:v>
      </x:c>
      <x:c r="H511" t="str">
        <x:v>Desk Lamp</x:v>
      </x:c>
      <x:c r="I511" t="n">
        <x:v>4</x:v>
      </x:c>
      <x:c r="J511" s="4" t="n">
        <x:v>36.25</x:v>
      </x:c>
      <x:c r="K511" s="4" t="n">
        <x:v>17</x:v>
      </x:c>
      <x:c r="L511" s="5" t="n">
        <x:v>0.1</x:v>
      </x:c>
      <x:c r="M511" s="4" t="n">
        <x:f>ROUND(I511*J511*(1-L511),2)</x:f>
        <x:v>130.5</x:v>
      </x:c>
      <x:c r="N511" s="4" t="n">
        <x:f>ROUND(I511*K511,2)</x:f>
        <x:v>68</x:v>
      </x:c>
      <x:c r="O511" s="4" t="n">
        <x:f>ROUND(M511-N511,2)</x:f>
        <x:v>62.5</x:v>
      </x:c>
      <x:c r="P511" s="6" t="n">
        <x:v>4.7</x:v>
      </x:c>
      <x:c r="Q511" t="str">
        <x:v>No</x:v>
      </x:c>
    </x:row>
    <x:row r="512">
      <x:c r="A512" t="str">
        <x:v>ORD-01748</x:v>
      </x:c>
      <x:c r="B512" s="3" t="n">
        <x:v>45506.33409564815</x:v>
      </x:c>
      <x:c r="C512" t="str">
        <x:v>2024-08</x:v>
      </x:c>
      <x:c r="D512" t="str">
        <x:v>CUS-0240</x:v>
      </x:c>
      <x:c r="E512" t="str">
        <x:v>North East</x:v>
      </x:c>
      <x:c r="F512" t="str">
        <x:v>Online</x:v>
      </x:c>
      <x:c r="G512" t="str">
        <x:v>Fashion</x:v>
      </x:c>
      <x:c r="H512" t="str">
        <x:v>Backpack</x:v>
      </x:c>
      <x:c r="I512" t="n">
        <x:v>4</x:v>
      </x:c>
      <x:c r="J512" s="4" t="n">
        <x:v>49.49</x:v>
      </x:c>
      <x:c r="K512" s="4" t="n">
        <x:v>21</x:v>
      </x:c>
      <x:c r="L512" s="5" t="n">
        <x:v>0.05</x:v>
      </x:c>
      <x:c r="M512" s="4" t="n">
        <x:f>ROUND(I512*J512*(1-L512),2)</x:f>
        <x:v>188.06</x:v>
      </x:c>
      <x:c r="N512" s="4" t="n">
        <x:f>ROUND(I512*K512,2)</x:f>
        <x:v>84</x:v>
      </x:c>
      <x:c r="O512" s="4" t="n">
        <x:f>ROUND(M512-N512,2)</x:f>
        <x:v>104.06</x:v>
      </x:c>
      <x:c r="P512" s="6" t="n">
        <x:v>4.7</x:v>
      </x:c>
      <x:c r="Q512" t="str">
        <x:v>No</x:v>
      </x:c>
    </x:row>
    <x:row r="513">
      <x:c r="A513" t="str">
        <x:v>ORD-00612</x:v>
      </x:c>
      <x:c r="B513" s="3" t="n">
        <x:v>45508.66130782408</x:v>
      </x:c>
      <x:c r="C513" t="str">
        <x:v>2024-08</x:v>
      </x:c>
      <x:c r="D513" t="str">
        <x:v>CUS-0119</x:v>
      </x:c>
      <x:c r="E513" t="str">
        <x:v>London</x:v>
      </x:c>
      <x:c r="F513" t="str">
        <x:v>Store</x:v>
      </x:c>
      <x:c r="G513" t="str">
        <x:v>Electronics</x:v>
      </x:c>
      <x:c r="H513" t="str">
        <x:v>Smart Watch</x:v>
      </x:c>
      <x:c r="I513" t="n">
        <x:v>1</x:v>
      </x:c>
      <x:c r="J513" s="4" t="n">
        <x:v>161.42</x:v>
      </x:c>
      <x:c r="K513" s="4" t="n">
        <x:v>92</x:v>
      </x:c>
      <x:c r="L513" s="5" t="n">
        <x:v>0.1</x:v>
      </x:c>
      <x:c r="M513" s="4" t="n">
        <x:f>ROUND(I513*J513*(1-L513),2)</x:f>
        <x:v>145.28</x:v>
      </x:c>
      <x:c r="N513" s="4" t="n">
        <x:f>ROUND(I513*K513,2)</x:f>
        <x:v>92</x:v>
      </x:c>
      <x:c r="O513" s="4" t="n">
        <x:f>ROUND(M513-N513,2)</x:f>
        <x:v>53.28</x:v>
      </x:c>
      <x:c r="P513" s="6" t="n">
        <x:v>4.6</x:v>
      </x:c>
      <x:c r="Q513" t="str">
        <x:v>No</x:v>
      </x:c>
    </x:row>
    <x:row r="514">
      <x:c r="A514" t="str">
        <x:v>ORD-01274</x:v>
      </x:c>
      <x:c r="B514" s="3" t="n">
        <x:v>45509.446342372685</x:v>
      </x:c>
      <x:c r="C514" t="str">
        <x:v>2024-08</x:v>
      </x:c>
      <x:c r="D514" t="str">
        <x:v>CUS-0322</x:v>
      </x:c>
      <x:c r="E514" t="str">
        <x:v>South West</x:v>
      </x:c>
      <x:c r="F514" t="str">
        <x:v>Store</x:v>
      </x:c>
      <x:c r="G514" t="str">
        <x:v>Electronics</x:v>
      </x:c>
      <x:c r="H514" t="str">
        <x:v>Bluetooth Speaker</x:v>
      </x:c>
      <x:c r="I514" t="n">
        <x:v>2</x:v>
      </x:c>
      <x:c r="J514" s="4" t="n">
        <x:v>64.65</x:v>
      </x:c>
      <x:c r="K514" s="4" t="n">
        <x:v>34</x:v>
      </x:c>
      <x:c r="L514" s="5" t="n">
        <x:v>0.1</x:v>
      </x:c>
      <x:c r="M514" s="4" t="n">
        <x:f>ROUND(I514*J514*(1-L514),2)</x:f>
        <x:v>116.37</x:v>
      </x:c>
      <x:c r="N514" s="4" t="n">
        <x:f>ROUND(I514*K514,2)</x:f>
        <x:v>68</x:v>
      </x:c>
      <x:c r="O514" s="4" t="n">
        <x:f>ROUND(M514-N514,2)</x:f>
        <x:v>48.37</x:v>
      </x:c>
      <x:c r="P514" s="6" t="n">
        <x:v>3.4</x:v>
      </x:c>
      <x:c r="Q514" t="str">
        <x:v>No</x:v>
      </x:c>
    </x:row>
    <x:row r="515">
      <x:c r="A515" t="str">
        <x:v>ORD-00069</x:v>
      </x:c>
      <x:c r="B515" s="3" t="n">
        <x:v>45509.764845405094</x:v>
      </x:c>
      <x:c r="C515" t="str">
        <x:v>2024-08</x:v>
      </x:c>
      <x:c r="D515" t="str">
        <x:v>CUS-0355</x:v>
      </x:c>
      <x:c r="E515" t="str">
        <x:v>Midlands</x:v>
      </x:c>
      <x:c r="F515" t="str">
        <x:v>Online</x:v>
      </x:c>
      <x:c r="G515" t="str">
        <x:v>Home</x:v>
      </x:c>
      <x:c r="H515" t="str">
        <x:v>Desk Lamp</x:v>
      </x:c>
      <x:c r="I515" t="n">
        <x:v>4</x:v>
      </x:c>
      <x:c r="J515" s="4" t="n">
        <x:v>33.53</x:v>
      </x:c>
      <x:c r="K515" s="4" t="n">
        <x:v>17</x:v>
      </x:c>
      <x:c r="L515" s="5" t="n">
        <x:v>0.15</x:v>
      </x:c>
      <x:c r="M515" s="4" t="n">
        <x:f>ROUND(I515*J515*(1-L515),2)</x:f>
        <x:v>114</x:v>
      </x:c>
      <x:c r="N515" s="4" t="n">
        <x:f>ROUND(I515*K515,2)</x:f>
        <x:v>68</x:v>
      </x:c>
      <x:c r="O515" s="4" t="n">
        <x:f>ROUND(M515-N515,2)</x:f>
        <x:v>46</x:v>
      </x:c>
      <x:c r="P515" s="6" t="n">
        <x:v>3.6</x:v>
      </x:c>
      <x:c r="Q515" t="str">
        <x:v>No</x:v>
      </x:c>
    </x:row>
    <x:row r="516">
      <x:c r="A516" t="str">
        <x:v>ORD-01467</x:v>
      </x:c>
      <x:c r="B516" s="3" t="n">
        <x:v>45509.95486712963</x:v>
      </x:c>
      <x:c r="C516" t="str">
        <x:v>2024-08</x:v>
      </x:c>
      <x:c r="D516" t="str">
        <x:v>CUS-0155</x:v>
      </x:c>
      <x:c r="E516" t="str">
        <x:v>South East</x:v>
      </x:c>
      <x:c r="F516" t="str">
        <x:v>Store</x:v>
      </x:c>
      <x:c r="G516" t="str">
        <x:v>Fashion</x:v>
      </x:c>
      <x:c r="H516" t="str">
        <x:v>Backpack</x:v>
      </x:c>
      <x:c r="I516" t="n">
        <x:v>1</x:v>
      </x:c>
      <x:c r="J516" s="4" t="n">
        <x:v>48.65</x:v>
      </x:c>
      <x:c r="K516" s="4" t="n">
        <x:v>21</x:v>
      </x:c>
      <x:c r="L516" s="5" t="n">
        <x:v>0.2</x:v>
      </x:c>
      <x:c r="M516" s="4" t="n">
        <x:f>ROUND(I516*J516*(1-L516),2)</x:f>
        <x:v>38.92</x:v>
      </x:c>
      <x:c r="N516" s="4" t="n">
        <x:f>ROUND(I516*K516,2)</x:f>
        <x:v>21</x:v>
      </x:c>
      <x:c r="O516" s="4" t="n">
        <x:f>ROUND(M516-N516,2)</x:f>
        <x:v>17.92</x:v>
      </x:c>
      <x:c r="P516" s="6" t="n">
        <x:v>4.8</x:v>
      </x:c>
      <x:c r="Q516" t="str">
        <x:v>No</x:v>
      </x:c>
    </x:row>
    <x:row r="517">
      <x:c r="A517" t="str">
        <x:v>ORD-01124</x:v>
      </x:c>
      <x:c r="B517" s="3" t="n">
        <x:v>45510.28497887732</x:v>
      </x:c>
      <x:c r="C517" t="str">
        <x:v>2024-08</x:v>
      </x:c>
      <x:c r="D517" t="str">
        <x:v>CUS-0082</x:v>
      </x:c>
      <x:c r="E517" t="str">
        <x:v>London</x:v>
      </x:c>
      <x:c r="F517" t="str">
        <x:v>Online</x:v>
      </x:c>
      <x:c r="G517" t="str">
        <x:v>Home</x:v>
      </x:c>
      <x:c r="H517" t="str">
        <x:v>Desk Lamp</x:v>
      </x:c>
      <x:c r="I517" t="n">
        <x:v>4</x:v>
      </x:c>
      <x:c r="J517" s="4" t="n">
        <x:v>33.53</x:v>
      </x:c>
      <x:c r="K517" s="4" t="n">
        <x:v>17</x:v>
      </x:c>
      <x:c r="L517" s="5" t="n">
        <x:v>0.1</x:v>
      </x:c>
      <x:c r="M517" s="4" t="n">
        <x:f>ROUND(I517*J517*(1-L517),2)</x:f>
        <x:v>120.71</x:v>
      </x:c>
      <x:c r="N517" s="4" t="n">
        <x:f>ROUND(I517*K517,2)</x:f>
        <x:v>68</x:v>
      </x:c>
      <x:c r="O517" s="4" t="n">
        <x:f>ROUND(M517-N517,2)</x:f>
        <x:v>52.71</x:v>
      </x:c>
      <x:c r="P517" s="6" t="n">
        <x:v>4.3</x:v>
      </x:c>
      <x:c r="Q517" t="str">
        <x:v>No</x:v>
      </x:c>
    </x:row>
    <x:row r="518">
      <x:c r="A518" t="str">
        <x:v>ORD-01103</x:v>
      </x:c>
      <x:c r="B518" s="3" t="n">
        <x:v>45511.28726885417</x:v>
      </x:c>
      <x:c r="C518" t="str">
        <x:v>2024-08</x:v>
      </x:c>
      <x:c r="D518" t="str">
        <x:v>CUS-0125</x:v>
      </x:c>
      <x:c r="E518" t="str">
        <x:v>North East</x:v>
      </x:c>
      <x:c r="F518" t="str">
        <x:v>Online</x:v>
      </x:c>
      <x:c r="G518" t="str">
        <x:v>Beauty</x:v>
      </x:c>
      <x:c r="H518" t="str">
        <x:v>Skin Care Set</x:v>
      </x:c>
      <x:c r="I518" t="n">
        <x:v>5</x:v>
      </x:c>
      <x:c r="J518" s="4" t="n">
        <x:v>43.74</x:v>
      </x:c>
      <x:c r="K518" s="4" t="n">
        <x:v>18</x:v>
      </x:c>
      <x:c r="L518" s="5" t="n">
        <x:v>0</x:v>
      </x:c>
      <x:c r="M518" s="4" t="n">
        <x:f>ROUND(I518*J518*(1-L518),2)</x:f>
        <x:v>218.7</x:v>
      </x:c>
      <x:c r="N518" s="4" t="n">
        <x:f>ROUND(I518*K518,2)</x:f>
        <x:v>90</x:v>
      </x:c>
      <x:c r="O518" s="4" t="n">
        <x:f>ROUND(M518-N518,2)</x:f>
        <x:v>128.7</x:v>
      </x:c>
      <x:c r="P518" s="6" t="n">
        <x:v>4.1</x:v>
      </x:c>
      <x:c r="Q518" t="str">
        <x:v>No</x:v>
      </x:c>
    </x:row>
    <x:row r="519">
      <x:c r="A519" t="str">
        <x:v>ORD-00727</x:v>
      </x:c>
      <x:c r="B519" s="3" t="n">
        <x:v>45511.72671487268</x:v>
      </x:c>
      <x:c r="C519" t="str">
        <x:v>2024-08</x:v>
      </x:c>
      <x:c r="D519" t="str">
        <x:v>CUS-0171</x:v>
      </x:c>
      <x:c r="E519" t="str">
        <x:v>South West</x:v>
      </x:c>
      <x:c r="F519" t="str">
        <x:v>Online</x:v>
      </x:c>
      <x:c r="G519" t="str">
        <x:v>Beauty</x:v>
      </x:c>
      <x:c r="H519" t="str">
        <x:v>Skin Care Set</x:v>
      </x:c>
      <x:c r="I519" t="n">
        <x:v>2</x:v>
      </x:c>
      <x:c r="J519" s="4" t="n">
        <x:v>45.41</x:v>
      </x:c>
      <x:c r="K519" s="4" t="n">
        <x:v>18</x:v>
      </x:c>
      <x:c r="L519" s="5" t="n">
        <x:v>0.05</x:v>
      </x:c>
      <x:c r="M519" s="4" t="n">
        <x:f>ROUND(I519*J519*(1-L519),2)</x:f>
        <x:v>86.28</x:v>
      </x:c>
      <x:c r="N519" s="4" t="n">
        <x:f>ROUND(I519*K519,2)</x:f>
        <x:v>36</x:v>
      </x:c>
      <x:c r="O519" s="4" t="n">
        <x:f>ROUND(M519-N519,2)</x:f>
        <x:v>50.28</x:v>
      </x:c>
      <x:c r="P519" s="6" t="n">
        <x:v>5</x:v>
      </x:c>
      <x:c r="Q519" t="str">
        <x:v>No</x:v>
      </x:c>
    </x:row>
    <x:row r="520">
      <x:c r="A520" t="str">
        <x:v>ORD-01213</x:v>
      </x:c>
      <x:c r="B520" s="3" t="n">
        <x:v>45512.28012740741</x:v>
      </x:c>
      <x:c r="C520" t="str">
        <x:v>2024-08</x:v>
      </x:c>
      <x:c r="D520" t="str">
        <x:v>CUS-0016</x:v>
      </x:c>
      <x:c r="E520" t="str">
        <x:v>Wales</x:v>
      </x:c>
      <x:c r="F520" t="str">
        <x:v>Marketplace</x:v>
      </x:c>
      <x:c r="G520" t="str">
        <x:v>Fashion</x:v>
      </x:c>
      <x:c r="H520" t="str">
        <x:v>Backpack</x:v>
      </x:c>
      <x:c r="I520" t="n">
        <x:v>5</x:v>
      </x:c>
      <x:c r="J520" s="4" t="n">
        <x:v>49.11</x:v>
      </x:c>
      <x:c r="K520" s="4" t="n">
        <x:v>21</x:v>
      </x:c>
      <x:c r="L520" s="5" t="n">
        <x:v>0.15</x:v>
      </x:c>
      <x:c r="M520" s="4" t="n">
        <x:f>ROUND(I520*J520*(1-L520),2)</x:f>
        <x:v>208.72</x:v>
      </x:c>
      <x:c r="N520" s="4" t="n">
        <x:f>ROUND(I520*K520,2)</x:f>
        <x:v>105</x:v>
      </x:c>
      <x:c r="O520" s="4" t="n">
        <x:f>ROUND(M520-N520,2)</x:f>
        <x:v>103.72</x:v>
      </x:c>
      <x:c r="P520" s="6" t="n">
        <x:v>3.3</x:v>
      </x:c>
      <x:c r="Q520" t="str">
        <x:v>No</x:v>
      </x:c>
    </x:row>
    <x:row r="521">
      <x:c r="A521" t="str">
        <x:v>ORD-01360</x:v>
      </x:c>
      <x:c r="B521" s="3" t="n">
        <x:v>45512.45632100695</x:v>
      </x:c>
      <x:c r="C521" t="str">
        <x:v>2024-08</x:v>
      </x:c>
      <x:c r="D521" t="str">
        <x:v>CUS-0244</x:v>
      </x:c>
      <x:c r="E521" t="str">
        <x:v>South West</x:v>
      </x:c>
      <x:c r="F521" t="str">
        <x:v>Online</x:v>
      </x:c>
      <x:c r="G521" t="str">
        <x:v>Sports</x:v>
      </x:c>
      <x:c r="H521" t="str">
        <x:v>Running Shoes</x:v>
      </x:c>
      <x:c r="I521" t="n">
        <x:v>5</x:v>
      </x:c>
      <x:c r="J521" s="4" t="n">
        <x:v>83.16</x:v>
      </x:c>
      <x:c r="K521" s="4" t="n">
        <x:v>38</x:v>
      </x:c>
      <x:c r="L521" s="5" t="n">
        <x:v>0</x:v>
      </x:c>
      <x:c r="M521" s="4" t="n">
        <x:f>ROUND(I521*J521*(1-L521),2)</x:f>
        <x:v>415.8</x:v>
      </x:c>
      <x:c r="N521" s="4" t="n">
        <x:f>ROUND(I521*K521,2)</x:f>
        <x:v>190</x:v>
      </x:c>
      <x:c r="O521" s="4" t="n">
        <x:f>ROUND(M521-N521,2)</x:f>
        <x:v>225.8</x:v>
      </x:c>
      <x:c r="P521" s="6" t="n">
        <x:v>3.8</x:v>
      </x:c>
      <x:c r="Q521" t="str">
        <x:v>No</x:v>
      </x:c>
    </x:row>
    <x:row r="522">
      <x:c r="A522" t="str">
        <x:v>ORD-00638</x:v>
      </x:c>
      <x:c r="B522" s="3" t="n">
        <x:v>45512.500168935185</x:v>
      </x:c>
      <x:c r="C522" t="str">
        <x:v>2024-08</x:v>
      </x:c>
      <x:c r="D522" t="str">
        <x:v>CUS-0202</x:v>
      </x:c>
      <x:c r="E522" t="str">
        <x:v>Scotland</x:v>
      </x:c>
      <x:c r="F522" t="str">
        <x:v>Store</x:v>
      </x:c>
      <x:c r="G522" t="str">
        <x:v>Sports</x:v>
      </x:c>
      <x:c r="H522" t="str">
        <x:v>Running Shoes</x:v>
      </x:c>
      <x:c r="I522" t="n">
        <x:v>4</x:v>
      </x:c>
      <x:c r="J522" s="4" t="n">
        <x:v>79.02</x:v>
      </x:c>
      <x:c r="K522" s="4" t="n">
        <x:v>38</x:v>
      </x:c>
      <x:c r="L522" s="5" t="n">
        <x:v>0.05</x:v>
      </x:c>
      <x:c r="M522" s="4" t="n">
        <x:f>ROUND(I522*J522*(1-L522),2)</x:f>
        <x:v>300.28</x:v>
      </x:c>
      <x:c r="N522" s="4" t="n">
        <x:f>ROUND(I522*K522,2)</x:f>
        <x:v>152</x:v>
      </x:c>
      <x:c r="O522" s="4" t="n">
        <x:f>ROUND(M522-N522,2)</x:f>
        <x:v>148.28</x:v>
      </x:c>
      <x:c r="P522" s="6" t="n">
        <x:v>3.8</x:v>
      </x:c>
      <x:c r="Q522" t="str">
        <x:v>No</x:v>
      </x:c>
    </x:row>
    <x:row r="523">
      <x:c r="A523" t="str">
        <x:v>ORD-00920</x:v>
      </x:c>
      <x:c r="B523" s="3" t="n">
        <x:v>45512.801782407405</x:v>
      </x:c>
      <x:c r="C523" t="str">
        <x:v>2024-08</x:v>
      </x:c>
      <x:c r="D523" t="str">
        <x:v>CUS-0143</x:v>
      </x:c>
      <x:c r="E523" t="str">
        <x:v>Midlands</x:v>
      </x:c>
      <x:c r="F523" t="str">
        <x:v>Marketplace</x:v>
      </x:c>
      <x:c r="G523" t="str">
        <x:v>Electronics</x:v>
      </x:c>
      <x:c r="H523" t="str">
        <x:v>Smart Watch</x:v>
      </x:c>
      <x:c r="I523" t="n">
        <x:v>5</x:v>
      </x:c>
      <x:c r="J523" s="4" t="n">
        <x:v>163.13</x:v>
      </x:c>
      <x:c r="K523" s="4" t="n">
        <x:v>92</x:v>
      </x:c>
      <x:c r="L523" s="5" t="n">
        <x:v>0</x:v>
      </x:c>
      <x:c r="M523" s="4" t="n">
        <x:f>ROUND(I523*J523*(1-L523),2)</x:f>
        <x:v>815.65</x:v>
      </x:c>
      <x:c r="N523" s="4" t="n">
        <x:f>ROUND(I523*K523,2)</x:f>
        <x:v>460</x:v>
      </x:c>
      <x:c r="O523" s="4" t="n">
        <x:f>ROUND(M523-N523,2)</x:f>
        <x:v>355.65</x:v>
      </x:c>
      <x:c r="P523" s="6" t="n">
        <x:v>4.5</x:v>
      </x:c>
      <x:c r="Q523" t="str">
        <x:v>No</x:v>
      </x:c>
    </x:row>
    <x:row r="524">
      <x:c r="A524" t="str">
        <x:v>ORD-01680</x:v>
      </x:c>
      <x:c r="B524" s="3" t="n">
        <x:v>45512.821577372684</x:v>
      </x:c>
      <x:c r="C524" t="str">
        <x:v>2024-08</x:v>
      </x:c>
      <x:c r="D524" t="str">
        <x:v>CUS-0327</x:v>
      </x:c>
      <x:c r="E524" t="str">
        <x:v>North East</x:v>
      </x:c>
      <x:c r="F524" t="str">
        <x:v>Marketplace</x:v>
      </x:c>
      <x:c r="G524" t="str">
        <x:v>Home</x:v>
      </x:c>
      <x:c r="H524" t="str">
        <x:v>Coffee Maker</x:v>
      </x:c>
      <x:c r="I524" t="n">
        <x:v>3</x:v>
      </x:c>
      <x:c r="J524" s="4" t="n">
        <x:v>77.02</x:v>
      </x:c>
      <x:c r="K524" s="4" t="n">
        <x:v>41</x:v>
      </x:c>
      <x:c r="L524" s="5" t="n">
        <x:v>0</x:v>
      </x:c>
      <x:c r="M524" s="4" t="n">
        <x:f>ROUND(I524*J524*(1-L524),2)</x:f>
        <x:v>231.06</x:v>
      </x:c>
      <x:c r="N524" s="4" t="n">
        <x:f>ROUND(I524*K524,2)</x:f>
        <x:v>123</x:v>
      </x:c>
      <x:c r="O524" s="4" t="n">
        <x:f>ROUND(M524-N524,2)</x:f>
        <x:v>108.06</x:v>
      </x:c>
      <x:c r="P524" s="6" t="n">
        <x:v>5</x:v>
      </x:c>
      <x:c r="Q524" t="str">
        <x:v>No</x:v>
      </x:c>
    </x:row>
    <x:row r="525">
      <x:c r="A525" t="str">
        <x:v>ORD-01633</x:v>
      </x:c>
      <x:c r="B525" s="3" t="n">
        <x:v>45512.90614890046</x:v>
      </x:c>
      <x:c r="C525" t="str">
        <x:v>2024-08</x:v>
      </x:c>
      <x:c r="D525" t="str">
        <x:v>CUS-0044</x:v>
      </x:c>
      <x:c r="E525" t="str">
        <x:v>South West</x:v>
      </x:c>
      <x:c r="F525" t="str">
        <x:v>Store</x:v>
      </x:c>
      <x:c r="G525" t="str">
        <x:v>Electronics</x:v>
      </x:c>
      <x:c r="H525" t="str">
        <x:v>Smart Watch</x:v>
      </x:c>
      <x:c r="I525" t="n">
        <x:v>4</x:v>
      </x:c>
      <x:c r="J525" s="4" t="n">
        <x:v>156.78</x:v>
      </x:c>
      <x:c r="K525" s="4" t="n">
        <x:v>92</x:v>
      </x:c>
      <x:c r="L525" s="5" t="n">
        <x:v>0.15</x:v>
      </x:c>
      <x:c r="M525" s="4" t="n">
        <x:f>ROUND(I525*J525*(1-L525),2)</x:f>
        <x:v>533.05</x:v>
      </x:c>
      <x:c r="N525" s="4" t="n">
        <x:f>ROUND(I525*K525,2)</x:f>
        <x:v>368</x:v>
      </x:c>
      <x:c r="O525" s="4" t="n">
        <x:f>ROUND(M525-N525,2)</x:f>
        <x:v>165.05</x:v>
      </x:c>
      <x:c r="P525" s="6" t="n">
        <x:v>5</x:v>
      </x:c>
      <x:c r="Q525" t="str">
        <x:v>Yes</x:v>
      </x:c>
    </x:row>
    <x:row r="526">
      <x:c r="A526" t="str">
        <x:v>ORD-01327</x:v>
      </x:c>
      <x:c r="B526" s="3" t="n">
        <x:v>45512.92328627315</x:v>
      </x:c>
      <x:c r="C526" t="str">
        <x:v>2024-08</x:v>
      </x:c>
      <x:c r="D526" t="str">
        <x:v>CUS-0418</x:v>
      </x:c>
      <x:c r="E526" t="str">
        <x:v>South East</x:v>
      </x:c>
      <x:c r="F526" t="str">
        <x:v>Online</x:v>
      </x:c>
      <x:c r="G526" t="str">
        <x:v>Electronics</x:v>
      </x:c>
      <x:c r="H526" t="str">
        <x:v>Bluetooth Speaker</x:v>
      </x:c>
      <x:c r="I526" t="n">
        <x:v>2</x:v>
      </x:c>
      <x:c r="J526" s="4" t="n">
        <x:v>65.55</x:v>
      </x:c>
      <x:c r="K526" s="4" t="n">
        <x:v>34</x:v>
      </x:c>
      <x:c r="L526" s="5" t="n">
        <x:v>0.05</x:v>
      </x:c>
      <x:c r="M526" s="4" t="n">
        <x:f>ROUND(I526*J526*(1-L526),2)</x:f>
        <x:v>124.54</x:v>
      </x:c>
      <x:c r="N526" s="4" t="n">
        <x:f>ROUND(I526*K526,2)</x:f>
        <x:v>68</x:v>
      </x:c>
      <x:c r="O526" s="4" t="n">
        <x:f>ROUND(M526-N526,2)</x:f>
        <x:v>56.54</x:v>
      </x:c>
      <x:c r="P526" s="6" t="n">
        <x:v>4</x:v>
      </x:c>
      <x:c r="Q526" t="str">
        <x:v>No</x:v>
      </x:c>
    </x:row>
    <x:row r="527">
      <x:c r="A527" t="str">
        <x:v>ORD-00904</x:v>
      </x:c>
      <x:c r="B527" s="3" t="n">
        <x:v>45513.07842239583</x:v>
      </x:c>
      <x:c r="C527" t="str">
        <x:v>2024-08</x:v>
      </x:c>
      <x:c r="D527" t="str">
        <x:v>CUS-0620</x:v>
      </x:c>
      <x:c r="E527" t="str">
        <x:v>South East</x:v>
      </x:c>
      <x:c r="F527" t="str">
        <x:v>Marketplace</x:v>
      </x:c>
      <x:c r="G527" t="str">
        <x:v>Books</x:v>
      </x:c>
      <x:c r="H527" t="str">
        <x:v>Data Analytics Handbook</x:v>
      </x:c>
      <x:c r="I527" t="n">
        <x:v>4</x:v>
      </x:c>
      <x:c r="J527" s="4" t="n">
        <x:v>38.49</x:v>
      </x:c>
      <x:c r="K527" s="4" t="n">
        <x:v>14</x:v>
      </x:c>
      <x:c r="L527" s="5" t="n">
        <x:v>0</x:v>
      </x:c>
      <x:c r="M527" s="4" t="n">
        <x:f>ROUND(I527*J527*(1-L527),2)</x:f>
        <x:v>153.96</x:v>
      </x:c>
      <x:c r="N527" s="4" t="n">
        <x:f>ROUND(I527*K527,2)</x:f>
        <x:v>56</x:v>
      </x:c>
      <x:c r="O527" s="4" t="n">
        <x:f>ROUND(M527-N527,2)</x:f>
        <x:v>97.96</x:v>
      </x:c>
      <x:c r="P527" s="6" t="n">
        <x:v>4.8</x:v>
      </x:c>
      <x:c r="Q527" t="str">
        <x:v>No</x:v>
      </x:c>
    </x:row>
    <x:row r="528">
      <x:c r="A528" t="str">
        <x:v>ORD-00659</x:v>
      </x:c>
      <x:c r="B528" s="3" t="n">
        <x:v>45513.264134108795</x:v>
      </x:c>
      <x:c r="C528" t="str">
        <x:v>2024-08</x:v>
      </x:c>
      <x:c r="D528" t="str">
        <x:v>CUS-0274</x:v>
      </x:c>
      <x:c r="E528" t="str">
        <x:v>North West</x:v>
      </x:c>
      <x:c r="F528" t="str">
        <x:v>Online</x:v>
      </x:c>
      <x:c r="G528" t="str">
        <x:v>Home</x:v>
      </x:c>
      <x:c r="H528" t="str">
        <x:v>Desk Lamp</x:v>
      </x:c>
      <x:c r="I528" t="n">
        <x:v>1</x:v>
      </x:c>
      <x:c r="J528" s="4" t="n">
        <x:v>35.39</x:v>
      </x:c>
      <x:c r="K528" s="4" t="n">
        <x:v>17</x:v>
      </x:c>
      <x:c r="L528" s="5" t="n">
        <x:v>0.05</x:v>
      </x:c>
      <x:c r="M528" s="4" t="n">
        <x:f>ROUND(I528*J528*(1-L528),2)</x:f>
        <x:v>33.62</x:v>
      </x:c>
      <x:c r="N528" s="4" t="n">
        <x:f>ROUND(I528*K528,2)</x:f>
        <x:v>17</x:v>
      </x:c>
      <x:c r="O528" s="4" t="n">
        <x:f>ROUND(M528-N528,2)</x:f>
        <x:v>16.62</x:v>
      </x:c>
      <x:c r="P528" s="6" t="n">
        <x:v>3.5</x:v>
      </x:c>
      <x:c r="Q528" t="str">
        <x:v>No</x:v>
      </x:c>
    </x:row>
    <x:row r="529">
      <x:c r="A529" t="str">
        <x:v>ORD-00060</x:v>
      </x:c>
      <x:c r="B529" s="3" t="n">
        <x:v>45514.51562130787</x:v>
      </x:c>
      <x:c r="C529" t="str">
        <x:v>2024-08</x:v>
      </x:c>
      <x:c r="D529" t="str">
        <x:v>CUS-0026</x:v>
      </x:c>
      <x:c r="E529" t="str">
        <x:v>North West</x:v>
      </x:c>
      <x:c r="F529" t="str">
        <x:v>Online</x:v>
      </x:c>
      <x:c r="G529" t="str">
        <x:v>Books</x:v>
      </x:c>
      <x:c r="H529" t="str">
        <x:v>Business Intelligence Guide</x:v>
      </x:c>
      <x:c r="I529" t="n">
        <x:v>1</x:v>
      </x:c>
      <x:c r="J529" s="4" t="n">
        <x:v>35.06</x:v>
      </x:c>
      <x:c r="K529" s="4" t="n">
        <x:v>12</x:v>
      </x:c>
      <x:c r="L529" s="5" t="n">
        <x:v>0.05</x:v>
      </x:c>
      <x:c r="M529" s="4" t="n">
        <x:f>ROUND(I529*J529*(1-L529),2)</x:f>
        <x:v>33.31</x:v>
      </x:c>
      <x:c r="N529" s="4" t="n">
        <x:f>ROUND(I529*K529,2)</x:f>
        <x:v>12</x:v>
      </x:c>
      <x:c r="O529" s="4" t="n">
        <x:f>ROUND(M529-N529,2)</x:f>
        <x:v>21.31</x:v>
      </x:c>
      <x:c r="P529" s="6" t="n">
        <x:v>4.2</x:v>
      </x:c>
      <x:c r="Q529" t="str">
        <x:v>No</x:v>
      </x:c>
    </x:row>
    <x:row r="530">
      <x:c r="A530" t="str">
        <x:v>ORD-01023</x:v>
      </x:c>
      <x:c r="B530" s="3" t="n">
        <x:v>45514.933626736114</x:v>
      </x:c>
      <x:c r="C530" t="str">
        <x:v>2024-08</x:v>
      </x:c>
      <x:c r="D530" t="str">
        <x:v>CUS-0321</x:v>
      </x:c>
      <x:c r="E530" t="str">
        <x:v>South East</x:v>
      </x:c>
      <x:c r="F530" t="str">
        <x:v>Store</x:v>
      </x:c>
      <x:c r="G530" t="str">
        <x:v>Electronics</x:v>
      </x:c>
      <x:c r="H530" t="str">
        <x:v>Smart Watch</x:v>
      </x:c>
      <x:c r="I530" t="n">
        <x:v>4</x:v>
      </x:c>
      <x:c r="J530" s="4" t="n">
        <x:v>158.77</x:v>
      </x:c>
      <x:c r="K530" s="4" t="n">
        <x:v>92</x:v>
      </x:c>
      <x:c r="L530" s="5" t="n">
        <x:v>0</x:v>
      </x:c>
      <x:c r="M530" s="4" t="n">
        <x:f>ROUND(I530*J530*(1-L530),2)</x:f>
        <x:v>635.08</x:v>
      </x:c>
      <x:c r="N530" s="4" t="n">
        <x:f>ROUND(I530*K530,2)</x:f>
        <x:v>368</x:v>
      </x:c>
      <x:c r="O530" s="4" t="n">
        <x:f>ROUND(M530-N530,2)</x:f>
        <x:v>267.08</x:v>
      </x:c>
      <x:c r="P530" s="6" t="n">
        <x:v>5</x:v>
      </x:c>
      <x:c r="Q530" t="str">
        <x:v>No</x:v>
      </x:c>
    </x:row>
    <x:row r="531">
      <x:c r="A531" t="str">
        <x:v>ORD-01524</x:v>
      </x:c>
      <x:c r="B531" s="3" t="n">
        <x:v>45514.95815118056</x:v>
      </x:c>
      <x:c r="C531" t="str">
        <x:v>2024-08</x:v>
      </x:c>
      <x:c r="D531" t="str">
        <x:v>CUS-0528</x:v>
      </x:c>
      <x:c r="E531" t="str">
        <x:v>North East</x:v>
      </x:c>
      <x:c r="F531" t="str">
        <x:v>Online</x:v>
      </x:c>
      <x:c r="G531" t="str">
        <x:v>Books</x:v>
      </x:c>
      <x:c r="H531" t="str">
        <x:v>Business Intelligence Guide</x:v>
      </x:c>
      <x:c r="I531" t="n">
        <x:v>2</x:v>
      </x:c>
      <x:c r="J531" s="4" t="n">
        <x:v>35.04</x:v>
      </x:c>
      <x:c r="K531" s="4" t="n">
        <x:v>12</x:v>
      </x:c>
      <x:c r="L531" s="5" t="n">
        <x:v>0.2</x:v>
      </x:c>
      <x:c r="M531" s="4" t="n">
        <x:f>ROUND(I531*J531*(1-L531),2)</x:f>
        <x:v>56.06</x:v>
      </x:c>
      <x:c r="N531" s="4" t="n">
        <x:f>ROUND(I531*K531,2)</x:f>
        <x:v>24</x:v>
      </x:c>
      <x:c r="O531" s="4" t="n">
        <x:f>ROUND(M531-N531,2)</x:f>
        <x:v>32.06</x:v>
      </x:c>
      <x:c r="P531" s="6" t="n">
        <x:v>4</x:v>
      </x:c>
      <x:c r="Q531" t="str">
        <x:v>No</x:v>
      </x:c>
    </x:row>
    <x:row r="532">
      <x:c r="A532" t="str">
        <x:v>ORD-00595</x:v>
      </x:c>
      <x:c r="B532" s="3" t="n">
        <x:v>45515.35875070602</x:v>
      </x:c>
      <x:c r="C532" t="str">
        <x:v>2024-08</x:v>
      </x:c>
      <x:c r="D532" t="str">
        <x:v>CUS-0427</x:v>
      </x:c>
      <x:c r="E532" t="str">
        <x:v>Midlands</x:v>
      </x:c>
      <x:c r="F532" t="str">
        <x:v>Online</x:v>
      </x:c>
      <x:c r="G532" t="str">
        <x:v>Sports</x:v>
      </x:c>
      <x:c r="H532" t="str">
        <x:v>Running Shoes</x:v>
      </x:c>
      <x:c r="I532" t="n">
        <x:v>1</x:v>
      </x:c>
      <x:c r="J532" s="4" t="n">
        <x:v>81.16</x:v>
      </x:c>
      <x:c r="K532" s="4" t="n">
        <x:v>38</x:v>
      </x:c>
      <x:c r="L532" s="5" t="n">
        <x:v>0</x:v>
      </x:c>
      <x:c r="M532" s="4" t="n">
        <x:f>ROUND(I532*J532*(1-L532),2)</x:f>
        <x:v>81.16</x:v>
      </x:c>
      <x:c r="N532" s="4" t="n">
        <x:f>ROUND(I532*K532,2)</x:f>
        <x:v>38</x:v>
      </x:c>
      <x:c r="O532" s="4" t="n">
        <x:f>ROUND(M532-N532,2)</x:f>
        <x:v>43.16</x:v>
      </x:c>
      <x:c r="P532" s="6" t="n">
        <x:v>3.9</x:v>
      </x:c>
      <x:c r="Q532" t="str">
        <x:v>Yes</x:v>
      </x:c>
    </x:row>
    <x:row r="533">
      <x:c r="A533" t="str">
        <x:v>ORD-01322</x:v>
      </x:c>
      <x:c r="B533" s="3" t="n">
        <x:v>45516.15529299768</x:v>
      </x:c>
      <x:c r="C533" t="str">
        <x:v>2024-08</x:v>
      </x:c>
      <x:c r="D533" t="str">
        <x:v>CUS-0502</x:v>
      </x:c>
      <x:c r="E533" t="str">
        <x:v>South West</x:v>
      </x:c>
      <x:c r="F533" t="str">
        <x:v>Online</x:v>
      </x:c>
      <x:c r="G533" t="str">
        <x:v>Fashion</x:v>
      </x:c>
      <x:c r="H533" t="str">
        <x:v>Backpack</x:v>
      </x:c>
      <x:c r="I533" t="n">
        <x:v>4</x:v>
      </x:c>
      <x:c r="J533" s="4" t="n">
        <x:v>51.16</x:v>
      </x:c>
      <x:c r="K533" s="4" t="n">
        <x:v>21</x:v>
      </x:c>
      <x:c r="L533" s="5" t="n">
        <x:v>0.2</x:v>
      </x:c>
      <x:c r="M533" s="4" t="n">
        <x:f>ROUND(I533*J533*(1-L533),2)</x:f>
        <x:v>163.71</x:v>
      </x:c>
      <x:c r="N533" s="4" t="n">
        <x:f>ROUND(I533*K533,2)</x:f>
        <x:v>84</x:v>
      </x:c>
      <x:c r="O533" s="4" t="n">
        <x:f>ROUND(M533-N533,2)</x:f>
        <x:v>79.71</x:v>
      </x:c>
      <x:c r="P533" s="6" t="n">
        <x:v>4.2</x:v>
      </x:c>
      <x:c r="Q533" t="str">
        <x:v>No</x:v>
      </x:c>
    </x:row>
    <x:row r="534">
      <x:c r="A534" t="str">
        <x:v>ORD-01796</x:v>
      </x:c>
      <x:c r="B534" s="3" t="n">
        <x:v>45516.71149162037</x:v>
      </x:c>
      <x:c r="C534" t="str">
        <x:v>2024-08</x:v>
      </x:c>
      <x:c r="D534" t="str">
        <x:v>CUS-0073</x:v>
      </x:c>
      <x:c r="E534" t="str">
        <x:v>Midlands</x:v>
      </x:c>
      <x:c r="F534" t="str">
        <x:v>Marketplace</x:v>
      </x:c>
      <x:c r="G534" t="str">
        <x:v>Books</x:v>
      </x:c>
      <x:c r="H534" t="str">
        <x:v>Data Analytics Handbook</x:v>
      </x:c>
      <x:c r="I534" t="n">
        <x:v>1</x:v>
      </x:c>
      <x:c r="J534" s="4" t="n">
        <x:v>38.95</x:v>
      </x:c>
      <x:c r="K534" s="4" t="n">
        <x:v>14</x:v>
      </x:c>
      <x:c r="L534" s="5" t="n">
        <x:v>0.2</x:v>
      </x:c>
      <x:c r="M534" s="4" t="n">
        <x:f>ROUND(I534*J534*(1-L534),2)</x:f>
        <x:v>31.16</x:v>
      </x:c>
      <x:c r="N534" s="4" t="n">
        <x:f>ROUND(I534*K534,2)</x:f>
        <x:v>14</x:v>
      </x:c>
      <x:c r="O534" s="4" t="n">
        <x:f>ROUND(M534-N534,2)</x:f>
        <x:v>17.16</x:v>
      </x:c>
      <x:c r="P534" s="6" t="n">
        <x:v>3.9</x:v>
      </x:c>
      <x:c r="Q534" t="str">
        <x:v>No</x:v>
      </x:c>
    </x:row>
    <x:row r="535">
      <x:c r="A535" t="str">
        <x:v>ORD-00151</x:v>
      </x:c>
      <x:c r="B535" s="3" t="n">
        <x:v>45516.98530574074</x:v>
      </x:c>
      <x:c r="C535" t="str">
        <x:v>2024-08</x:v>
      </x:c>
      <x:c r="D535" t="str">
        <x:v>CUS-0289</x:v>
      </x:c>
      <x:c r="E535" t="str">
        <x:v>South East</x:v>
      </x:c>
      <x:c r="F535" t="str">
        <x:v>Marketplace</x:v>
      </x:c>
      <x:c r="G535" t="str">
        <x:v>Home</x:v>
      </x:c>
      <x:c r="H535" t="str">
        <x:v>Air Fryer</x:v>
      </x:c>
      <x:c r="I535" t="n">
        <x:v>5</x:v>
      </x:c>
      <x:c r="J535" s="4" t="n">
        <x:v>116.8</x:v>
      </x:c>
      <x:c r="K535" s="4" t="n">
        <x:v>69</x:v>
      </x:c>
      <x:c r="L535" s="5" t="n">
        <x:v>0</x:v>
      </x:c>
      <x:c r="M535" s="4" t="n">
        <x:f>ROUND(I535*J535*(1-L535),2)</x:f>
        <x:v>584</x:v>
      </x:c>
      <x:c r="N535" s="4" t="n">
        <x:f>ROUND(I535*K535,2)</x:f>
        <x:v>345</x:v>
      </x:c>
      <x:c r="O535" s="4" t="n">
        <x:f>ROUND(M535-N535,2)</x:f>
        <x:v>239</x:v>
      </x:c>
      <x:c r="P535" s="6" t="n">
        <x:v>4.8</x:v>
      </x:c>
      <x:c r="Q535" t="str">
        <x:v>No</x:v>
      </x:c>
    </x:row>
    <x:row r="536">
      <x:c r="A536" t="str">
        <x:v>ORD-00820</x:v>
      </x:c>
      <x:c r="B536" s="3" t="n">
        <x:v>45517.924692534725</x:v>
      </x:c>
      <x:c r="C536" t="str">
        <x:v>2024-08</x:v>
      </x:c>
      <x:c r="D536" t="str">
        <x:v>CUS-0110</x:v>
      </x:c>
      <x:c r="E536" t="str">
        <x:v>South East</x:v>
      </x:c>
      <x:c r="F536" t="str">
        <x:v>Store</x:v>
      </x:c>
      <x:c r="G536" t="str">
        <x:v>Home</x:v>
      </x:c>
      <x:c r="H536" t="str">
        <x:v>Coffee Maker</x:v>
      </x:c>
      <x:c r="I536" t="n">
        <x:v>2</x:v>
      </x:c>
      <x:c r="J536" s="4" t="n">
        <x:v>78.09</x:v>
      </x:c>
      <x:c r="K536" s="4" t="n">
        <x:v>41</x:v>
      </x:c>
      <x:c r="L536" s="5" t="n">
        <x:v>0.2</x:v>
      </x:c>
      <x:c r="M536" s="4" t="n">
        <x:f>ROUND(I536*J536*(1-L536),2)</x:f>
        <x:v>124.94</x:v>
      </x:c>
      <x:c r="N536" s="4" t="n">
        <x:f>ROUND(I536*K536,2)</x:f>
        <x:v>82</x:v>
      </x:c>
      <x:c r="O536" s="4" t="n">
        <x:f>ROUND(M536-N536,2)</x:f>
        <x:v>42.94</x:v>
      </x:c>
      <x:c r="P536" s="6" t="n">
        <x:v>4.9</x:v>
      </x:c>
      <x:c r="Q536" t="str">
        <x:v>Yes</x:v>
      </x:c>
    </x:row>
    <x:row r="537">
      <x:c r="A537" t="str">
        <x:v>ORD-01062</x:v>
      </x:c>
      <x:c r="B537" s="3" t="n">
        <x:v>45518.04514362269</x:v>
      </x:c>
      <x:c r="C537" t="str">
        <x:v>2024-08</x:v>
      </x:c>
      <x:c r="D537" t="str">
        <x:v>CUS-0482</x:v>
      </x:c>
      <x:c r="E537" t="str">
        <x:v>North East</x:v>
      </x:c>
      <x:c r="F537" t="str">
        <x:v>Store</x:v>
      </x:c>
      <x:c r="G537" t="str">
        <x:v>Beauty</x:v>
      </x:c>
      <x:c r="H537" t="str">
        <x:v>Hair Dryer</x:v>
      </x:c>
      <x:c r="I537" t="n">
        <x:v>5</x:v>
      </x:c>
      <x:c r="J537" s="4" t="n">
        <x:v>60.13</x:v>
      </x:c>
      <x:c r="K537" s="4" t="n">
        <x:v>29</x:v>
      </x:c>
      <x:c r="L537" s="5" t="n">
        <x:v>0</x:v>
      </x:c>
      <x:c r="M537" s="4" t="n">
        <x:f>ROUND(I537*J537*(1-L537),2)</x:f>
        <x:v>300.65</x:v>
      </x:c>
      <x:c r="N537" s="4" t="n">
        <x:f>ROUND(I537*K537,2)</x:f>
        <x:v>145</x:v>
      </x:c>
      <x:c r="O537" s="4" t="n">
        <x:f>ROUND(M537-N537,2)</x:f>
        <x:v>155.65</x:v>
      </x:c>
      <x:c r="P537" s="6" t="n">
        <x:v>4.2</x:v>
      </x:c>
      <x:c r="Q537" t="str">
        <x:v>No</x:v>
      </x:c>
    </x:row>
    <x:row r="538">
      <x:c r="A538" t="str">
        <x:v>ORD-00428</x:v>
      </x:c>
      <x:c r="B538" s="3" t="n">
        <x:v>45518.29679922454</x:v>
      </x:c>
      <x:c r="C538" t="str">
        <x:v>2024-08</x:v>
      </x:c>
      <x:c r="D538" t="str">
        <x:v>CUS-0514</x:v>
      </x:c>
      <x:c r="E538" t="str">
        <x:v>South East</x:v>
      </x:c>
      <x:c r="F538" t="str">
        <x:v>Store</x:v>
      </x:c>
      <x:c r="G538" t="str">
        <x:v>Fashion</x:v>
      </x:c>
      <x:c r="H538" t="str">
        <x:v>Classic Trainers</x:v>
      </x:c>
      <x:c r="I538" t="n">
        <x:v>4</x:v>
      </x:c>
      <x:c r="J538" s="4" t="n">
        <x:v>71.35</x:v>
      </x:c>
      <x:c r="K538" s="4" t="n">
        <x:v>32</x:v>
      </x:c>
      <x:c r="L538" s="5" t="n">
        <x:v>0</x:v>
      </x:c>
      <x:c r="M538" s="4" t="n">
        <x:f>ROUND(I538*J538*(1-L538),2)</x:f>
        <x:v>285.4</x:v>
      </x:c>
      <x:c r="N538" s="4" t="n">
        <x:f>ROUND(I538*K538,2)</x:f>
        <x:v>128</x:v>
      </x:c>
      <x:c r="O538" s="4" t="n">
        <x:f>ROUND(M538-N538,2)</x:f>
        <x:v>157.4</x:v>
      </x:c>
      <x:c r="P538" s="6" t="n">
        <x:v>4.7</x:v>
      </x:c>
      <x:c r="Q538" t="str">
        <x:v>No</x:v>
      </x:c>
    </x:row>
    <x:row r="539">
      <x:c r="A539" t="str">
        <x:v>ORD-00527</x:v>
      </x:c>
      <x:c r="B539" s="3" t="n">
        <x:v>45519.29299489583</x:v>
      </x:c>
      <x:c r="C539" t="str">
        <x:v>2024-08</x:v>
      </x:c>
      <x:c r="D539" t="str">
        <x:v>CUS-0393</x:v>
      </x:c>
      <x:c r="E539" t="str">
        <x:v>Wales</x:v>
      </x:c>
      <x:c r="F539" t="str">
        <x:v>Marketplace</x:v>
      </x:c>
      <x:c r="G539" t="str">
        <x:v>Electronics</x:v>
      </x:c>
      <x:c r="H539" t="str">
        <x:v>Bluetooth Speaker</x:v>
      </x:c>
      <x:c r="I539" t="n">
        <x:v>4</x:v>
      </x:c>
      <x:c r="J539" s="4" t="n">
        <x:v>65.48</x:v>
      </x:c>
      <x:c r="K539" s="4" t="n">
        <x:v>34</x:v>
      </x:c>
      <x:c r="L539" s="5" t="n">
        <x:v>0.2</x:v>
      </x:c>
      <x:c r="M539" s="4" t="n">
        <x:f>ROUND(I539*J539*(1-L539),2)</x:f>
        <x:v>209.54</x:v>
      </x:c>
      <x:c r="N539" s="4" t="n">
        <x:f>ROUND(I539*K539,2)</x:f>
        <x:v>136</x:v>
      </x:c>
      <x:c r="O539" s="4" t="n">
        <x:f>ROUND(M539-N539,2)</x:f>
        <x:v>73.54</x:v>
      </x:c>
      <x:c r="P539" s="6" t="n">
        <x:v>4.8</x:v>
      </x:c>
      <x:c r="Q539" t="str">
        <x:v>Yes</x:v>
      </x:c>
    </x:row>
    <x:row r="540">
      <x:c r="A540" t="str">
        <x:v>ORD-01340</x:v>
      </x:c>
      <x:c r="B540" s="3" t="n">
        <x:v>45519.57173192129</x:v>
      </x:c>
      <x:c r="C540" t="str">
        <x:v>2024-08</x:v>
      </x:c>
      <x:c r="D540" t="str">
        <x:v>CUS-0334</x:v>
      </x:c>
      <x:c r="E540" t="str">
        <x:v>South East</x:v>
      </x:c>
      <x:c r="F540" t="str">
        <x:v>Store</x:v>
      </x:c>
      <x:c r="G540" t="str">
        <x:v>Beauty</x:v>
      </x:c>
      <x:c r="H540" t="str">
        <x:v>Skin Care Set</x:v>
      </x:c>
      <x:c r="I540" t="n">
        <x:v>4</x:v>
      </x:c>
      <x:c r="J540" s="4" t="n">
        <x:v>45.95</x:v>
      </x:c>
      <x:c r="K540" s="4" t="n">
        <x:v>18</x:v>
      </x:c>
      <x:c r="L540" s="5" t="n">
        <x:v>0</x:v>
      </x:c>
      <x:c r="M540" s="4" t="n">
        <x:f>ROUND(I540*J540*(1-L540),2)</x:f>
        <x:v>183.8</x:v>
      </x:c>
      <x:c r="N540" s="4" t="n">
        <x:f>ROUND(I540*K540,2)</x:f>
        <x:v>72</x:v>
      </x:c>
      <x:c r="O540" s="4" t="n">
        <x:f>ROUND(M540-N540,2)</x:f>
        <x:v>111.8</x:v>
      </x:c>
      <x:c r="P540" s="6" t="n">
        <x:v>4.8</x:v>
      </x:c>
      <x:c r="Q540" t="str">
        <x:v>No</x:v>
      </x:c>
    </x:row>
    <x:row r="541">
      <x:c r="A541" t="str">
        <x:v>ORD-01145</x:v>
      </x:c>
      <x:c r="B541" s="3" t="n">
        <x:v>45520.000711064815</x:v>
      </x:c>
      <x:c r="C541" t="str">
        <x:v>2024-08</x:v>
      </x:c>
      <x:c r="D541" t="str">
        <x:v>CUS-0304</x:v>
      </x:c>
      <x:c r="E541" t="str">
        <x:v>London</x:v>
      </x:c>
      <x:c r="F541" t="str">
        <x:v>Store</x:v>
      </x:c>
      <x:c r="G541" t="str">
        <x:v>Books</x:v>
      </x:c>
      <x:c r="H541" t="str">
        <x:v>Data Analytics Handbook</x:v>
      </x:c>
      <x:c r="I541" t="n">
        <x:v>3</x:v>
      </x:c>
      <x:c r="J541" s="4" t="n">
        <x:v>40.15</x:v>
      </x:c>
      <x:c r="K541" s="4" t="n">
        <x:v>14</x:v>
      </x:c>
      <x:c r="L541" s="5" t="n">
        <x:v>0</x:v>
      </x:c>
      <x:c r="M541" s="4" t="n">
        <x:f>ROUND(I541*J541*(1-L541),2)</x:f>
        <x:v>120.45</x:v>
      </x:c>
      <x:c r="N541" s="4" t="n">
        <x:f>ROUND(I541*K541,2)</x:f>
        <x:v>42</x:v>
      </x:c>
      <x:c r="O541" s="4" t="n">
        <x:f>ROUND(M541-N541,2)</x:f>
        <x:v>78.45</x:v>
      </x:c>
      <x:c r="P541" s="6" t="n">
        <x:v>5</x:v>
      </x:c>
      <x:c r="Q541" t="str">
        <x:v>No</x:v>
      </x:c>
    </x:row>
    <x:row r="542">
      <x:c r="A542" t="str">
        <x:v>ORD-00735</x:v>
      </x:c>
      <x:c r="B542" s="3" t="n">
        <x:v>45520.4235350463</x:v>
      </x:c>
      <x:c r="C542" t="str">
        <x:v>2024-08</x:v>
      </x:c>
      <x:c r="D542" t="str">
        <x:v>CUS-0538</x:v>
      </x:c>
      <x:c r="E542" t="str">
        <x:v>Wales</x:v>
      </x:c>
      <x:c r="F542" t="str">
        <x:v>Online</x:v>
      </x:c>
      <x:c r="G542" t="str">
        <x:v>Electronics</x:v>
      </x:c>
      <x:c r="H542" t="str">
        <x:v>Wireless Headphones</x:v>
      </x:c>
      <x:c r="I542" t="n">
        <x:v>3</x:v>
      </x:c>
      <x:c r="J542" s="4" t="n">
        <x:v>93.21</x:v>
      </x:c>
      <x:c r="K542" s="4" t="n">
        <x:v>48</x:v>
      </x:c>
      <x:c r="L542" s="5" t="n">
        <x:v>0.1</x:v>
      </x:c>
      <x:c r="M542" s="4" t="n">
        <x:f>ROUND(I542*J542*(1-L542),2)</x:f>
        <x:v>251.67</x:v>
      </x:c>
      <x:c r="N542" s="4" t="n">
        <x:f>ROUND(I542*K542,2)</x:f>
        <x:v>144</x:v>
      </x:c>
      <x:c r="O542" s="4" t="n">
        <x:f>ROUND(M542-N542,2)</x:f>
        <x:v>107.67</x:v>
      </x:c>
      <x:c r="P542" s="6" t="n">
        <x:v>4.7</x:v>
      </x:c>
      <x:c r="Q542" t="str">
        <x:v>No</x:v>
      </x:c>
    </x:row>
    <x:row r="543">
      <x:c r="A543" t="str">
        <x:v>ORD-00152</x:v>
      </x:c>
      <x:c r="B543" s="3" t="n">
        <x:v>45521.45228199074</x:v>
      </x:c>
      <x:c r="C543" t="str">
        <x:v>2024-08</x:v>
      </x:c>
      <x:c r="D543" t="str">
        <x:v>CUS-0100</x:v>
      </x:c>
      <x:c r="E543" t="str">
        <x:v>North West</x:v>
      </x:c>
      <x:c r="F543" t="str">
        <x:v>Marketplace</x:v>
      </x:c>
      <x:c r="G543" t="str">
        <x:v>Fashion</x:v>
      </x:c>
      <x:c r="H543" t="str">
        <x:v>Classic Trainers</x:v>
      </x:c>
      <x:c r="I543" t="n">
        <x:v>3</x:v>
      </x:c>
      <x:c r="J543" s="4" t="n">
        <x:v>73.25</x:v>
      </x:c>
      <x:c r="K543" s="4" t="n">
        <x:v>32</x:v>
      </x:c>
      <x:c r="L543" s="5" t="n">
        <x:v>0</x:v>
      </x:c>
      <x:c r="M543" s="4" t="n">
        <x:f>ROUND(I543*J543*(1-L543),2)</x:f>
        <x:v>219.75</x:v>
      </x:c>
      <x:c r="N543" s="4" t="n">
        <x:f>ROUND(I543*K543,2)</x:f>
        <x:v>96</x:v>
      </x:c>
      <x:c r="O543" s="4" t="n">
        <x:f>ROUND(M543-N543,2)</x:f>
        <x:v>123.75</x:v>
      </x:c>
      <x:c r="P543" s="6" t="n">
        <x:v>4.7</x:v>
      </x:c>
      <x:c r="Q543" t="str">
        <x:v>No</x:v>
      </x:c>
    </x:row>
    <x:row r="544">
      <x:c r="A544" t="str">
        <x:v>ORD-01333</x:v>
      </x:c>
      <x:c r="B544" s="3" t="n">
        <x:v>45521.72294494213</x:v>
      </x:c>
      <x:c r="C544" t="str">
        <x:v>2024-08</x:v>
      </x:c>
      <x:c r="D544" t="str">
        <x:v>CUS-0052</x:v>
      </x:c>
      <x:c r="E544" t="str">
        <x:v>Scotland</x:v>
      </x:c>
      <x:c r="F544" t="str">
        <x:v>Online</x:v>
      </x:c>
      <x:c r="G544" t="str">
        <x:v>Books</x:v>
      </x:c>
      <x:c r="H544" t="str">
        <x:v>Data Analytics Handbook</x:v>
      </x:c>
      <x:c r="I544" t="n">
        <x:v>5</x:v>
      </x:c>
      <x:c r="J544" s="4" t="n">
        <x:v>40.7</x:v>
      </x:c>
      <x:c r="K544" s="4" t="n">
        <x:v>14</x:v>
      </x:c>
      <x:c r="L544" s="5" t="n">
        <x:v>0.15</x:v>
      </x:c>
      <x:c r="M544" s="4" t="n">
        <x:f>ROUND(I544*J544*(1-L544),2)</x:f>
        <x:v>172.98</x:v>
      </x:c>
      <x:c r="N544" s="4" t="n">
        <x:f>ROUND(I544*K544,2)</x:f>
        <x:v>70</x:v>
      </x:c>
      <x:c r="O544" s="4" t="n">
        <x:f>ROUND(M544-N544,2)</x:f>
        <x:v>102.98</x:v>
      </x:c>
      <x:c r="P544" s="6" t="n">
        <x:v>5</x:v>
      </x:c>
      <x:c r="Q544" t="str">
        <x:v>Yes</x:v>
      </x:c>
    </x:row>
    <x:row r="545">
      <x:c r="A545" t="str">
        <x:v>ORD-01460</x:v>
      </x:c>
      <x:c r="B545" s="3" t="n">
        <x:v>45521.78663303241</x:v>
      </x:c>
      <x:c r="C545" t="str">
        <x:v>2024-08</x:v>
      </x:c>
      <x:c r="D545" t="str">
        <x:v>CUS-0601</x:v>
      </x:c>
      <x:c r="E545" t="str">
        <x:v>South East</x:v>
      </x:c>
      <x:c r="F545" t="str">
        <x:v>Marketplace</x:v>
      </x:c>
      <x:c r="G545" t="str">
        <x:v>Electronics</x:v>
      </x:c>
      <x:c r="H545" t="str">
        <x:v>Smart Watch</x:v>
      </x:c>
      <x:c r="I545" t="n">
        <x:v>3</x:v>
      </x:c>
      <x:c r="J545" s="4" t="n">
        <x:v>153.26</x:v>
      </x:c>
      <x:c r="K545" s="4" t="n">
        <x:v>92</x:v>
      </x:c>
      <x:c r="L545" s="5" t="n">
        <x:v>0.2</x:v>
      </x:c>
      <x:c r="M545" s="4" t="n">
        <x:f>ROUND(I545*J545*(1-L545),2)</x:f>
        <x:v>367.82</x:v>
      </x:c>
      <x:c r="N545" s="4" t="n">
        <x:f>ROUND(I545*K545,2)</x:f>
        <x:v>276</x:v>
      </x:c>
      <x:c r="O545" s="4" t="n">
        <x:f>ROUND(M545-N545,2)</x:f>
        <x:v>91.82</x:v>
      </x:c>
      <x:c r="P545" s="6" t="n">
        <x:v>4.3</x:v>
      </x:c>
      <x:c r="Q545" t="str">
        <x:v>No</x:v>
      </x:c>
    </x:row>
    <x:row r="546">
      <x:c r="A546" t="str">
        <x:v>ORD-01618</x:v>
      </x:c>
      <x:c r="B546" s="3" t="n">
        <x:v>45522.02212144676</x:v>
      </x:c>
      <x:c r="C546" t="str">
        <x:v>2024-08</x:v>
      </x:c>
      <x:c r="D546" t="str">
        <x:v>CUS-0482</x:v>
      </x:c>
      <x:c r="E546" t="str">
        <x:v>London</x:v>
      </x:c>
      <x:c r="F546" t="str">
        <x:v>Marketplace</x:v>
      </x:c>
      <x:c r="G546" t="str">
        <x:v>Electronics</x:v>
      </x:c>
      <x:c r="H546" t="str">
        <x:v>Wireless Headphones</x:v>
      </x:c>
      <x:c r="I546" t="n">
        <x:v>3</x:v>
      </x:c>
      <x:c r="J546" s="4" t="n">
        <x:v>87.78</x:v>
      </x:c>
      <x:c r="K546" s="4" t="n">
        <x:v>48</x:v>
      </x:c>
      <x:c r="L546" s="5" t="n">
        <x:v>0</x:v>
      </x:c>
      <x:c r="M546" s="4" t="n">
        <x:f>ROUND(I546*J546*(1-L546),2)</x:f>
        <x:v>263.34</x:v>
      </x:c>
      <x:c r="N546" s="4" t="n">
        <x:f>ROUND(I546*K546,2)</x:f>
        <x:v>144</x:v>
      </x:c>
      <x:c r="O546" s="4" t="n">
        <x:f>ROUND(M546-N546,2)</x:f>
        <x:v>119.34</x:v>
      </x:c>
      <x:c r="P546" s="6" t="n">
        <x:v>4.3</x:v>
      </x:c>
      <x:c r="Q546" t="str">
        <x:v>No</x:v>
      </x:c>
    </x:row>
    <x:row r="547">
      <x:c r="A547" t="str">
        <x:v>ORD-00738</x:v>
      </x:c>
      <x:c r="B547" s="3" t="n">
        <x:v>45522.09196266204</x:v>
      </x:c>
      <x:c r="C547" t="str">
        <x:v>2024-08</x:v>
      </x:c>
      <x:c r="D547" t="str">
        <x:v>CUS-0041</x:v>
      </x:c>
      <x:c r="E547" t="str">
        <x:v>South West</x:v>
      </x:c>
      <x:c r="F547" t="str">
        <x:v>Marketplace</x:v>
      </x:c>
      <x:c r="G547" t="str">
        <x:v>Home</x:v>
      </x:c>
      <x:c r="H547" t="str">
        <x:v>Air Fryer</x:v>
      </x:c>
      <x:c r="I547" t="n">
        <x:v>4</x:v>
      </x:c>
      <x:c r="J547" s="4" t="n">
        <x:v>122.67</x:v>
      </x:c>
      <x:c r="K547" s="4" t="n">
        <x:v>69</x:v>
      </x:c>
      <x:c r="L547" s="5" t="n">
        <x:v>0</x:v>
      </x:c>
      <x:c r="M547" s="4" t="n">
        <x:f>ROUND(I547*J547*(1-L547),2)</x:f>
        <x:v>490.68</x:v>
      </x:c>
      <x:c r="N547" s="4" t="n">
        <x:f>ROUND(I547*K547,2)</x:f>
        <x:v>276</x:v>
      </x:c>
      <x:c r="O547" s="4" t="n">
        <x:f>ROUND(M547-N547,2)</x:f>
        <x:v>214.68</x:v>
      </x:c>
      <x:c r="P547" s="6" t="n">
        <x:v>4.2</x:v>
      </x:c>
      <x:c r="Q547" t="str">
        <x:v>No</x:v>
      </x:c>
    </x:row>
    <x:row r="548">
      <x:c r="A548" t="str">
        <x:v>ORD-00903</x:v>
      </x:c>
      <x:c r="B548" s="3" t="n">
        <x:v>45522.123690960645</x:v>
      </x:c>
      <x:c r="C548" t="str">
        <x:v>2024-08</x:v>
      </x:c>
      <x:c r="D548" t="str">
        <x:v>CUS-0294</x:v>
      </x:c>
      <x:c r="E548" t="str">
        <x:v>South West</x:v>
      </x:c>
      <x:c r="F548" t="str">
        <x:v>Marketplace</x:v>
      </x:c>
      <x:c r="G548" t="str">
        <x:v>Fashion</x:v>
      </x:c>
      <x:c r="H548" t="str">
        <x:v>Backpack</x:v>
      </x:c>
      <x:c r="I548" t="n">
        <x:v>4</x:v>
      </x:c>
      <x:c r="J548" s="4" t="n">
        <x:v>51.07</x:v>
      </x:c>
      <x:c r="K548" s="4" t="n">
        <x:v>21</x:v>
      </x:c>
      <x:c r="L548" s="5" t="n">
        <x:v>0</x:v>
      </x:c>
      <x:c r="M548" s="4" t="n">
        <x:f>ROUND(I548*J548*(1-L548),2)</x:f>
        <x:v>204.28</x:v>
      </x:c>
      <x:c r="N548" s="4" t="n">
        <x:f>ROUND(I548*K548,2)</x:f>
        <x:v>84</x:v>
      </x:c>
      <x:c r="O548" s="4" t="n">
        <x:f>ROUND(M548-N548,2)</x:f>
        <x:v>120.28</x:v>
      </x:c>
      <x:c r="P548" s="6" t="n">
        <x:v>4.1</x:v>
      </x:c>
      <x:c r="Q548" t="str">
        <x:v>No</x:v>
      </x:c>
    </x:row>
    <x:row r="549">
      <x:c r="A549" t="str">
        <x:v>ORD-01248</x:v>
      </x:c>
      <x:c r="B549" s="3" t="n">
        <x:v>45522.473040185185</x:v>
      </x:c>
      <x:c r="C549" t="str">
        <x:v>2024-08</x:v>
      </x:c>
      <x:c r="D549" t="str">
        <x:v>CUS-0528</x:v>
      </x:c>
      <x:c r="E549" t="str">
        <x:v>Midlands</x:v>
      </x:c>
      <x:c r="F549" t="str">
        <x:v>Marketplace</x:v>
      </x:c>
      <x:c r="G549" t="str">
        <x:v>Home</x:v>
      </x:c>
      <x:c r="H549" t="str">
        <x:v>Coffee Maker</x:v>
      </x:c>
      <x:c r="I549" t="n">
        <x:v>3</x:v>
      </x:c>
      <x:c r="J549" s="4" t="n">
        <x:v>72.96</x:v>
      </x:c>
      <x:c r="K549" s="4" t="n">
        <x:v>41</x:v>
      </x:c>
      <x:c r="L549" s="5" t="n">
        <x:v>0</x:v>
      </x:c>
      <x:c r="M549" s="4" t="n">
        <x:f>ROUND(I549*J549*(1-L549),2)</x:f>
        <x:v>218.88</x:v>
      </x:c>
      <x:c r="N549" s="4" t="n">
        <x:f>ROUND(I549*K549,2)</x:f>
        <x:v>123</x:v>
      </x:c>
      <x:c r="O549" s="4" t="n">
        <x:f>ROUND(M549-N549,2)</x:f>
        <x:v>95.88</x:v>
      </x:c>
      <x:c r="P549" s="6" t="n">
        <x:v>4.2</x:v>
      </x:c>
      <x:c r="Q549" t="str">
        <x:v>No</x:v>
      </x:c>
    </x:row>
    <x:row r="550">
      <x:c r="A550" t="str">
        <x:v>ORD-00206</x:v>
      </x:c>
      <x:c r="B550" s="3" t="n">
        <x:v>45522.81222166667</x:v>
      </x:c>
      <x:c r="C550" t="str">
        <x:v>2024-08</x:v>
      </x:c>
      <x:c r="D550" t="str">
        <x:v>CUS-0454</x:v>
      </x:c>
      <x:c r="E550" t="str">
        <x:v>Wales</x:v>
      </x:c>
      <x:c r="F550" t="str">
        <x:v>Store</x:v>
      </x:c>
      <x:c r="G550" t="str">
        <x:v>Fashion</x:v>
      </x:c>
      <x:c r="H550" t="str">
        <x:v>Winter Jacket</x:v>
      </x:c>
      <x:c r="I550" t="n">
        <x:v>1</x:v>
      </x:c>
      <x:c r="J550" s="4" t="n">
        <x:v>93.55</x:v>
      </x:c>
      <x:c r="K550" s="4" t="n">
        <x:v>46</x:v>
      </x:c>
      <x:c r="L550" s="5" t="n">
        <x:v>0</x:v>
      </x:c>
      <x:c r="M550" s="4" t="n">
        <x:f>ROUND(I550*J550*(1-L550),2)</x:f>
        <x:v>93.55</x:v>
      </x:c>
      <x:c r="N550" s="4" t="n">
        <x:f>ROUND(I550*K550,2)</x:f>
        <x:v>46</x:v>
      </x:c>
      <x:c r="O550" s="4" t="n">
        <x:f>ROUND(M550-N550,2)</x:f>
        <x:v>47.55</x:v>
      </x:c>
      <x:c r="P550" s="6" t="n">
        <x:v>3.7</x:v>
      </x:c>
      <x:c r="Q550" t="str">
        <x:v>Yes</x:v>
      </x:c>
    </x:row>
    <x:row r="551">
      <x:c r="A551" t="str">
        <x:v>ORD-00845</x:v>
      </x:c>
      <x:c r="B551" s="3" t="n">
        <x:v>45523.22603233796</x:v>
      </x:c>
      <x:c r="C551" t="str">
        <x:v>2024-08</x:v>
      </x:c>
      <x:c r="D551" t="str">
        <x:v>CUS-0134</x:v>
      </x:c>
      <x:c r="E551" t="str">
        <x:v>South West</x:v>
      </x:c>
      <x:c r="F551" t="str">
        <x:v>Marketplace</x:v>
      </x:c>
      <x:c r="G551" t="str">
        <x:v>Electronics</x:v>
      </x:c>
      <x:c r="H551" t="str">
        <x:v>Bluetooth Speaker</x:v>
      </x:c>
      <x:c r="I551" t="n">
        <x:v>1</x:v>
      </x:c>
      <x:c r="J551" s="4" t="n">
        <x:v>66.21</x:v>
      </x:c>
      <x:c r="K551" s="4" t="n">
        <x:v>34</x:v>
      </x:c>
      <x:c r="L551" s="5" t="n">
        <x:v>0</x:v>
      </x:c>
      <x:c r="M551" s="4" t="n">
        <x:f>ROUND(I551*J551*(1-L551),2)</x:f>
        <x:v>66.21</x:v>
      </x:c>
      <x:c r="N551" s="4" t="n">
        <x:f>ROUND(I551*K551,2)</x:f>
        <x:v>34</x:v>
      </x:c>
      <x:c r="O551" s="4" t="n">
        <x:f>ROUND(M551-N551,2)</x:f>
        <x:v>32.21</x:v>
      </x:c>
      <x:c r="P551" s="6" t="n">
        <x:v>3.8</x:v>
      </x:c>
      <x:c r="Q551" t="str">
        <x:v>No</x:v>
      </x:c>
    </x:row>
    <x:row r="552">
      <x:c r="A552" t="str">
        <x:v>ORD-00344</x:v>
      </x:c>
      <x:c r="B552" s="3" t="n">
        <x:v>45523.528014641204</x:v>
      </x:c>
      <x:c r="C552" t="str">
        <x:v>2024-08</x:v>
      </x:c>
      <x:c r="D552" t="str">
        <x:v>CUS-0291</x:v>
      </x:c>
      <x:c r="E552" t="str">
        <x:v>North West</x:v>
      </x:c>
      <x:c r="F552" t="str">
        <x:v>Online</x:v>
      </x:c>
      <x:c r="G552" t="str">
        <x:v>Beauty</x:v>
      </x:c>
      <x:c r="H552" t="str">
        <x:v>Skin Care Set</x:v>
      </x:c>
      <x:c r="I552" t="n">
        <x:v>1</x:v>
      </x:c>
      <x:c r="J552" s="4" t="n">
        <x:v>44.23</x:v>
      </x:c>
      <x:c r="K552" s="4" t="n">
        <x:v>18</x:v>
      </x:c>
      <x:c r="L552" s="5" t="n">
        <x:v>0.2</x:v>
      </x:c>
      <x:c r="M552" s="4" t="n">
        <x:f>ROUND(I552*J552*(1-L552),2)</x:f>
        <x:v>35.38</x:v>
      </x:c>
      <x:c r="N552" s="4" t="n">
        <x:f>ROUND(I552*K552,2)</x:f>
        <x:v>18</x:v>
      </x:c>
      <x:c r="O552" s="4" t="n">
        <x:f>ROUND(M552-N552,2)</x:f>
        <x:v>17.38</x:v>
      </x:c>
      <x:c r="P552" s="6" t="n">
        <x:v>5</x:v>
      </x:c>
      <x:c r="Q552" t="str">
        <x:v>No</x:v>
      </x:c>
    </x:row>
    <x:row r="553">
      <x:c r="A553" t="str">
        <x:v>ORD-00188</x:v>
      </x:c>
      <x:c r="B553" s="3" t="n">
        <x:v>45524.141776805554</x:v>
      </x:c>
      <x:c r="C553" t="str">
        <x:v>2024-08</x:v>
      </x:c>
      <x:c r="D553" t="str">
        <x:v>CUS-0419</x:v>
      </x:c>
      <x:c r="E553" t="str">
        <x:v>South West</x:v>
      </x:c>
      <x:c r="F553" t="str">
        <x:v>Store</x:v>
      </x:c>
      <x:c r="G553" t="str">
        <x:v>Home</x:v>
      </x:c>
      <x:c r="H553" t="str">
        <x:v>Coffee Maker</x:v>
      </x:c>
      <x:c r="I553" t="n">
        <x:v>4</x:v>
      </x:c>
      <x:c r="J553" s="4" t="n">
        <x:v>74.17</x:v>
      </x:c>
      <x:c r="K553" s="4" t="n">
        <x:v>41</x:v>
      </x:c>
      <x:c r="L553" s="5" t="n">
        <x:v>0</x:v>
      </x:c>
      <x:c r="M553" s="4" t="n">
        <x:f>ROUND(I553*J553*(1-L553),2)</x:f>
        <x:v>296.68</x:v>
      </x:c>
      <x:c r="N553" s="4" t="n">
        <x:f>ROUND(I553*K553,2)</x:f>
        <x:v>164</x:v>
      </x:c>
      <x:c r="O553" s="4" t="n">
        <x:f>ROUND(M553-N553,2)</x:f>
        <x:v>132.68</x:v>
      </x:c>
      <x:c r="P553" s="6" t="n">
        <x:v>5</x:v>
      </x:c>
      <x:c r="Q553" t="str">
        <x:v>No</x:v>
      </x:c>
    </x:row>
    <x:row r="554">
      <x:c r="A554" t="str">
        <x:v>ORD-01732</x:v>
      </x:c>
      <x:c r="B554" s="3" t="n">
        <x:v>45524.28349612268</x:v>
      </x:c>
      <x:c r="C554" t="str">
        <x:v>2024-08</x:v>
      </x:c>
      <x:c r="D554" t="str">
        <x:v>CUS-0497</x:v>
      </x:c>
      <x:c r="E554" t="str">
        <x:v>London</x:v>
      </x:c>
      <x:c r="F554" t="str">
        <x:v>Online</x:v>
      </x:c>
      <x:c r="G554" t="str">
        <x:v>Sports</x:v>
      </x:c>
      <x:c r="H554" t="str">
        <x:v>Running Shoes</x:v>
      </x:c>
      <x:c r="I554" t="n">
        <x:v>1</x:v>
      </x:c>
      <x:c r="J554" s="4" t="n">
        <x:v>83.45</x:v>
      </x:c>
      <x:c r="K554" s="4" t="n">
        <x:v>38</x:v>
      </x:c>
      <x:c r="L554" s="5" t="n">
        <x:v>0.05</x:v>
      </x:c>
      <x:c r="M554" s="4" t="n">
        <x:f>ROUND(I554*J554*(1-L554),2)</x:f>
        <x:v>79.28</x:v>
      </x:c>
      <x:c r="N554" s="4" t="n">
        <x:f>ROUND(I554*K554,2)</x:f>
        <x:v>38</x:v>
      </x:c>
      <x:c r="O554" s="4" t="n">
        <x:f>ROUND(M554-N554,2)</x:f>
        <x:v>41.28</x:v>
      </x:c>
      <x:c r="P554" s="6" t="n">
        <x:v>4.8</x:v>
      </x:c>
      <x:c r="Q554" t="str">
        <x:v>No</x:v>
      </x:c>
    </x:row>
    <x:row r="555">
      <x:c r="A555" t="str">
        <x:v>ORD-01433</x:v>
      </x:c>
      <x:c r="B555" s="3" t="n">
        <x:v>45525.317117708335</x:v>
      </x:c>
      <x:c r="C555" t="str">
        <x:v>2024-08</x:v>
      </x:c>
      <x:c r="D555" t="str">
        <x:v>CUS-0147</x:v>
      </x:c>
      <x:c r="E555" t="str">
        <x:v>Scotland</x:v>
      </x:c>
      <x:c r="F555" t="str">
        <x:v>Marketplace</x:v>
      </x:c>
      <x:c r="G555" t="str">
        <x:v>Home</x:v>
      </x:c>
      <x:c r="H555" t="str">
        <x:v>Coffee Maker</x:v>
      </x:c>
      <x:c r="I555" t="n">
        <x:v>4</x:v>
      </x:c>
      <x:c r="J555" s="4" t="n">
        <x:v>76.26</x:v>
      </x:c>
      <x:c r="K555" s="4" t="n">
        <x:v>41</x:v>
      </x:c>
      <x:c r="L555" s="5" t="n">
        <x:v>0.05</x:v>
      </x:c>
      <x:c r="M555" s="4" t="n">
        <x:f>ROUND(I555*J555*(1-L555),2)</x:f>
        <x:v>289.79</x:v>
      </x:c>
      <x:c r="N555" s="4" t="n">
        <x:f>ROUND(I555*K555,2)</x:f>
        <x:v>164</x:v>
      </x:c>
      <x:c r="O555" s="4" t="n">
        <x:f>ROUND(M555-N555,2)</x:f>
        <x:v>125.79</x:v>
      </x:c>
      <x:c r="P555" s="6" t="n">
        <x:v>3.3</x:v>
      </x:c>
      <x:c r="Q555" t="str">
        <x:v>No</x:v>
      </x:c>
    </x:row>
    <x:row r="556">
      <x:c r="A556" t="str">
        <x:v>ORD-00223</x:v>
      </x:c>
      <x:c r="B556" s="3" t="n">
        <x:v>45525.4233419213</x:v>
      </x:c>
      <x:c r="C556" t="str">
        <x:v>2024-08</x:v>
      </x:c>
      <x:c r="D556" t="str">
        <x:v>CUS-0195</x:v>
      </x:c>
      <x:c r="E556" t="str">
        <x:v>Wales</x:v>
      </x:c>
      <x:c r="F556" t="str">
        <x:v>Store</x:v>
      </x:c>
      <x:c r="G556" t="str">
        <x:v>Sports</x:v>
      </x:c>
      <x:c r="H556" t="str">
        <x:v>Running Shoes</x:v>
      </x:c>
      <x:c r="I556" t="n">
        <x:v>1</x:v>
      </x:c>
      <x:c r="J556" s="4" t="n">
        <x:v>82.88</x:v>
      </x:c>
      <x:c r="K556" s="4" t="n">
        <x:v>38</x:v>
      </x:c>
      <x:c r="L556" s="5" t="n">
        <x:v>0.2</x:v>
      </x:c>
      <x:c r="M556" s="4" t="n">
        <x:f>ROUND(I556*J556*(1-L556),2)</x:f>
        <x:v>66.3</x:v>
      </x:c>
      <x:c r="N556" s="4" t="n">
        <x:f>ROUND(I556*K556,2)</x:f>
        <x:v>38</x:v>
      </x:c>
      <x:c r="O556" s="4" t="n">
        <x:f>ROUND(M556-N556,2)</x:f>
        <x:v>28.3</x:v>
      </x:c>
      <x:c r="P556" s="6" t="n">
        <x:v>4.8</x:v>
      </x:c>
      <x:c r="Q556" t="str">
        <x:v>No</x:v>
      </x:c>
    </x:row>
    <x:row r="557">
      <x:c r="A557" t="str">
        <x:v>ORD-01531</x:v>
      </x:c>
      <x:c r="B557" s="3" t="n">
        <x:v>45526.25199324074</x:v>
      </x:c>
      <x:c r="C557" t="str">
        <x:v>2024-08</x:v>
      </x:c>
      <x:c r="D557" t="str">
        <x:v>CUS-0226</x:v>
      </x:c>
      <x:c r="E557" t="str">
        <x:v>Midlands</x:v>
      </x:c>
      <x:c r="F557" t="str">
        <x:v>Online</x:v>
      </x:c>
      <x:c r="G557" t="str">
        <x:v>Books</x:v>
      </x:c>
      <x:c r="H557" t="str">
        <x:v>Data Analytics Handbook</x:v>
      </x:c>
      <x:c r="I557" t="n">
        <x:v>4</x:v>
      </x:c>
      <x:c r="J557" s="4" t="n">
        <x:v>41.43</x:v>
      </x:c>
      <x:c r="K557" s="4" t="n">
        <x:v>14</x:v>
      </x:c>
      <x:c r="L557" s="5" t="n">
        <x:v>0.1</x:v>
      </x:c>
      <x:c r="M557" s="4" t="n">
        <x:f>ROUND(I557*J557*(1-L557),2)</x:f>
        <x:v>149.15</x:v>
      </x:c>
      <x:c r="N557" s="4" t="n">
        <x:f>ROUND(I557*K557,2)</x:f>
        <x:v>56</x:v>
      </x:c>
      <x:c r="O557" s="4" t="n">
        <x:f>ROUND(M557-N557,2)</x:f>
        <x:v>93.15</x:v>
      </x:c>
      <x:c r="P557" s="6" t="n">
        <x:v>4.6</x:v>
      </x:c>
      <x:c r="Q557" t="str">
        <x:v>No</x:v>
      </x:c>
    </x:row>
    <x:row r="558">
      <x:c r="A558" t="str">
        <x:v>ORD-01044</x:v>
      </x:c>
      <x:c r="B558" s="3" t="n">
        <x:v>45526.58266519676</x:v>
      </x:c>
      <x:c r="C558" t="str">
        <x:v>2024-08</x:v>
      </x:c>
      <x:c r="D558" t="str">
        <x:v>CUS-0586</x:v>
      </x:c>
      <x:c r="E558" t="str">
        <x:v>South West</x:v>
      </x:c>
      <x:c r="F558" t="str">
        <x:v>Store</x:v>
      </x:c>
      <x:c r="G558" t="str">
        <x:v>Books</x:v>
      </x:c>
      <x:c r="H558" t="str">
        <x:v>Data Analytics Handbook</x:v>
      </x:c>
      <x:c r="I558" t="n">
        <x:v>1</x:v>
      </x:c>
      <x:c r="J558" s="4" t="n">
        <x:v>40.86</x:v>
      </x:c>
      <x:c r="K558" s="4" t="n">
        <x:v>14</x:v>
      </x:c>
      <x:c r="L558" s="5" t="n">
        <x:v>0</x:v>
      </x:c>
      <x:c r="M558" s="4" t="n">
        <x:f>ROUND(I558*J558*(1-L558),2)</x:f>
        <x:v>40.86</x:v>
      </x:c>
      <x:c r="N558" s="4" t="n">
        <x:f>ROUND(I558*K558,2)</x:f>
        <x:v>14</x:v>
      </x:c>
      <x:c r="O558" s="4" t="n">
        <x:f>ROUND(M558-N558,2)</x:f>
        <x:v>26.86</x:v>
      </x:c>
      <x:c r="P558" s="6" t="n">
        <x:v>3.5</x:v>
      </x:c>
      <x:c r="Q558" t="str">
        <x:v>No</x:v>
      </x:c>
    </x:row>
    <x:row r="559">
      <x:c r="A559" t="str">
        <x:v>ORD-00427</x:v>
      </x:c>
      <x:c r="B559" s="3" t="n">
        <x:v>45527.33692258102</x:v>
      </x:c>
      <x:c r="C559" t="str">
        <x:v>2024-08</x:v>
      </x:c>
      <x:c r="D559" t="str">
        <x:v>CUS-0588</x:v>
      </x:c>
      <x:c r="E559" t="str">
        <x:v>Scotland</x:v>
      </x:c>
      <x:c r="F559" t="str">
        <x:v>Store</x:v>
      </x:c>
      <x:c r="G559" t="str">
        <x:v>Fashion</x:v>
      </x:c>
      <x:c r="H559" t="str">
        <x:v>Classic Trainers</x:v>
      </x:c>
      <x:c r="I559" t="n">
        <x:v>1</x:v>
      </x:c>
      <x:c r="J559" s="4" t="n">
        <x:v>71.57</x:v>
      </x:c>
      <x:c r="K559" s="4" t="n">
        <x:v>32</x:v>
      </x:c>
      <x:c r="L559" s="5" t="n">
        <x:v>0.05</x:v>
      </x:c>
      <x:c r="M559" s="4" t="n">
        <x:f>ROUND(I559*J559*(1-L559),2)</x:f>
        <x:v>67.99</x:v>
      </x:c>
      <x:c r="N559" s="4" t="n">
        <x:f>ROUND(I559*K559,2)</x:f>
        <x:v>32</x:v>
      </x:c>
      <x:c r="O559" s="4" t="n">
        <x:f>ROUND(M559-N559,2)</x:f>
        <x:v>35.99</x:v>
      </x:c>
      <x:c r="P559" s="6" t="n">
        <x:v>3.5</x:v>
      </x:c>
      <x:c r="Q559" t="str">
        <x:v>No</x:v>
      </x:c>
    </x:row>
    <x:row r="560">
      <x:c r="A560" t="str">
        <x:v>ORD-00564</x:v>
      </x:c>
      <x:c r="B560" s="3" t="n">
        <x:v>45527.34952082176</x:v>
      </x:c>
      <x:c r="C560" t="str">
        <x:v>2024-08</x:v>
      </x:c>
      <x:c r="D560" t="str">
        <x:v>CUS-0171</x:v>
      </x:c>
      <x:c r="E560" t="str">
        <x:v>Scotland</x:v>
      </x:c>
      <x:c r="F560" t="str">
        <x:v>Store</x:v>
      </x:c>
      <x:c r="G560" t="str">
        <x:v>Sports</x:v>
      </x:c>
      <x:c r="H560" t="str">
        <x:v>Yoga Mat</x:v>
      </x:c>
      <x:c r="I560" t="n">
        <x:v>1</x:v>
      </x:c>
      <x:c r="J560" s="4" t="n">
        <x:v>29.85</x:v>
      </x:c>
      <x:c r="K560" s="4" t="n">
        <x:v>12</x:v>
      </x:c>
      <x:c r="L560" s="5" t="n">
        <x:v>0.05</x:v>
      </x:c>
      <x:c r="M560" s="4" t="n">
        <x:f>ROUND(I560*J560*(1-L560),2)</x:f>
        <x:v>28.36</x:v>
      </x:c>
      <x:c r="N560" s="4" t="n">
        <x:f>ROUND(I560*K560,2)</x:f>
        <x:v>12</x:v>
      </x:c>
      <x:c r="O560" s="4" t="n">
        <x:f>ROUND(M560-N560,2)</x:f>
        <x:v>16.36</x:v>
      </x:c>
      <x:c r="P560" s="6" t="n">
        <x:v>5</x:v>
      </x:c>
      <x:c r="Q560" t="str">
        <x:v>No</x:v>
      </x:c>
    </x:row>
    <x:row r="561">
      <x:c r="A561" t="str">
        <x:v>ORD-01258</x:v>
      </x:c>
      <x:c r="B561" s="3" t="n">
        <x:v>45527.37842530093</x:v>
      </x:c>
      <x:c r="C561" t="str">
        <x:v>2024-08</x:v>
      </x:c>
      <x:c r="D561" t="str">
        <x:v>CUS-0269</x:v>
      </x:c>
      <x:c r="E561" t="str">
        <x:v>Scotland</x:v>
      </x:c>
      <x:c r="F561" t="str">
        <x:v>Store</x:v>
      </x:c>
      <x:c r="G561" t="str">
        <x:v>Home</x:v>
      </x:c>
      <x:c r="H561" t="str">
        <x:v>Desk Lamp</x:v>
      </x:c>
      <x:c r="I561" t="n">
        <x:v>2</x:v>
      </x:c>
      <x:c r="J561" s="4" t="n">
        <x:v>34.84</x:v>
      </x:c>
      <x:c r="K561" s="4" t="n">
        <x:v>17</x:v>
      </x:c>
      <x:c r="L561" s="5" t="n">
        <x:v>0.2</x:v>
      </x:c>
      <x:c r="M561" s="4" t="n">
        <x:f>ROUND(I561*J561*(1-L561),2)</x:f>
        <x:v>55.74</x:v>
      </x:c>
      <x:c r="N561" s="4" t="n">
        <x:f>ROUND(I561*K561,2)</x:f>
        <x:v>34</x:v>
      </x:c>
      <x:c r="O561" s="4" t="n">
        <x:f>ROUND(M561-N561,2)</x:f>
        <x:v>21.74</x:v>
      </x:c>
      <x:c r="P561" s="6" t="n">
        <x:v>3.6</x:v>
      </x:c>
      <x:c r="Q561" t="str">
        <x:v>No</x:v>
      </x:c>
    </x:row>
    <x:row r="562">
      <x:c r="A562" t="str">
        <x:v>ORD-01108</x:v>
      </x:c>
      <x:c r="B562" s="3" t="n">
        <x:v>45527.41218810185</x:v>
      </x:c>
      <x:c r="C562" t="str">
        <x:v>2024-08</x:v>
      </x:c>
      <x:c r="D562" t="str">
        <x:v>CUS-0219</x:v>
      </x:c>
      <x:c r="E562" t="str">
        <x:v>Midlands</x:v>
      </x:c>
      <x:c r="F562" t="str">
        <x:v>Marketplace</x:v>
      </x:c>
      <x:c r="G562" t="str">
        <x:v>Home</x:v>
      </x:c>
      <x:c r="H562" t="str">
        <x:v>Desk Lamp</x:v>
      </x:c>
      <x:c r="I562" t="n">
        <x:v>5</x:v>
      </x:c>
      <x:c r="J562" s="4" t="n">
        <x:v>35.11</x:v>
      </x:c>
      <x:c r="K562" s="4" t="n">
        <x:v>17</x:v>
      </x:c>
      <x:c r="L562" s="5" t="n">
        <x:v>0</x:v>
      </x:c>
      <x:c r="M562" s="4" t="n">
        <x:f>ROUND(I562*J562*(1-L562),2)</x:f>
        <x:v>175.55</x:v>
      </x:c>
      <x:c r="N562" s="4" t="n">
        <x:f>ROUND(I562*K562,2)</x:f>
        <x:v>85</x:v>
      </x:c>
      <x:c r="O562" s="4" t="n">
        <x:f>ROUND(M562-N562,2)</x:f>
        <x:v>90.55</x:v>
      </x:c>
      <x:c r="P562" s="6" t="n">
        <x:v>4.6</x:v>
      </x:c>
      <x:c r="Q562" t="str">
        <x:v>No</x:v>
      </x:c>
    </x:row>
    <x:row r="563">
      <x:c r="A563" t="str">
        <x:v>ORD-01309</x:v>
      </x:c>
      <x:c r="B563" s="3" t="n">
        <x:v>45527.69337400463</x:v>
      </x:c>
      <x:c r="C563" t="str">
        <x:v>2024-08</x:v>
      </x:c>
      <x:c r="D563" t="str">
        <x:v>CUS-0397</x:v>
      </x:c>
      <x:c r="E563" t="str">
        <x:v>Scotland</x:v>
      </x:c>
      <x:c r="F563" t="str">
        <x:v>Marketplace</x:v>
      </x:c>
      <x:c r="G563" t="str">
        <x:v>Sports</x:v>
      </x:c>
      <x:c r="H563" t="str">
        <x:v>Yoga Mat</x:v>
      </x:c>
      <x:c r="I563" t="n">
        <x:v>5</x:v>
      </x:c>
      <x:c r="J563" s="4" t="n">
        <x:v>28.5</x:v>
      </x:c>
      <x:c r="K563" s="4" t="n">
        <x:v>12</x:v>
      </x:c>
      <x:c r="L563" s="5" t="n">
        <x:v>0.05</x:v>
      </x:c>
      <x:c r="M563" s="4" t="n">
        <x:f>ROUND(I563*J563*(1-L563),2)</x:f>
        <x:v>135.38</x:v>
      </x:c>
      <x:c r="N563" s="4" t="n">
        <x:f>ROUND(I563*K563,2)</x:f>
        <x:v>60</x:v>
      </x:c>
      <x:c r="O563" s="4" t="n">
        <x:f>ROUND(M563-N563,2)</x:f>
        <x:v>75.38</x:v>
      </x:c>
      <x:c r="P563" s="6" t="n">
        <x:v>3.5</x:v>
      </x:c>
      <x:c r="Q563" t="str">
        <x:v>No</x:v>
      </x:c>
    </x:row>
    <x:row r="564">
      <x:c r="A564" t="str">
        <x:v>ORD-01167</x:v>
      </x:c>
      <x:c r="B564" s="3" t="n">
        <x:v>45527.6964803125</x:v>
      </x:c>
      <x:c r="C564" t="str">
        <x:v>2024-08</x:v>
      </x:c>
      <x:c r="D564" t="str">
        <x:v>CUS-0170</x:v>
      </x:c>
      <x:c r="E564" t="str">
        <x:v>South East</x:v>
      </x:c>
      <x:c r="F564" t="str">
        <x:v>Online</x:v>
      </x:c>
      <x:c r="G564" t="str">
        <x:v>Fashion</x:v>
      </x:c>
      <x:c r="H564" t="str">
        <x:v>Winter Jacket</x:v>
      </x:c>
      <x:c r="I564" t="n">
        <x:v>3</x:v>
      </x:c>
      <x:c r="J564" s="4" t="n">
        <x:v>95.14</x:v>
      </x:c>
      <x:c r="K564" s="4" t="n">
        <x:v>46</x:v>
      </x:c>
      <x:c r="L564" s="5" t="n">
        <x:v>0</x:v>
      </x:c>
      <x:c r="M564" s="4" t="n">
        <x:f>ROUND(I564*J564*(1-L564),2)</x:f>
        <x:v>285.42</x:v>
      </x:c>
      <x:c r="N564" s="4" t="n">
        <x:f>ROUND(I564*K564,2)</x:f>
        <x:v>138</x:v>
      </x:c>
      <x:c r="O564" s="4" t="n">
        <x:f>ROUND(M564-N564,2)</x:f>
        <x:v>147.42</x:v>
      </x:c>
      <x:c r="P564" s="6" t="n">
        <x:v>4.2</x:v>
      </x:c>
      <x:c r="Q564" t="str">
        <x:v>No</x:v>
      </x:c>
    </x:row>
    <x:row r="565">
      <x:c r="A565" t="str">
        <x:v>ORD-00449</x:v>
      </x:c>
      <x:c r="B565" s="3" t="n">
        <x:v>45527.76793214121</x:v>
      </x:c>
      <x:c r="C565" t="str">
        <x:v>2024-08</x:v>
      </x:c>
      <x:c r="D565" t="str">
        <x:v>CUS-0043</x:v>
      </x:c>
      <x:c r="E565" t="str">
        <x:v>North East</x:v>
      </x:c>
      <x:c r="F565" t="str">
        <x:v>Marketplace</x:v>
      </x:c>
      <x:c r="G565" t="str">
        <x:v>Sports</x:v>
      </x:c>
      <x:c r="H565" t="str">
        <x:v>Yoga Mat</x:v>
      </x:c>
      <x:c r="I565" t="n">
        <x:v>2</x:v>
      </x:c>
      <x:c r="J565" s="4" t="n">
        <x:v>30.74</x:v>
      </x:c>
      <x:c r="K565" s="4" t="n">
        <x:v>12</x:v>
      </x:c>
      <x:c r="L565" s="5" t="n">
        <x:v>0</x:v>
      </x:c>
      <x:c r="M565" s="4" t="n">
        <x:f>ROUND(I565*J565*(1-L565),2)</x:f>
        <x:v>61.48</x:v>
      </x:c>
      <x:c r="N565" s="4" t="n">
        <x:f>ROUND(I565*K565,2)</x:f>
        <x:v>24</x:v>
      </x:c>
      <x:c r="O565" s="4" t="n">
        <x:f>ROUND(M565-N565,2)</x:f>
        <x:v>37.48</x:v>
      </x:c>
      <x:c r="P565" s="6" t="n">
        <x:v>5</x:v>
      </x:c>
      <x:c r="Q565" t="str">
        <x:v>No</x:v>
      </x:c>
    </x:row>
    <x:row r="566">
      <x:c r="A566" t="str">
        <x:v>ORD-00817</x:v>
      </x:c>
      <x:c r="B566" s="3" t="n">
        <x:v>45528.11949873842</x:v>
      </x:c>
      <x:c r="C566" t="str">
        <x:v>2024-08</x:v>
      </x:c>
      <x:c r="D566" t="str">
        <x:v>CUS-0469</x:v>
      </x:c>
      <x:c r="E566" t="str">
        <x:v>Scotland</x:v>
      </x:c>
      <x:c r="F566" t="str">
        <x:v>Store</x:v>
      </x:c>
      <x:c r="G566" t="str">
        <x:v>Electronics</x:v>
      </x:c>
      <x:c r="H566" t="str">
        <x:v>Smart Watch</x:v>
      </x:c>
      <x:c r="I566" t="n">
        <x:v>2</x:v>
      </x:c>
      <x:c r="J566" s="4" t="n">
        <x:v>154.86</x:v>
      </x:c>
      <x:c r="K566" s="4" t="n">
        <x:v>92</x:v>
      </x:c>
      <x:c r="L566" s="5" t="n">
        <x:v>0.15</x:v>
      </x:c>
      <x:c r="M566" s="4" t="n">
        <x:f>ROUND(I566*J566*(1-L566),2)</x:f>
        <x:v>263.26</x:v>
      </x:c>
      <x:c r="N566" s="4" t="n">
        <x:f>ROUND(I566*K566,2)</x:f>
        <x:v>184</x:v>
      </x:c>
      <x:c r="O566" s="4" t="n">
        <x:f>ROUND(M566-N566,2)</x:f>
        <x:v>79.26</x:v>
      </x:c>
      <x:c r="P566" s="6" t="n">
        <x:v>4.7</x:v>
      </x:c>
      <x:c r="Q566" t="str">
        <x:v>No</x:v>
      </x:c>
    </x:row>
    <x:row r="567">
      <x:c r="A567" t="str">
        <x:v>ORD-00482</x:v>
      </x:c>
      <x:c r="B567" s="3" t="n">
        <x:v>45528.27118930555</x:v>
      </x:c>
      <x:c r="C567" t="str">
        <x:v>2024-08</x:v>
      </x:c>
      <x:c r="D567" t="str">
        <x:v>CUS-0063</x:v>
      </x:c>
      <x:c r="E567" t="str">
        <x:v>South West</x:v>
      </x:c>
      <x:c r="F567" t="str">
        <x:v>Store</x:v>
      </x:c>
      <x:c r="G567" t="str">
        <x:v>Electronics</x:v>
      </x:c>
      <x:c r="H567" t="str">
        <x:v>Wireless Headphones</x:v>
      </x:c>
      <x:c r="I567" t="n">
        <x:v>1</x:v>
      </x:c>
      <x:c r="J567" s="4" t="n">
        <x:v>88.4</x:v>
      </x:c>
      <x:c r="K567" s="4" t="n">
        <x:v>48</x:v>
      </x:c>
      <x:c r="L567" s="5" t="n">
        <x:v>0</x:v>
      </x:c>
      <x:c r="M567" s="4" t="n">
        <x:f>ROUND(I567*J567*(1-L567),2)</x:f>
        <x:v>88.4</x:v>
      </x:c>
      <x:c r="N567" s="4" t="n">
        <x:f>ROUND(I567*K567,2)</x:f>
        <x:v>48</x:v>
      </x:c>
      <x:c r="O567" s="4" t="n">
        <x:f>ROUND(M567-N567,2)</x:f>
        <x:v>40.4</x:v>
      </x:c>
      <x:c r="P567" s="6" t="n">
        <x:v>4.3</x:v>
      </x:c>
      <x:c r="Q567" t="str">
        <x:v>No</x:v>
      </x:c>
    </x:row>
    <x:row r="568">
      <x:c r="A568" t="str">
        <x:v>ORD-00572</x:v>
      </x:c>
      <x:c r="B568" s="3" t="n">
        <x:v>45528.69285070602</x:v>
      </x:c>
      <x:c r="C568" t="str">
        <x:v>2024-08</x:v>
      </x:c>
      <x:c r="D568" t="str">
        <x:v>CUS-0114</x:v>
      </x:c>
      <x:c r="E568" t="str">
        <x:v>South East</x:v>
      </x:c>
      <x:c r="F568" t="str">
        <x:v>Store</x:v>
      </x:c>
      <x:c r="G568" t="str">
        <x:v>Sports</x:v>
      </x:c>
      <x:c r="H568" t="str">
        <x:v>Yoga Mat</x:v>
      </x:c>
      <x:c r="I568" t="n">
        <x:v>4</x:v>
      </x:c>
      <x:c r="J568" s="4" t="n">
        <x:v>29.84</x:v>
      </x:c>
      <x:c r="K568" s="4" t="n">
        <x:v>12</x:v>
      </x:c>
      <x:c r="L568" s="5" t="n">
        <x:v>0</x:v>
      </x:c>
      <x:c r="M568" s="4" t="n">
        <x:f>ROUND(I568*J568*(1-L568),2)</x:f>
        <x:v>119.36</x:v>
      </x:c>
      <x:c r="N568" s="4" t="n">
        <x:f>ROUND(I568*K568,2)</x:f>
        <x:v>48</x:v>
      </x:c>
      <x:c r="O568" s="4" t="n">
        <x:f>ROUND(M568-N568,2)</x:f>
        <x:v>71.36</x:v>
      </x:c>
      <x:c r="P568" s="6" t="n">
        <x:v>4.6</x:v>
      </x:c>
      <x:c r="Q568" t="str">
        <x:v>No</x:v>
      </x:c>
    </x:row>
    <x:row r="569">
      <x:c r="A569" t="str">
        <x:v>ORD-01755</x:v>
      </x:c>
      <x:c r="B569" s="3" t="n">
        <x:v>45529.56198087963</x:v>
      </x:c>
      <x:c r="C569" t="str">
        <x:v>2024-08</x:v>
      </x:c>
      <x:c r="D569" t="str">
        <x:v>CUS-0095</x:v>
      </x:c>
      <x:c r="E569" t="str">
        <x:v>North East</x:v>
      </x:c>
      <x:c r="F569" t="str">
        <x:v>Marketplace</x:v>
      </x:c>
      <x:c r="G569" t="str">
        <x:v>Home</x:v>
      </x:c>
      <x:c r="H569" t="str">
        <x:v>Coffee Maker</x:v>
      </x:c>
      <x:c r="I569" t="n">
        <x:v>2</x:v>
      </x:c>
      <x:c r="J569" s="4" t="n">
        <x:v>72.67</x:v>
      </x:c>
      <x:c r="K569" s="4" t="n">
        <x:v>41</x:v>
      </x:c>
      <x:c r="L569" s="5" t="n">
        <x:v>0.05</x:v>
      </x:c>
      <x:c r="M569" s="4" t="n">
        <x:f>ROUND(I569*J569*(1-L569),2)</x:f>
        <x:v>138.07</x:v>
      </x:c>
      <x:c r="N569" s="4" t="n">
        <x:f>ROUND(I569*K569,2)</x:f>
        <x:v>82</x:v>
      </x:c>
      <x:c r="O569" s="4" t="n">
        <x:f>ROUND(M569-N569,2)</x:f>
        <x:v>56.07</x:v>
      </x:c>
      <x:c r="P569" s="6" t="n">
        <x:v>5</x:v>
      </x:c>
      <x:c r="Q569" t="str">
        <x:v>No</x:v>
      </x:c>
    </x:row>
    <x:row r="570">
      <x:c r="A570" t="str">
        <x:v>ORD-01177</x:v>
      </x:c>
      <x:c r="B570" s="3" t="n">
        <x:v>45530.466690787034</x:v>
      </x:c>
      <x:c r="C570" t="str">
        <x:v>2024-08</x:v>
      </x:c>
      <x:c r="D570" t="str">
        <x:v>CUS-0513</x:v>
      </x:c>
      <x:c r="E570" t="str">
        <x:v>Wales</x:v>
      </x:c>
      <x:c r="F570" t="str">
        <x:v>Online</x:v>
      </x:c>
      <x:c r="G570" t="str">
        <x:v>Electronics</x:v>
      </x:c>
      <x:c r="H570" t="str">
        <x:v>Smart Watch</x:v>
      </x:c>
      <x:c r="I570" t="n">
        <x:v>1</x:v>
      </x:c>
      <x:c r="J570" s="4" t="n">
        <x:v>163.45</x:v>
      </x:c>
      <x:c r="K570" s="4" t="n">
        <x:v>92</x:v>
      </x:c>
      <x:c r="L570" s="5" t="n">
        <x:v>0.15</x:v>
      </x:c>
      <x:c r="M570" s="4" t="n">
        <x:f>ROUND(I570*J570*(1-L570),2)</x:f>
        <x:v>138.93</x:v>
      </x:c>
      <x:c r="N570" s="4" t="n">
        <x:f>ROUND(I570*K570,2)</x:f>
        <x:v>92</x:v>
      </x:c>
      <x:c r="O570" s="4" t="n">
        <x:f>ROUND(M570-N570,2)</x:f>
        <x:v>46.93</x:v>
      </x:c>
      <x:c r="P570" s="6" t="n">
        <x:v>3.5</x:v>
      </x:c>
      <x:c r="Q570" t="str">
        <x:v>No</x:v>
      </x:c>
    </x:row>
    <x:row r="571">
      <x:c r="A571" t="str">
        <x:v>ORD-01020</x:v>
      </x:c>
      <x:c r="B571" s="3" t="n">
        <x:v>45530.655192673614</x:v>
      </x:c>
      <x:c r="C571" t="str">
        <x:v>2024-08</x:v>
      </x:c>
      <x:c r="D571" t="str">
        <x:v>CUS-0106</x:v>
      </x:c>
      <x:c r="E571" t="str">
        <x:v>Scotland</x:v>
      </x:c>
      <x:c r="F571" t="str">
        <x:v>Marketplace</x:v>
      </x:c>
      <x:c r="G571" t="str">
        <x:v>Books</x:v>
      </x:c>
      <x:c r="H571" t="str">
        <x:v>Business Intelligence Guide</x:v>
      </x:c>
      <x:c r="I571" t="n">
        <x:v>3</x:v>
      </x:c>
      <x:c r="J571" s="4" t="n">
        <x:v>36.27</x:v>
      </x:c>
      <x:c r="K571" s="4" t="n">
        <x:v>12</x:v>
      </x:c>
      <x:c r="L571" s="5" t="n">
        <x:v>0</x:v>
      </x:c>
      <x:c r="M571" s="4" t="n">
        <x:f>ROUND(I571*J571*(1-L571),2)</x:f>
        <x:v>108.81</x:v>
      </x:c>
      <x:c r="N571" s="4" t="n">
        <x:f>ROUND(I571*K571,2)</x:f>
        <x:v>36</x:v>
      </x:c>
      <x:c r="O571" s="4" t="n">
        <x:f>ROUND(M571-N571,2)</x:f>
        <x:v>72.81</x:v>
      </x:c>
      <x:c r="P571" s="6" t="n">
        <x:v>3.6</x:v>
      </x:c>
      <x:c r="Q571" t="str">
        <x:v>No</x:v>
      </x:c>
    </x:row>
    <x:row r="572">
      <x:c r="A572" t="str">
        <x:v>ORD-01663</x:v>
      </x:c>
      <x:c r="B572" s="3" t="n">
        <x:v>45530.90600559028</x:v>
      </x:c>
      <x:c r="C572" t="str">
        <x:v>2024-08</x:v>
      </x:c>
      <x:c r="D572" t="str">
        <x:v>CUS-0087</x:v>
      </x:c>
      <x:c r="E572" t="str">
        <x:v>North West</x:v>
      </x:c>
      <x:c r="F572" t="str">
        <x:v>Store</x:v>
      </x:c>
      <x:c r="G572" t="str">
        <x:v>Beauty</x:v>
      </x:c>
      <x:c r="H572" t="str">
        <x:v>Hair Dryer</x:v>
      </x:c>
      <x:c r="I572" t="n">
        <x:v>3</x:v>
      </x:c>
      <x:c r="J572" s="4" t="n">
        <x:v>60.05</x:v>
      </x:c>
      <x:c r="K572" s="4" t="n">
        <x:v>29</x:v>
      </x:c>
      <x:c r="L572" s="5" t="n">
        <x:v>0</x:v>
      </x:c>
      <x:c r="M572" s="4" t="n">
        <x:f>ROUND(I572*J572*(1-L572),2)</x:f>
        <x:v>180.15</x:v>
      </x:c>
      <x:c r="N572" s="4" t="n">
        <x:f>ROUND(I572*K572,2)</x:f>
        <x:v>87</x:v>
      </x:c>
      <x:c r="O572" s="4" t="n">
        <x:f>ROUND(M572-N572,2)</x:f>
        <x:v>93.15</x:v>
      </x:c>
      <x:c r="P572" s="6" t="n">
        <x:v>3.5</x:v>
      </x:c>
      <x:c r="Q572" t="str">
        <x:v>No</x:v>
      </x:c>
    </x:row>
    <x:row r="573">
      <x:c r="A573" t="str">
        <x:v>ORD-00909</x:v>
      </x:c>
      <x:c r="B573" s="3" t="n">
        <x:v>45531.38513603009</x:v>
      </x:c>
      <x:c r="C573" t="str">
        <x:v>2024-08</x:v>
      </x:c>
      <x:c r="D573" t="str">
        <x:v>CUS-0289</x:v>
      </x:c>
      <x:c r="E573" t="str">
        <x:v>South East</x:v>
      </x:c>
      <x:c r="F573" t="str">
        <x:v>Online</x:v>
      </x:c>
      <x:c r="G573" t="str">
        <x:v>Home</x:v>
      </x:c>
      <x:c r="H573" t="str">
        <x:v>Desk Lamp</x:v>
      </x:c>
      <x:c r="I573" t="n">
        <x:v>5</x:v>
      </x:c>
      <x:c r="J573" s="4" t="n">
        <x:v>35.37</x:v>
      </x:c>
      <x:c r="K573" s="4" t="n">
        <x:v>17</x:v>
      </x:c>
      <x:c r="L573" s="5" t="n">
        <x:v>0.1</x:v>
      </x:c>
      <x:c r="M573" s="4" t="n">
        <x:f>ROUND(I573*J573*(1-L573),2)</x:f>
        <x:v>159.17</x:v>
      </x:c>
      <x:c r="N573" s="4" t="n">
        <x:f>ROUND(I573*K573,2)</x:f>
        <x:v>85</x:v>
      </x:c>
      <x:c r="O573" s="4" t="n">
        <x:f>ROUND(M573-N573,2)</x:f>
        <x:v>74.17</x:v>
      </x:c>
      <x:c r="P573" s="6" t="n">
        <x:v>4.9</x:v>
      </x:c>
      <x:c r="Q573" t="str">
        <x:v>No</x:v>
      </x:c>
    </x:row>
    <x:row r="574">
      <x:c r="A574" t="str">
        <x:v>ORD-00512</x:v>
      </x:c>
      <x:c r="B574" s="3" t="n">
        <x:v>45531.798325289354</x:v>
      </x:c>
      <x:c r="C574" t="str">
        <x:v>2024-08</x:v>
      </x:c>
      <x:c r="D574" t="str">
        <x:v>CUS-0048</x:v>
      </x:c>
      <x:c r="E574" t="str">
        <x:v>Scotland</x:v>
      </x:c>
      <x:c r="F574" t="str">
        <x:v>Marketplace</x:v>
      </x:c>
      <x:c r="G574" t="str">
        <x:v>Sports</x:v>
      </x:c>
      <x:c r="H574" t="str">
        <x:v>Yoga Mat</x:v>
      </x:c>
      <x:c r="I574" t="n">
        <x:v>2</x:v>
      </x:c>
      <x:c r="J574" s="4" t="n">
        <x:v>30.34</x:v>
      </x:c>
      <x:c r="K574" s="4" t="n">
        <x:v>12</x:v>
      </x:c>
      <x:c r="L574" s="5" t="n">
        <x:v>0.1</x:v>
      </x:c>
      <x:c r="M574" s="4" t="n">
        <x:f>ROUND(I574*J574*(1-L574),2)</x:f>
        <x:v>54.61</x:v>
      </x:c>
      <x:c r="N574" s="4" t="n">
        <x:f>ROUND(I574*K574,2)</x:f>
        <x:v>24</x:v>
      </x:c>
      <x:c r="O574" s="4" t="n">
        <x:f>ROUND(M574-N574,2)</x:f>
        <x:v>30.61</x:v>
      </x:c>
      <x:c r="P574" s="6" t="n">
        <x:v>3.8</x:v>
      </x:c>
      <x:c r="Q574" t="str">
        <x:v>No</x:v>
      </x:c>
    </x:row>
    <x:row r="575">
      <x:c r="A575" t="str">
        <x:v>ORD-01407</x:v>
      </x:c>
      <x:c r="B575" s="3" t="n">
        <x:v>45532.04696127315</x:v>
      </x:c>
      <x:c r="C575" t="str">
        <x:v>2024-08</x:v>
      </x:c>
      <x:c r="D575" t="str">
        <x:v>CUS-0201</x:v>
      </x:c>
      <x:c r="E575" t="str">
        <x:v>Scotland</x:v>
      </x:c>
      <x:c r="F575" t="str">
        <x:v>Marketplace</x:v>
      </x:c>
      <x:c r="G575" t="str">
        <x:v>Sports</x:v>
      </x:c>
      <x:c r="H575" t="str">
        <x:v>Running Shoes</x:v>
      </x:c>
      <x:c r="I575" t="n">
        <x:v>4</x:v>
      </x:c>
      <x:c r="J575" s="4" t="n">
        <x:v>77.23</x:v>
      </x:c>
      <x:c r="K575" s="4" t="n">
        <x:v>38</x:v>
      </x:c>
      <x:c r="L575" s="5" t="n">
        <x:v>0.15</x:v>
      </x:c>
      <x:c r="M575" s="4" t="n">
        <x:f>ROUND(I575*J575*(1-L575),2)</x:f>
        <x:v>262.58</x:v>
      </x:c>
      <x:c r="N575" s="4" t="n">
        <x:f>ROUND(I575*K575,2)</x:f>
        <x:v>152</x:v>
      </x:c>
      <x:c r="O575" s="4" t="n">
        <x:f>ROUND(M575-N575,2)</x:f>
        <x:v>110.58</x:v>
      </x:c>
      <x:c r="P575" s="6" t="n">
        <x:v>3.5</x:v>
      </x:c>
      <x:c r="Q575" t="str">
        <x:v>No</x:v>
      </x:c>
    </x:row>
    <x:row r="576">
      <x:c r="A576" t="str">
        <x:v>ORD-00370</x:v>
      </x:c>
      <x:c r="B576" s="3" t="n">
        <x:v>45532.17377488426</x:v>
      </x:c>
      <x:c r="C576" t="str">
        <x:v>2024-08</x:v>
      </x:c>
      <x:c r="D576" t="str">
        <x:v>CUS-0226</x:v>
      </x:c>
      <x:c r="E576" t="str">
        <x:v>Scotland</x:v>
      </x:c>
      <x:c r="F576" t="str">
        <x:v>Online</x:v>
      </x:c>
      <x:c r="G576" t="str">
        <x:v>Fashion</x:v>
      </x:c>
      <x:c r="H576" t="str">
        <x:v>Winter Jacket</x:v>
      </x:c>
      <x:c r="I576" t="n">
        <x:v>4</x:v>
      </x:c>
      <x:c r="J576" s="4" t="n">
        <x:v>94.38</x:v>
      </x:c>
      <x:c r="K576" s="4" t="n">
        <x:v>46</x:v>
      </x:c>
      <x:c r="L576" s="5" t="n">
        <x:v>0.05</x:v>
      </x:c>
      <x:c r="M576" s="4" t="n">
        <x:f>ROUND(I576*J576*(1-L576),2)</x:f>
        <x:v>358.64</x:v>
      </x:c>
      <x:c r="N576" s="4" t="n">
        <x:f>ROUND(I576*K576,2)</x:f>
        <x:v>184</x:v>
      </x:c>
      <x:c r="O576" s="4" t="n">
        <x:f>ROUND(M576-N576,2)</x:f>
        <x:v>174.64</x:v>
      </x:c>
      <x:c r="P576" s="6" t="n">
        <x:v>3.8</x:v>
      </x:c>
      <x:c r="Q576" t="str">
        <x:v>No</x:v>
      </x:c>
    </x:row>
    <x:row r="577">
      <x:c r="A577" t="str">
        <x:v>ORD-00062</x:v>
      </x:c>
      <x:c r="B577" s="3" t="n">
        <x:v>45532.2269933912</x:v>
      </x:c>
      <x:c r="C577" t="str">
        <x:v>2024-08</x:v>
      </x:c>
      <x:c r="D577" t="str">
        <x:v>CUS-0144</x:v>
      </x:c>
      <x:c r="E577" t="str">
        <x:v>Midlands</x:v>
      </x:c>
      <x:c r="F577" t="str">
        <x:v>Marketplace</x:v>
      </x:c>
      <x:c r="G577" t="str">
        <x:v>Books</x:v>
      </x:c>
      <x:c r="H577" t="str">
        <x:v>Data Analytics Handbook</x:v>
      </x:c>
      <x:c r="I577" t="n">
        <x:v>1</x:v>
      </x:c>
      <x:c r="J577" s="4" t="n">
        <x:v>40.81</x:v>
      </x:c>
      <x:c r="K577" s="4" t="n">
        <x:v>14</x:v>
      </x:c>
      <x:c r="L577" s="5" t="n">
        <x:v>0.2</x:v>
      </x:c>
      <x:c r="M577" s="4" t="n">
        <x:f>ROUND(I577*J577*(1-L577),2)</x:f>
        <x:v>32.65</x:v>
      </x:c>
      <x:c r="N577" s="4" t="n">
        <x:f>ROUND(I577*K577,2)</x:f>
        <x:v>14</x:v>
      </x:c>
      <x:c r="O577" s="4" t="n">
        <x:f>ROUND(M577-N577,2)</x:f>
        <x:v>18.65</x:v>
      </x:c>
      <x:c r="P577" s="6" t="n">
        <x:v>5</x:v>
      </x:c>
      <x:c r="Q577" t="str">
        <x:v>No</x:v>
      </x:c>
    </x:row>
    <x:row r="578">
      <x:c r="A578" t="str">
        <x:v>ORD-01125</x:v>
      </x:c>
      <x:c r="B578" s="3" t="n">
        <x:v>45532.996022893516</x:v>
      </x:c>
      <x:c r="C578" t="str">
        <x:v>2024-08</x:v>
      </x:c>
      <x:c r="D578" t="str">
        <x:v>CUS-0326</x:v>
      </x:c>
      <x:c r="E578" t="str">
        <x:v>North East</x:v>
      </x:c>
      <x:c r="F578" t="str">
        <x:v>Store</x:v>
      </x:c>
      <x:c r="G578" t="str">
        <x:v>Sports</x:v>
      </x:c>
      <x:c r="H578" t="str">
        <x:v>Running Shoes</x:v>
      </x:c>
      <x:c r="I578" t="n">
        <x:v>2</x:v>
      </x:c>
      <x:c r="J578" s="4" t="n">
        <x:v>83.03</x:v>
      </x:c>
      <x:c r="K578" s="4" t="n">
        <x:v>38</x:v>
      </x:c>
      <x:c r="L578" s="5" t="n">
        <x:v>0.05</x:v>
      </x:c>
      <x:c r="M578" s="4" t="n">
        <x:f>ROUND(I578*J578*(1-L578),2)</x:f>
        <x:v>157.76</x:v>
      </x:c>
      <x:c r="N578" s="4" t="n">
        <x:f>ROUND(I578*K578,2)</x:f>
        <x:v>76</x:v>
      </x:c>
      <x:c r="O578" s="4" t="n">
        <x:f>ROUND(M578-N578,2)</x:f>
        <x:v>81.76</x:v>
      </x:c>
      <x:c r="P578" s="6" t="n">
        <x:v>4.7</x:v>
      </x:c>
      <x:c r="Q578" t="str">
        <x:v>No</x:v>
      </x:c>
    </x:row>
    <x:row r="579">
      <x:c r="A579" t="str">
        <x:v>ORD-00630</x:v>
      </x:c>
      <x:c r="B579" s="3" t="n">
        <x:v>45533.89219334491</x:v>
      </x:c>
      <x:c r="C579" t="str">
        <x:v>2024-08</x:v>
      </x:c>
      <x:c r="D579" t="str">
        <x:v>CUS-0023</x:v>
      </x:c>
      <x:c r="E579" t="str">
        <x:v>London</x:v>
      </x:c>
      <x:c r="F579" t="str">
        <x:v>Online</x:v>
      </x:c>
      <x:c r="G579" t="str">
        <x:v>Beauty</x:v>
      </x:c>
      <x:c r="H579" t="str">
        <x:v>Hair Dryer</x:v>
      </x:c>
      <x:c r="I579" t="n">
        <x:v>5</x:v>
      </x:c>
      <x:c r="J579" s="4" t="n">
        <x:v>60.76</x:v>
      </x:c>
      <x:c r="K579" s="4" t="n">
        <x:v>29</x:v>
      </x:c>
      <x:c r="L579" s="5" t="n">
        <x:v>0.1</x:v>
      </x:c>
      <x:c r="M579" s="4" t="n">
        <x:f>ROUND(I579*J579*(1-L579),2)</x:f>
        <x:v>273.42</x:v>
      </x:c>
      <x:c r="N579" s="4" t="n">
        <x:f>ROUND(I579*K579,2)</x:f>
        <x:v>145</x:v>
      </x:c>
      <x:c r="O579" s="4" t="n">
        <x:f>ROUND(M579-N579,2)</x:f>
        <x:v>128.42</x:v>
      </x:c>
      <x:c r="P579" s="6" t="n">
        <x:v>4</x:v>
      </x:c>
      <x:c r="Q579" t="str">
        <x:v>No</x:v>
      </x:c>
    </x:row>
    <x:row r="580">
      <x:c r="A580" t="str">
        <x:v>ORD-01138</x:v>
      </x:c>
      <x:c r="B580" s="3" t="n">
        <x:v>45534.209672847224</x:v>
      </x:c>
      <x:c r="C580" t="str">
        <x:v>2024-08</x:v>
      </x:c>
      <x:c r="D580" t="str">
        <x:v>CUS-0239</x:v>
      </x:c>
      <x:c r="E580" t="str">
        <x:v>Scotland</x:v>
      </x:c>
      <x:c r="F580" t="str">
        <x:v>Online</x:v>
      </x:c>
      <x:c r="G580" t="str">
        <x:v>Beauty</x:v>
      </x:c>
      <x:c r="H580" t="str">
        <x:v>Skin Care Set</x:v>
      </x:c>
      <x:c r="I580" t="n">
        <x:v>1</x:v>
      </x:c>
      <x:c r="J580" s="4" t="n">
        <x:v>44.32</x:v>
      </x:c>
      <x:c r="K580" s="4" t="n">
        <x:v>18</x:v>
      </x:c>
      <x:c r="L580" s="5" t="n">
        <x:v>0.05</x:v>
      </x:c>
      <x:c r="M580" s="4" t="n">
        <x:f>ROUND(I580*J580*(1-L580),2)</x:f>
        <x:v>42.1</x:v>
      </x:c>
      <x:c r="N580" s="4" t="n">
        <x:f>ROUND(I580*K580,2)</x:f>
        <x:v>18</x:v>
      </x:c>
      <x:c r="O580" s="4" t="n">
        <x:f>ROUND(M580-N580,2)</x:f>
        <x:v>24.1</x:v>
      </x:c>
      <x:c r="P580" s="6" t="n">
        <x:v>3.4</x:v>
      </x:c>
      <x:c r="Q580" t="str">
        <x:v>No</x:v>
      </x:c>
    </x:row>
    <x:row r="581">
      <x:c r="A581" t="str">
        <x:v>ORD-00510</x:v>
      </x:c>
      <x:c r="B581" s="3" t="n">
        <x:v>45534.45492888889</x:v>
      </x:c>
      <x:c r="C581" t="str">
        <x:v>2024-08</x:v>
      </x:c>
      <x:c r="D581" t="str">
        <x:v>CUS-0019</x:v>
      </x:c>
      <x:c r="E581" t="str">
        <x:v>Midlands</x:v>
      </x:c>
      <x:c r="F581" t="str">
        <x:v>Marketplace</x:v>
      </x:c>
      <x:c r="G581" t="str">
        <x:v>Books</x:v>
      </x:c>
      <x:c r="H581" t="str">
        <x:v>Business Intelligence Guide</x:v>
      </x:c>
      <x:c r="I581" t="n">
        <x:v>5</x:v>
      </x:c>
      <x:c r="J581" s="4" t="n">
        <x:v>35.98</x:v>
      </x:c>
      <x:c r="K581" s="4" t="n">
        <x:v>12</x:v>
      </x:c>
      <x:c r="L581" s="5" t="n">
        <x:v>0.1</x:v>
      </x:c>
      <x:c r="M581" s="4" t="n">
        <x:f>ROUND(I581*J581*(1-L581),2)</x:f>
        <x:v>161.91</x:v>
      </x:c>
      <x:c r="N581" s="4" t="n">
        <x:f>ROUND(I581*K581,2)</x:f>
        <x:v>60</x:v>
      </x:c>
      <x:c r="O581" s="4" t="n">
        <x:f>ROUND(M581-N581,2)</x:f>
        <x:v>101.91</x:v>
      </x:c>
      <x:c r="P581" s="6" t="n">
        <x:v>4.3</x:v>
      </x:c>
      <x:c r="Q581" t="str">
        <x:v>No</x:v>
      </x:c>
    </x:row>
    <x:row r="582">
      <x:c r="A582" t="str">
        <x:v>ORD-00550</x:v>
      </x:c>
      <x:c r="B582" s="3" t="n">
        <x:v>45535.633317962966</x:v>
      </x:c>
      <x:c r="C582" t="str">
        <x:v>2024-08</x:v>
      </x:c>
      <x:c r="D582" t="str">
        <x:v>CUS-0502</x:v>
      </x:c>
      <x:c r="E582" t="str">
        <x:v>Wales</x:v>
      </x:c>
      <x:c r="F582" t="str">
        <x:v>Store</x:v>
      </x:c>
      <x:c r="G582" t="str">
        <x:v>Books</x:v>
      </x:c>
      <x:c r="H582" t="str">
        <x:v>Data Analytics Handbook</x:v>
      </x:c>
      <x:c r="I582" t="n">
        <x:v>3</x:v>
      </x:c>
      <x:c r="J582" s="4" t="n">
        <x:v>41.64</x:v>
      </x:c>
      <x:c r="K582" s="4" t="n">
        <x:v>14</x:v>
      </x:c>
      <x:c r="L582" s="5" t="n">
        <x:v>0</x:v>
      </x:c>
      <x:c r="M582" s="4" t="n">
        <x:f>ROUND(I582*J582*(1-L582),2)</x:f>
        <x:v>124.92</x:v>
      </x:c>
      <x:c r="N582" s="4" t="n">
        <x:f>ROUND(I582*K582,2)</x:f>
        <x:v>42</x:v>
      </x:c>
      <x:c r="O582" s="4" t="n">
        <x:f>ROUND(M582-N582,2)</x:f>
        <x:v>82.92</x:v>
      </x:c>
      <x:c r="P582" s="6" t="n">
        <x:v>3.4</x:v>
      </x:c>
      <x:c r="Q582" t="str">
        <x:v>No</x:v>
      </x:c>
    </x:row>
    <x:row r="583">
      <x:c r="A583" t="str">
        <x:v>ORD-01247</x:v>
      </x:c>
      <x:c r="B583" s="3" t="n">
        <x:v>45536.09755628472</x:v>
      </x:c>
      <x:c r="C583" t="str">
        <x:v>2024-09</x:v>
      </x:c>
      <x:c r="D583" t="str">
        <x:v>CUS-0330</x:v>
      </x:c>
      <x:c r="E583" t="str">
        <x:v>Wales</x:v>
      </x:c>
      <x:c r="F583" t="str">
        <x:v>Store</x:v>
      </x:c>
      <x:c r="G583" t="str">
        <x:v>Sports</x:v>
      </x:c>
      <x:c r="H583" t="str">
        <x:v>Yoga Mat</x:v>
      </x:c>
      <x:c r="I583" t="n">
        <x:v>4</x:v>
      </x:c>
      <x:c r="J583" s="4" t="n">
        <x:v>30.62</x:v>
      </x:c>
      <x:c r="K583" s="4" t="n">
        <x:v>12</x:v>
      </x:c>
      <x:c r="L583" s="5" t="n">
        <x:v>0</x:v>
      </x:c>
      <x:c r="M583" s="4" t="n">
        <x:f>ROUND(I583*J583*(1-L583),2)</x:f>
        <x:v>122.48</x:v>
      </x:c>
      <x:c r="N583" s="4" t="n">
        <x:f>ROUND(I583*K583,2)</x:f>
        <x:v>48</x:v>
      </x:c>
      <x:c r="O583" s="4" t="n">
        <x:f>ROUND(M583-N583,2)</x:f>
        <x:v>74.48</x:v>
      </x:c>
      <x:c r="P583" s="6" t="n">
        <x:v>4</x:v>
      </x:c>
      <x:c r="Q583" t="str">
        <x:v>No</x:v>
      </x:c>
    </x:row>
    <x:row r="584">
      <x:c r="A584" t="str">
        <x:v>ORD-00377</x:v>
      </x:c>
      <x:c r="B584" s="3" t="n">
        <x:v>45536.674711087966</x:v>
      </x:c>
      <x:c r="C584" t="str">
        <x:v>2024-09</x:v>
      </x:c>
      <x:c r="D584" t="str">
        <x:v>CUS-0609</x:v>
      </x:c>
      <x:c r="E584" t="str">
        <x:v>London</x:v>
      </x:c>
      <x:c r="F584" t="str">
        <x:v>Store</x:v>
      </x:c>
      <x:c r="G584" t="str">
        <x:v>Sports</x:v>
      </x:c>
      <x:c r="H584" t="str">
        <x:v>Yoga Mat</x:v>
      </x:c>
      <x:c r="I584" t="n">
        <x:v>3</x:v>
      </x:c>
      <x:c r="J584" s="4" t="n">
        <x:v>29.05</x:v>
      </x:c>
      <x:c r="K584" s="4" t="n">
        <x:v>12</x:v>
      </x:c>
      <x:c r="L584" s="5" t="n">
        <x:v>0.2</x:v>
      </x:c>
      <x:c r="M584" s="4" t="n">
        <x:f>ROUND(I584*J584*(1-L584),2)</x:f>
        <x:v>69.72</x:v>
      </x:c>
      <x:c r="N584" s="4" t="n">
        <x:f>ROUND(I584*K584,2)</x:f>
        <x:v>36</x:v>
      </x:c>
      <x:c r="O584" s="4" t="n">
        <x:f>ROUND(M584-N584,2)</x:f>
        <x:v>33.72</x:v>
      </x:c>
      <x:c r="P584" s="6" t="n">
        <x:v>4.9</x:v>
      </x:c>
      <x:c r="Q584" t="str">
        <x:v>No</x:v>
      </x:c>
    </x:row>
    <x:row r="585">
      <x:c r="A585" t="str">
        <x:v>ORD-01162</x:v>
      </x:c>
      <x:c r="B585" s="3" t="n">
        <x:v>45536.809921712964</x:v>
      </x:c>
      <x:c r="C585" t="str">
        <x:v>2024-09</x:v>
      </x:c>
      <x:c r="D585" t="str">
        <x:v>CUS-0605</x:v>
      </x:c>
      <x:c r="E585" t="str">
        <x:v>Scotland</x:v>
      </x:c>
      <x:c r="F585" t="str">
        <x:v>Store</x:v>
      </x:c>
      <x:c r="G585" t="str">
        <x:v>Beauty</x:v>
      </x:c>
      <x:c r="H585" t="str">
        <x:v>Skin Care Set</x:v>
      </x:c>
      <x:c r="I585" t="n">
        <x:v>3</x:v>
      </x:c>
      <x:c r="J585" s="4" t="n">
        <x:v>43.74</x:v>
      </x:c>
      <x:c r="K585" s="4" t="n">
        <x:v>18</x:v>
      </x:c>
      <x:c r="L585" s="5" t="n">
        <x:v>0.2</x:v>
      </x:c>
      <x:c r="M585" s="4" t="n">
        <x:f>ROUND(I585*J585*(1-L585),2)</x:f>
        <x:v>104.98</x:v>
      </x:c>
      <x:c r="N585" s="4" t="n">
        <x:f>ROUND(I585*K585,2)</x:f>
        <x:v>54</x:v>
      </x:c>
      <x:c r="O585" s="4" t="n">
        <x:f>ROUND(M585-N585,2)</x:f>
        <x:v>50.98</x:v>
      </x:c>
      <x:c r="P585" s="6" t="n">
        <x:v>3.4</x:v>
      </x:c>
      <x:c r="Q585" t="str">
        <x:v>No</x:v>
      </x:c>
    </x:row>
    <x:row r="586">
      <x:c r="A586" t="str">
        <x:v>ORD-00296</x:v>
      </x:c>
      <x:c r="B586" s="3" t="n">
        <x:v>45537.13079034722</x:v>
      </x:c>
      <x:c r="C586" t="str">
        <x:v>2024-09</x:v>
      </x:c>
      <x:c r="D586" t="str">
        <x:v>CUS-0126</x:v>
      </x:c>
      <x:c r="E586" t="str">
        <x:v>South East</x:v>
      </x:c>
      <x:c r="F586" t="str">
        <x:v>Online</x:v>
      </x:c>
      <x:c r="G586" t="str">
        <x:v>Sports</x:v>
      </x:c>
      <x:c r="H586" t="str">
        <x:v>Running Shoes</x:v>
      </x:c>
      <x:c r="I586" t="n">
        <x:v>2</x:v>
      </x:c>
      <x:c r="J586" s="4" t="n">
        <x:v>76.4</x:v>
      </x:c>
      <x:c r="K586" s="4" t="n">
        <x:v>38</x:v>
      </x:c>
      <x:c r="L586" s="5" t="n">
        <x:v>0.2</x:v>
      </x:c>
      <x:c r="M586" s="4" t="n">
        <x:f>ROUND(I586*J586*(1-L586),2)</x:f>
        <x:v>122.24</x:v>
      </x:c>
      <x:c r="N586" s="4" t="n">
        <x:f>ROUND(I586*K586,2)</x:f>
        <x:v>76</x:v>
      </x:c>
      <x:c r="O586" s="4" t="n">
        <x:f>ROUND(M586-N586,2)</x:f>
        <x:v>46.24</x:v>
      </x:c>
      <x:c r="P586" s="6" t="n">
        <x:v>3.4</x:v>
      </x:c>
      <x:c r="Q586" t="str">
        <x:v>No</x:v>
      </x:c>
    </x:row>
    <x:row r="587">
      <x:c r="A587" t="str">
        <x:v>ORD-01339</x:v>
      </x:c>
      <x:c r="B587" s="3" t="n">
        <x:v>45537.143177164355</x:v>
      </x:c>
      <x:c r="C587" t="str">
        <x:v>2024-09</x:v>
      </x:c>
      <x:c r="D587" t="str">
        <x:v>CUS-0198</x:v>
      </x:c>
      <x:c r="E587" t="str">
        <x:v>Scotland</x:v>
      </x:c>
      <x:c r="F587" t="str">
        <x:v>Store</x:v>
      </x:c>
      <x:c r="G587" t="str">
        <x:v>Fashion</x:v>
      </x:c>
      <x:c r="H587" t="str">
        <x:v>Backpack</x:v>
      </x:c>
      <x:c r="I587" t="n">
        <x:v>4</x:v>
      </x:c>
      <x:c r="J587" s="4" t="n">
        <x:v>51.14</x:v>
      </x:c>
      <x:c r="K587" s="4" t="n">
        <x:v>21</x:v>
      </x:c>
      <x:c r="L587" s="5" t="n">
        <x:v>0</x:v>
      </x:c>
      <x:c r="M587" s="4" t="n">
        <x:f>ROUND(I587*J587*(1-L587),2)</x:f>
        <x:v>204.56</x:v>
      </x:c>
      <x:c r="N587" s="4" t="n">
        <x:f>ROUND(I587*K587,2)</x:f>
        <x:v>84</x:v>
      </x:c>
      <x:c r="O587" s="4" t="n">
        <x:f>ROUND(M587-N587,2)</x:f>
        <x:v>120.56</x:v>
      </x:c>
      <x:c r="P587" s="6" t="n">
        <x:v>4.9</x:v>
      </x:c>
      <x:c r="Q587" t="str">
        <x:v>Yes</x:v>
      </x:c>
    </x:row>
    <x:row r="588">
      <x:c r="A588" t="str">
        <x:v>ORD-00346</x:v>
      </x:c>
      <x:c r="B588" s="3" t="n">
        <x:v>45537.30898105324</x:v>
      </x:c>
      <x:c r="C588" t="str">
        <x:v>2024-09</x:v>
      </x:c>
      <x:c r="D588" t="str">
        <x:v>CUS-0158</x:v>
      </x:c>
      <x:c r="E588" t="str">
        <x:v>Midlands</x:v>
      </x:c>
      <x:c r="F588" t="str">
        <x:v>Online</x:v>
      </x:c>
      <x:c r="G588" t="str">
        <x:v>Fashion</x:v>
      </x:c>
      <x:c r="H588" t="str">
        <x:v>Classic Trainers</x:v>
      </x:c>
      <x:c r="I588" t="n">
        <x:v>1</x:v>
      </x:c>
      <x:c r="J588" s="4" t="n">
        <x:v>70.44</x:v>
      </x:c>
      <x:c r="K588" s="4" t="n">
        <x:v>32</x:v>
      </x:c>
      <x:c r="L588" s="5" t="n">
        <x:v>0.15</x:v>
      </x:c>
      <x:c r="M588" s="4" t="n">
        <x:f>ROUND(I588*J588*(1-L588),2)</x:f>
        <x:v>59.87</x:v>
      </x:c>
      <x:c r="N588" s="4" t="n">
        <x:f>ROUND(I588*K588,2)</x:f>
        <x:v>32</x:v>
      </x:c>
      <x:c r="O588" s="4" t="n">
        <x:f>ROUND(M588-N588,2)</x:f>
        <x:v>27.87</x:v>
      </x:c>
      <x:c r="P588" s="6" t="n">
        <x:v>3.8</x:v>
      </x:c>
      <x:c r="Q588" t="str">
        <x:v>No</x:v>
      </x:c>
    </x:row>
    <x:row r="589">
      <x:c r="A589" t="str">
        <x:v>ORD-00247</x:v>
      </x:c>
      <x:c r="B589" s="3" t="n">
        <x:v>45537.43107979167</x:v>
      </x:c>
      <x:c r="C589" t="str">
        <x:v>2024-09</x:v>
      </x:c>
      <x:c r="D589" t="str">
        <x:v>CUS-0204</x:v>
      </x:c>
      <x:c r="E589" t="str">
        <x:v>North West</x:v>
      </x:c>
      <x:c r="F589" t="str">
        <x:v>Marketplace</x:v>
      </x:c>
      <x:c r="G589" t="str">
        <x:v>Electronics</x:v>
      </x:c>
      <x:c r="H589" t="str">
        <x:v>Smart Watch</x:v>
      </x:c>
      <x:c r="I589" t="n">
        <x:v>5</x:v>
      </x:c>
      <x:c r="J589" s="4" t="n">
        <x:v>152.17</x:v>
      </x:c>
      <x:c r="K589" s="4" t="n">
        <x:v>92</x:v>
      </x:c>
      <x:c r="L589" s="5" t="n">
        <x:v>0.1</x:v>
      </x:c>
      <x:c r="M589" s="4" t="n">
        <x:f>ROUND(I589*J589*(1-L589),2)</x:f>
        <x:v>684.77</x:v>
      </x:c>
      <x:c r="N589" s="4" t="n">
        <x:f>ROUND(I589*K589,2)</x:f>
        <x:v>460</x:v>
      </x:c>
      <x:c r="O589" s="4" t="n">
        <x:f>ROUND(M589-N589,2)</x:f>
        <x:v>224.77</x:v>
      </x:c>
      <x:c r="P589" s="6" t="n">
        <x:v>4.6</x:v>
      </x:c>
      <x:c r="Q589" t="str">
        <x:v>No</x:v>
      </x:c>
    </x:row>
    <x:row r="590">
      <x:c r="A590" t="str">
        <x:v>ORD-01006</x:v>
      </x:c>
      <x:c r="B590" s="3" t="n">
        <x:v>45537.83332186343</x:v>
      </x:c>
      <x:c r="C590" t="str">
        <x:v>2024-09</x:v>
      </x:c>
      <x:c r="D590" t="str">
        <x:v>CUS-0438</x:v>
      </x:c>
      <x:c r="E590" t="str">
        <x:v>Wales</x:v>
      </x:c>
      <x:c r="F590" t="str">
        <x:v>Online</x:v>
      </x:c>
      <x:c r="G590" t="str">
        <x:v>Home</x:v>
      </x:c>
      <x:c r="H590" t="str">
        <x:v>Air Fryer</x:v>
      </x:c>
      <x:c r="I590" t="n">
        <x:v>2</x:v>
      </x:c>
      <x:c r="J590" s="4" t="n">
        <x:v>124.42</x:v>
      </x:c>
      <x:c r="K590" s="4" t="n">
        <x:v>69</x:v>
      </x:c>
      <x:c r="L590" s="5" t="n">
        <x:v>0.2</x:v>
      </x:c>
      <x:c r="M590" s="4" t="n">
        <x:f>ROUND(I590*J590*(1-L590),2)</x:f>
        <x:v>199.07</x:v>
      </x:c>
      <x:c r="N590" s="4" t="n">
        <x:f>ROUND(I590*K590,2)</x:f>
        <x:v>138</x:v>
      </x:c>
      <x:c r="O590" s="4" t="n">
        <x:f>ROUND(M590-N590,2)</x:f>
        <x:v>61.07</x:v>
      </x:c>
      <x:c r="P590" s="6" t="n">
        <x:v>4</x:v>
      </x:c>
      <x:c r="Q590" t="str">
        <x:v>No</x:v>
      </x:c>
    </x:row>
    <x:row r="591">
      <x:c r="A591" t="str">
        <x:v>ORD-01239</x:v>
      </x:c>
      <x:c r="B591" s="3" t="n">
        <x:v>45538.8404028588</x:v>
      </x:c>
      <x:c r="C591" t="str">
        <x:v>2024-09</x:v>
      </x:c>
      <x:c r="D591" t="str">
        <x:v>CUS-0526</x:v>
      </x:c>
      <x:c r="E591" t="str">
        <x:v>North East</x:v>
      </x:c>
      <x:c r="F591" t="str">
        <x:v>Marketplace</x:v>
      </x:c>
      <x:c r="G591" t="str">
        <x:v>Fashion</x:v>
      </x:c>
      <x:c r="H591" t="str">
        <x:v>Winter Jacket</x:v>
      </x:c>
      <x:c r="I591" t="n">
        <x:v>2</x:v>
      </x:c>
      <x:c r="J591" s="4" t="n">
        <x:v>94.29</x:v>
      </x:c>
      <x:c r="K591" s="4" t="n">
        <x:v>46</x:v>
      </x:c>
      <x:c r="L591" s="5" t="n">
        <x:v>0</x:v>
      </x:c>
      <x:c r="M591" s="4" t="n">
        <x:f>ROUND(I591*J591*(1-L591),2)</x:f>
        <x:v>188.58</x:v>
      </x:c>
      <x:c r="N591" s="4" t="n">
        <x:f>ROUND(I591*K591,2)</x:f>
        <x:v>92</x:v>
      </x:c>
      <x:c r="O591" s="4" t="n">
        <x:f>ROUND(M591-N591,2)</x:f>
        <x:v>96.58</x:v>
      </x:c>
      <x:c r="P591" s="6" t="n">
        <x:v>4.4</x:v>
      </x:c>
      <x:c r="Q591" t="str">
        <x:v>No</x:v>
      </x:c>
    </x:row>
    <x:row r="592">
      <x:c r="A592" t="str">
        <x:v>ORD-01689</x:v>
      </x:c>
      <x:c r="B592" s="3" t="n">
        <x:v>45539.59381414352</x:v>
      </x:c>
      <x:c r="C592" t="str">
        <x:v>2024-09</x:v>
      </x:c>
      <x:c r="D592" t="str">
        <x:v>CUS-0092</x:v>
      </x:c>
      <x:c r="E592" t="str">
        <x:v>Wales</x:v>
      </x:c>
      <x:c r="F592" t="str">
        <x:v>Store</x:v>
      </x:c>
      <x:c r="G592" t="str">
        <x:v>Sports</x:v>
      </x:c>
      <x:c r="H592" t="str">
        <x:v>Fitness Tracker</x:v>
      </x:c>
      <x:c r="I592" t="n">
        <x:v>3</x:v>
      </x:c>
      <x:c r="J592" s="4" t="n">
        <x:v>53.16</x:v>
      </x:c>
      <x:c r="K592" s="4" t="n">
        <x:v>27</x:v>
      </x:c>
      <x:c r="L592" s="5" t="n">
        <x:v>0</x:v>
      </x:c>
      <x:c r="M592" s="4" t="n">
        <x:f>ROUND(I592*J592*(1-L592),2)</x:f>
        <x:v>159.48</x:v>
      </x:c>
      <x:c r="N592" s="4" t="n">
        <x:f>ROUND(I592*K592,2)</x:f>
        <x:v>81</x:v>
      </x:c>
      <x:c r="O592" s="4" t="n">
        <x:f>ROUND(M592-N592,2)</x:f>
        <x:v>78.48</x:v>
      </x:c>
      <x:c r="P592" s="6" t="n">
        <x:v>5</x:v>
      </x:c>
      <x:c r="Q592" t="str">
        <x:v>No</x:v>
      </x:c>
    </x:row>
    <x:row r="593">
      <x:c r="A593" t="str">
        <x:v>ORD-00437</x:v>
      </x:c>
      <x:c r="B593" s="3" t="n">
        <x:v>45539.92885049769</x:v>
      </x:c>
      <x:c r="C593" t="str">
        <x:v>2024-09</x:v>
      </x:c>
      <x:c r="D593" t="str">
        <x:v>CUS-0557</x:v>
      </x:c>
      <x:c r="E593" t="str">
        <x:v>North East</x:v>
      </x:c>
      <x:c r="F593" t="str">
        <x:v>Store</x:v>
      </x:c>
      <x:c r="G593" t="str">
        <x:v>Sports</x:v>
      </x:c>
      <x:c r="H593" t="str">
        <x:v>Yoga Mat</x:v>
      </x:c>
      <x:c r="I593" t="n">
        <x:v>1</x:v>
      </x:c>
      <x:c r="J593" s="4" t="n">
        <x:v>30.08</x:v>
      </x:c>
      <x:c r="K593" s="4" t="n">
        <x:v>12</x:v>
      </x:c>
      <x:c r="L593" s="5" t="n">
        <x:v>0.1</x:v>
      </x:c>
      <x:c r="M593" s="4" t="n">
        <x:f>ROUND(I593*J593*(1-L593),2)</x:f>
        <x:v>27.07</x:v>
      </x:c>
      <x:c r="N593" s="4" t="n">
        <x:f>ROUND(I593*K593,2)</x:f>
        <x:v>12</x:v>
      </x:c>
      <x:c r="O593" s="4" t="n">
        <x:f>ROUND(M593-N593,2)</x:f>
        <x:v>15.07</x:v>
      </x:c>
      <x:c r="P593" s="6" t="n">
        <x:v>5</x:v>
      </x:c>
      <x:c r="Q593" t="str">
        <x:v>No</x:v>
      </x:c>
    </x:row>
    <x:row r="594">
      <x:c r="A594" t="str">
        <x:v>ORD-00466</x:v>
      </x:c>
      <x:c r="B594" s="3" t="n">
        <x:v>45540.65574396991</x:v>
      </x:c>
      <x:c r="C594" t="str">
        <x:v>2024-09</x:v>
      </x:c>
      <x:c r="D594" t="str">
        <x:v>CUS-0412</x:v>
      </x:c>
      <x:c r="E594" t="str">
        <x:v>London</x:v>
      </x:c>
      <x:c r="F594" t="str">
        <x:v>Store</x:v>
      </x:c>
      <x:c r="G594" t="str">
        <x:v>Books</x:v>
      </x:c>
      <x:c r="H594" t="str">
        <x:v>Data Analytics Handbook</x:v>
      </x:c>
      <x:c r="I594" t="n">
        <x:v>1</x:v>
      </x:c>
      <x:c r="J594" s="4" t="n">
        <x:v>38.2</x:v>
      </x:c>
      <x:c r="K594" s="4" t="n">
        <x:v>14</x:v>
      </x:c>
      <x:c r="L594" s="5" t="n">
        <x:v>0.1</x:v>
      </x:c>
      <x:c r="M594" s="4" t="n">
        <x:f>ROUND(I594*J594*(1-L594),2)</x:f>
        <x:v>34.38</x:v>
      </x:c>
      <x:c r="N594" s="4" t="n">
        <x:f>ROUND(I594*K594,2)</x:f>
        <x:v>14</x:v>
      </x:c>
      <x:c r="O594" s="4" t="n">
        <x:f>ROUND(M594-N594,2)</x:f>
        <x:v>20.38</x:v>
      </x:c>
      <x:c r="P594" s="6" t="n">
        <x:v>4.1</x:v>
      </x:c>
      <x:c r="Q594" t="str">
        <x:v>No</x:v>
      </x:c>
    </x:row>
    <x:row r="595">
      <x:c r="A595" t="str">
        <x:v>ORD-01751</x:v>
      </x:c>
      <x:c r="B595" s="3" t="n">
        <x:v>45541.00291898148</x:v>
      </x:c>
      <x:c r="C595" t="str">
        <x:v>2024-09</x:v>
      </x:c>
      <x:c r="D595" t="str">
        <x:v>CUS-0134</x:v>
      </x:c>
      <x:c r="E595" t="str">
        <x:v>South East</x:v>
      </x:c>
      <x:c r="F595" t="str">
        <x:v>Online</x:v>
      </x:c>
      <x:c r="G595" t="str">
        <x:v>Sports</x:v>
      </x:c>
      <x:c r="H595" t="str">
        <x:v>Fitness Tracker</x:v>
      </x:c>
      <x:c r="I595" t="n">
        <x:v>3</x:v>
      </x:c>
      <x:c r="J595" s="4" t="n">
        <x:v>52.53</x:v>
      </x:c>
      <x:c r="K595" s="4" t="n">
        <x:v>27</x:v>
      </x:c>
      <x:c r="L595" s="5" t="n">
        <x:v>0.1</x:v>
      </x:c>
      <x:c r="M595" s="4" t="n">
        <x:f>ROUND(I595*J595*(1-L595),2)</x:f>
        <x:v>141.83</x:v>
      </x:c>
      <x:c r="N595" s="4" t="n">
        <x:f>ROUND(I595*K595,2)</x:f>
        <x:v>81</x:v>
      </x:c>
      <x:c r="O595" s="4" t="n">
        <x:f>ROUND(M595-N595,2)</x:f>
        <x:v>60.83</x:v>
      </x:c>
      <x:c r="P595" s="6" t="n">
        <x:v>3.4</x:v>
      </x:c>
      <x:c r="Q595" t="str">
        <x:v>No</x:v>
      </x:c>
    </x:row>
    <x:row r="596">
      <x:c r="A596" t="str">
        <x:v>ORD-00418</x:v>
      </x:c>
      <x:c r="B596" s="3" t="n">
        <x:v>45541.450593738424</x:v>
      </x:c>
      <x:c r="C596" t="str">
        <x:v>2024-09</x:v>
      </x:c>
      <x:c r="D596" t="str">
        <x:v>CUS-0321</x:v>
      </x:c>
      <x:c r="E596" t="str">
        <x:v>South West</x:v>
      </x:c>
      <x:c r="F596" t="str">
        <x:v>Marketplace</x:v>
      </x:c>
      <x:c r="G596" t="str">
        <x:v>Home</x:v>
      </x:c>
      <x:c r="H596" t="str">
        <x:v>Air Fryer</x:v>
      </x:c>
      <x:c r="I596" t="n">
        <x:v>2</x:v>
      </x:c>
      <x:c r="J596" s="4" t="n">
        <x:v>120.38</x:v>
      </x:c>
      <x:c r="K596" s="4" t="n">
        <x:v>69</x:v>
      </x:c>
      <x:c r="L596" s="5" t="n">
        <x:v>0</x:v>
      </x:c>
      <x:c r="M596" s="4" t="n">
        <x:f>ROUND(I596*J596*(1-L596),2)</x:f>
        <x:v>240.76</x:v>
      </x:c>
      <x:c r="N596" s="4" t="n">
        <x:f>ROUND(I596*K596,2)</x:f>
        <x:v>138</x:v>
      </x:c>
      <x:c r="O596" s="4" t="n">
        <x:f>ROUND(M596-N596,2)</x:f>
        <x:v>102.76</x:v>
      </x:c>
      <x:c r="P596" s="6" t="n">
        <x:v>5</x:v>
      </x:c>
      <x:c r="Q596" t="str">
        <x:v>No</x:v>
      </x:c>
    </x:row>
    <x:row r="597">
      <x:c r="A597" t="str">
        <x:v>ORD-01729</x:v>
      </x:c>
      <x:c r="B597" s="3" t="n">
        <x:v>45542.14801164352</x:v>
      </x:c>
      <x:c r="C597" t="str">
        <x:v>2024-09</x:v>
      </x:c>
      <x:c r="D597" t="str">
        <x:v>CUS-0522</x:v>
      </x:c>
      <x:c r="E597" t="str">
        <x:v>South West</x:v>
      </x:c>
      <x:c r="F597" t="str">
        <x:v>Store</x:v>
      </x:c>
      <x:c r="G597" t="str">
        <x:v>Sports</x:v>
      </x:c>
      <x:c r="H597" t="str">
        <x:v>Fitness Tracker</x:v>
      </x:c>
      <x:c r="I597" t="n">
        <x:v>2</x:v>
      </x:c>
      <x:c r="J597" s="4" t="n">
        <x:v>55.96</x:v>
      </x:c>
      <x:c r="K597" s="4" t="n">
        <x:v>27</x:v>
      </x:c>
      <x:c r="L597" s="5" t="n">
        <x:v>0</x:v>
      </x:c>
      <x:c r="M597" s="4" t="n">
        <x:f>ROUND(I597*J597*(1-L597),2)</x:f>
        <x:v>111.92</x:v>
      </x:c>
      <x:c r="N597" s="4" t="n">
        <x:f>ROUND(I597*K597,2)</x:f>
        <x:v>54</x:v>
      </x:c>
      <x:c r="O597" s="4" t="n">
        <x:f>ROUND(M597-N597,2)</x:f>
        <x:v>57.92</x:v>
      </x:c>
      <x:c r="P597" s="6" t="n">
        <x:v>5</x:v>
      </x:c>
      <x:c r="Q597" t="str">
        <x:v>No</x:v>
      </x:c>
    </x:row>
    <x:row r="598">
      <x:c r="A598" t="str">
        <x:v>ORD-00476</x:v>
      </x:c>
      <x:c r="B598" s="3" t="n">
        <x:v>45543.451707754626</x:v>
      </x:c>
      <x:c r="C598" t="str">
        <x:v>2024-09</x:v>
      </x:c>
      <x:c r="D598" t="str">
        <x:v>CUS-0588</x:v>
      </x:c>
      <x:c r="E598" t="str">
        <x:v>North East</x:v>
      </x:c>
      <x:c r="F598" t="str">
        <x:v>Online</x:v>
      </x:c>
      <x:c r="G598" t="str">
        <x:v>Electronics</x:v>
      </x:c>
      <x:c r="H598" t="str">
        <x:v>Bluetooth Speaker</x:v>
      </x:c>
      <x:c r="I598" t="n">
        <x:v>1</x:v>
      </x:c>
      <x:c r="J598" s="4" t="n">
        <x:v>68.07</x:v>
      </x:c>
      <x:c r="K598" s="4" t="n">
        <x:v>34</x:v>
      </x:c>
      <x:c r="L598" s="5" t="n">
        <x:v>0</x:v>
      </x:c>
      <x:c r="M598" s="4" t="n">
        <x:f>ROUND(I598*J598*(1-L598),2)</x:f>
        <x:v>68.07</x:v>
      </x:c>
      <x:c r="N598" s="4" t="n">
        <x:f>ROUND(I598*K598,2)</x:f>
        <x:v>34</x:v>
      </x:c>
      <x:c r="O598" s="4" t="n">
        <x:f>ROUND(M598-N598,2)</x:f>
        <x:v>34.07</x:v>
      </x:c>
      <x:c r="P598" s="6" t="n">
        <x:v>3.3</x:v>
      </x:c>
      <x:c r="Q598" t="str">
        <x:v>No</x:v>
      </x:c>
    </x:row>
    <x:row r="599">
      <x:c r="A599" t="str">
        <x:v>ORD-00535</x:v>
      </x:c>
      <x:c r="B599" s="3" t="n">
        <x:v>45543.60292037037</x:v>
      </x:c>
      <x:c r="C599" t="str">
        <x:v>2024-09</x:v>
      </x:c>
      <x:c r="D599" t="str">
        <x:v>CUS-0135</x:v>
      </x:c>
      <x:c r="E599" t="str">
        <x:v>South West</x:v>
      </x:c>
      <x:c r="F599" t="str">
        <x:v>Marketplace</x:v>
      </x:c>
      <x:c r="G599" t="str">
        <x:v>Books</x:v>
      </x:c>
      <x:c r="H599" t="str">
        <x:v>Business Intelligence Guide</x:v>
      </x:c>
      <x:c r="I599" t="n">
        <x:v>4</x:v>
      </x:c>
      <x:c r="J599" s="4" t="n">
        <x:v>33.34</x:v>
      </x:c>
      <x:c r="K599" s="4" t="n">
        <x:v>12</x:v>
      </x:c>
      <x:c r="L599" s="5" t="n">
        <x:v>0</x:v>
      </x:c>
      <x:c r="M599" s="4" t="n">
        <x:f>ROUND(I599*J599*(1-L599),2)</x:f>
        <x:v>133.36</x:v>
      </x:c>
      <x:c r="N599" s="4" t="n">
        <x:f>ROUND(I599*K599,2)</x:f>
        <x:v>48</x:v>
      </x:c>
      <x:c r="O599" s="4" t="n">
        <x:f>ROUND(M599-N599,2)</x:f>
        <x:v>85.36</x:v>
      </x:c>
      <x:c r="P599" s="6" t="n">
        <x:v>4.7</x:v>
      </x:c>
      <x:c r="Q599" t="str">
        <x:v>No</x:v>
      </x:c>
    </x:row>
    <x:row r="600">
      <x:c r="A600" t="str">
        <x:v>ORD-00373</x:v>
      </x:c>
      <x:c r="B600" s="3" t="n">
        <x:v>45544.19938471065</x:v>
      </x:c>
      <x:c r="C600" t="str">
        <x:v>2024-09</x:v>
      </x:c>
      <x:c r="D600" t="str">
        <x:v>CUS-0572</x:v>
      </x:c>
      <x:c r="E600" t="str">
        <x:v>South East</x:v>
      </x:c>
      <x:c r="F600" t="str">
        <x:v>Marketplace</x:v>
      </x:c>
      <x:c r="G600" t="str">
        <x:v>Electronics</x:v>
      </x:c>
      <x:c r="H600" t="str">
        <x:v>Wireless Headphones</x:v>
      </x:c>
      <x:c r="I600" t="n">
        <x:v>1</x:v>
      </x:c>
      <x:c r="J600" s="4" t="n">
        <x:v>93.21</x:v>
      </x:c>
      <x:c r="K600" s="4" t="n">
        <x:v>48</x:v>
      </x:c>
      <x:c r="L600" s="5" t="n">
        <x:v>0</x:v>
      </x:c>
      <x:c r="M600" s="4" t="n">
        <x:f>ROUND(I600*J600*(1-L600),2)</x:f>
        <x:v>93.21</x:v>
      </x:c>
      <x:c r="N600" s="4" t="n">
        <x:f>ROUND(I600*K600,2)</x:f>
        <x:v>48</x:v>
      </x:c>
      <x:c r="O600" s="4" t="n">
        <x:f>ROUND(M600-N600,2)</x:f>
        <x:v>45.21</x:v>
      </x:c>
      <x:c r="P600" s="6" t="n">
        <x:v>3.4</x:v>
      </x:c>
      <x:c r="Q600" t="str">
        <x:v>No</x:v>
      </x:c>
    </x:row>
    <x:row r="601">
      <x:c r="A601" t="str">
        <x:v>ORD-00103</x:v>
      </x:c>
      <x:c r="B601" s="3" t="n">
        <x:v>45545.241456006945</x:v>
      </x:c>
      <x:c r="C601" t="str">
        <x:v>2024-09</x:v>
      </x:c>
      <x:c r="D601" t="str">
        <x:v>CUS-0579</x:v>
      </x:c>
      <x:c r="E601" t="str">
        <x:v>South West</x:v>
      </x:c>
      <x:c r="F601" t="str">
        <x:v>Marketplace</x:v>
      </x:c>
      <x:c r="G601" t="str">
        <x:v>Electronics</x:v>
      </x:c>
      <x:c r="H601" t="str">
        <x:v>Smart Watch</x:v>
      </x:c>
      <x:c r="I601" t="n">
        <x:v>5</x:v>
      </x:c>
      <x:c r="J601" s="4" t="n">
        <x:v>165.2</x:v>
      </x:c>
      <x:c r="K601" s="4" t="n">
        <x:v>92</x:v>
      </x:c>
      <x:c r="L601" s="5" t="n">
        <x:v>0.2</x:v>
      </x:c>
      <x:c r="M601" s="4" t="n">
        <x:f>ROUND(I601*J601*(1-L601),2)</x:f>
        <x:v>660.8</x:v>
      </x:c>
      <x:c r="N601" s="4" t="n">
        <x:f>ROUND(I601*K601,2)</x:f>
        <x:v>460</x:v>
      </x:c>
      <x:c r="O601" s="4" t="n">
        <x:f>ROUND(M601-N601,2)</x:f>
        <x:v>200.8</x:v>
      </x:c>
      <x:c r="P601" s="6" t="n">
        <x:v>3.3</x:v>
      </x:c>
      <x:c r="Q601" t="str">
        <x:v>No</x:v>
      </x:c>
    </x:row>
    <x:row r="602">
      <x:c r="A602" t="str">
        <x:v>ORD-00964</x:v>
      </x:c>
      <x:c r="B602" s="3" t="n">
        <x:v>45546.063992951385</x:v>
      </x:c>
      <x:c r="C602" t="str">
        <x:v>2024-09</x:v>
      </x:c>
      <x:c r="D602" t="str">
        <x:v>CUS-0532</x:v>
      </x:c>
      <x:c r="E602" t="str">
        <x:v>South East</x:v>
      </x:c>
      <x:c r="F602" t="str">
        <x:v>Marketplace</x:v>
      </x:c>
      <x:c r="G602" t="str">
        <x:v>Fashion</x:v>
      </x:c>
      <x:c r="H602" t="str">
        <x:v>Backpack</x:v>
      </x:c>
      <x:c r="I602" t="n">
        <x:v>4</x:v>
      </x:c>
      <x:c r="J602" s="4" t="n">
        <x:v>48.47</x:v>
      </x:c>
      <x:c r="K602" s="4" t="n">
        <x:v>21</x:v>
      </x:c>
      <x:c r="L602" s="5" t="n">
        <x:v>0.2</x:v>
      </x:c>
      <x:c r="M602" s="4" t="n">
        <x:f>ROUND(I602*J602*(1-L602),2)</x:f>
        <x:v>155.1</x:v>
      </x:c>
      <x:c r="N602" s="4" t="n">
        <x:f>ROUND(I602*K602,2)</x:f>
        <x:v>84</x:v>
      </x:c>
      <x:c r="O602" s="4" t="n">
        <x:f>ROUND(M602-N602,2)</x:f>
        <x:v>71.1</x:v>
      </x:c>
      <x:c r="P602" s="6" t="n">
        <x:v>4.3</x:v>
      </x:c>
      <x:c r="Q602" t="str">
        <x:v>No</x:v>
      </x:c>
    </x:row>
    <x:row r="603">
      <x:c r="A603" t="str">
        <x:v>ORD-00826</x:v>
      </x:c>
      <x:c r="B603" s="3" t="n">
        <x:v>45547.27603741898</x:v>
      </x:c>
      <x:c r="C603" t="str">
        <x:v>2024-09</x:v>
      </x:c>
      <x:c r="D603" t="str">
        <x:v>CUS-0088</x:v>
      </x:c>
      <x:c r="E603" t="str">
        <x:v>Midlands</x:v>
      </x:c>
      <x:c r="F603" t="str">
        <x:v>Online</x:v>
      </x:c>
      <x:c r="G603" t="str">
        <x:v>Home</x:v>
      </x:c>
      <x:c r="H603" t="str">
        <x:v>Desk Lamp</x:v>
      </x:c>
      <x:c r="I603" t="n">
        <x:v>5</x:v>
      </x:c>
      <x:c r="J603" s="4" t="n">
        <x:v>33.28</x:v>
      </x:c>
      <x:c r="K603" s="4" t="n">
        <x:v>17</x:v>
      </x:c>
      <x:c r="L603" s="5" t="n">
        <x:v>0</x:v>
      </x:c>
      <x:c r="M603" s="4" t="n">
        <x:f>ROUND(I603*J603*(1-L603),2)</x:f>
        <x:v>166.4</x:v>
      </x:c>
      <x:c r="N603" s="4" t="n">
        <x:f>ROUND(I603*K603,2)</x:f>
        <x:v>85</x:v>
      </x:c>
      <x:c r="O603" s="4" t="n">
        <x:f>ROUND(M603-N603,2)</x:f>
        <x:v>81.4</x:v>
      </x:c>
      <x:c r="P603" s="6" t="n">
        <x:v>4</x:v>
      </x:c>
      <x:c r="Q603" t="str">
        <x:v>No</x:v>
      </x:c>
    </x:row>
    <x:row r="604">
      <x:c r="A604" t="str">
        <x:v>ORD-00764</x:v>
      </x:c>
      <x:c r="B604" s="3" t="n">
        <x:v>45548.65141684028</x:v>
      </x:c>
      <x:c r="C604" t="str">
        <x:v>2024-09</x:v>
      </x:c>
      <x:c r="D604" t="str">
        <x:v>CUS-0073</x:v>
      </x:c>
      <x:c r="E604" t="str">
        <x:v>Midlands</x:v>
      </x:c>
      <x:c r="F604" t="str">
        <x:v>Marketplace</x:v>
      </x:c>
      <x:c r="G604" t="str">
        <x:v>Sports</x:v>
      </x:c>
      <x:c r="H604" t="str">
        <x:v>Running Shoes</x:v>
      </x:c>
      <x:c r="I604" t="n">
        <x:v>5</x:v>
      </x:c>
      <x:c r="J604" s="4" t="n">
        <x:v>83.68</x:v>
      </x:c>
      <x:c r="K604" s="4" t="n">
        <x:v>38</x:v>
      </x:c>
      <x:c r="L604" s="5" t="n">
        <x:v>0</x:v>
      </x:c>
      <x:c r="M604" s="4" t="n">
        <x:f>ROUND(I604*J604*(1-L604),2)</x:f>
        <x:v>418.4</x:v>
      </x:c>
      <x:c r="N604" s="4" t="n">
        <x:f>ROUND(I604*K604,2)</x:f>
        <x:v>190</x:v>
      </x:c>
      <x:c r="O604" s="4" t="n">
        <x:f>ROUND(M604-N604,2)</x:f>
        <x:v>228.4</x:v>
      </x:c>
      <x:c r="P604" s="6" t="n">
        <x:v>4.6</x:v>
      </x:c>
      <x:c r="Q604" t="str">
        <x:v>No</x:v>
      </x:c>
    </x:row>
    <x:row r="605">
      <x:c r="A605" t="str">
        <x:v>ORD-01506</x:v>
      </x:c>
      <x:c r="B605" s="3" t="n">
        <x:v>45548.82283744213</x:v>
      </x:c>
      <x:c r="C605" t="str">
        <x:v>2024-09</x:v>
      </x:c>
      <x:c r="D605" t="str">
        <x:v>CUS-0064</x:v>
      </x:c>
      <x:c r="E605" t="str">
        <x:v>Scotland</x:v>
      </x:c>
      <x:c r="F605" t="str">
        <x:v>Store</x:v>
      </x:c>
      <x:c r="G605" t="str">
        <x:v>Home</x:v>
      </x:c>
      <x:c r="H605" t="str">
        <x:v>Air Fryer</x:v>
      </x:c>
      <x:c r="I605" t="n">
        <x:v>4</x:v>
      </x:c>
      <x:c r="J605" s="4" t="n">
        <x:v>114.46</x:v>
      </x:c>
      <x:c r="K605" s="4" t="n">
        <x:v>69</x:v>
      </x:c>
      <x:c r="L605" s="5" t="n">
        <x:v>0.1</x:v>
      </x:c>
      <x:c r="M605" s="4" t="n">
        <x:f>ROUND(I605*J605*(1-L605),2)</x:f>
        <x:v>412.06</x:v>
      </x:c>
      <x:c r="N605" s="4" t="n">
        <x:f>ROUND(I605*K605,2)</x:f>
        <x:v>276</x:v>
      </x:c>
      <x:c r="O605" s="4" t="n">
        <x:f>ROUND(M605-N605,2)</x:f>
        <x:v>136.06</x:v>
      </x:c>
      <x:c r="P605" s="6" t="n">
        <x:v>3.7</x:v>
      </x:c>
      <x:c r="Q605" t="str">
        <x:v>No</x:v>
      </x:c>
    </x:row>
    <x:row r="606">
      <x:c r="A606" t="str">
        <x:v>ORD-01734</x:v>
      </x:c>
      <x:c r="B606" s="3" t="n">
        <x:v>45549.00250820602</x:v>
      </x:c>
      <x:c r="C606" t="str">
        <x:v>2024-09</x:v>
      </x:c>
      <x:c r="D606" t="str">
        <x:v>CUS-0388</x:v>
      </x:c>
      <x:c r="E606" t="str">
        <x:v>South East</x:v>
      </x:c>
      <x:c r="F606" t="str">
        <x:v>Online</x:v>
      </x:c>
      <x:c r="G606" t="str">
        <x:v>Books</x:v>
      </x:c>
      <x:c r="H606" t="str">
        <x:v>Business Intelligence Guide</x:v>
      </x:c>
      <x:c r="I606" t="n">
        <x:v>2</x:v>
      </x:c>
      <x:c r="J606" s="4" t="n">
        <x:v>36.36</x:v>
      </x:c>
      <x:c r="K606" s="4" t="n">
        <x:v>12</x:v>
      </x:c>
      <x:c r="L606" s="5" t="n">
        <x:v>0</x:v>
      </x:c>
      <x:c r="M606" s="4" t="n">
        <x:f>ROUND(I606*J606*(1-L606),2)</x:f>
        <x:v>72.72</x:v>
      </x:c>
      <x:c r="N606" s="4" t="n">
        <x:f>ROUND(I606*K606,2)</x:f>
        <x:v>24</x:v>
      </x:c>
      <x:c r="O606" s="4" t="n">
        <x:f>ROUND(M606-N606,2)</x:f>
        <x:v>48.72</x:v>
      </x:c>
      <x:c r="P606" s="6" t="n">
        <x:v>3.3</x:v>
      </x:c>
      <x:c r="Q606" t="str">
        <x:v>No</x:v>
      </x:c>
    </x:row>
    <x:row r="607">
      <x:c r="A607" t="str">
        <x:v>ORD-00620</x:v>
      </x:c>
      <x:c r="B607" s="3" t="n">
        <x:v>45549.19656561343</x:v>
      </x:c>
      <x:c r="C607" t="str">
        <x:v>2024-09</x:v>
      </x:c>
      <x:c r="D607" t="str">
        <x:v>CUS-0525</x:v>
      </x:c>
      <x:c r="E607" t="str">
        <x:v>North West</x:v>
      </x:c>
      <x:c r="F607" t="str">
        <x:v>Store</x:v>
      </x:c>
      <x:c r="G607" t="str">
        <x:v>Sports</x:v>
      </x:c>
      <x:c r="H607" t="str">
        <x:v>Yoga Mat</x:v>
      </x:c>
      <x:c r="I607" t="n">
        <x:v>2</x:v>
      </x:c>
      <x:c r="J607" s="4" t="n">
        <x:v>31.36</x:v>
      </x:c>
      <x:c r="K607" s="4" t="n">
        <x:v>12</x:v>
      </x:c>
      <x:c r="L607" s="5" t="n">
        <x:v>0.2</x:v>
      </x:c>
      <x:c r="M607" s="4" t="n">
        <x:f>ROUND(I607*J607*(1-L607),2)</x:f>
        <x:v>50.18</x:v>
      </x:c>
      <x:c r="N607" s="4" t="n">
        <x:f>ROUND(I607*K607,2)</x:f>
        <x:v>24</x:v>
      </x:c>
      <x:c r="O607" s="4" t="n">
        <x:f>ROUND(M607-N607,2)</x:f>
        <x:v>26.18</x:v>
      </x:c>
      <x:c r="P607" s="6" t="n">
        <x:v>3.7</x:v>
      </x:c>
      <x:c r="Q607" t="str">
        <x:v>No</x:v>
      </x:c>
    </x:row>
    <x:row r="608">
      <x:c r="A608" t="str">
        <x:v>ORD-01074</x:v>
      </x:c>
      <x:c r="B608" s="3" t="n">
        <x:v>45549.26876936343</x:v>
      </x:c>
      <x:c r="C608" t="str">
        <x:v>2024-09</x:v>
      </x:c>
      <x:c r="D608" t="str">
        <x:v>CUS-0341</x:v>
      </x:c>
      <x:c r="E608" t="str">
        <x:v>Wales</x:v>
      </x:c>
      <x:c r="F608" t="str">
        <x:v>Marketplace</x:v>
      </x:c>
      <x:c r="G608" t="str">
        <x:v>Electronics</x:v>
      </x:c>
      <x:c r="H608" t="str">
        <x:v>Smart Watch</x:v>
      </x:c>
      <x:c r="I608" t="n">
        <x:v>3</x:v>
      </x:c>
      <x:c r="J608" s="4" t="n">
        <x:v>167.25</x:v>
      </x:c>
      <x:c r="K608" s="4" t="n">
        <x:v>92</x:v>
      </x:c>
      <x:c r="L608" s="5" t="n">
        <x:v>0</x:v>
      </x:c>
      <x:c r="M608" s="4" t="n">
        <x:f>ROUND(I608*J608*(1-L608),2)</x:f>
        <x:v>501.75</x:v>
      </x:c>
      <x:c r="N608" s="4" t="n">
        <x:f>ROUND(I608*K608,2)</x:f>
        <x:v>276</x:v>
      </x:c>
      <x:c r="O608" s="4" t="n">
        <x:f>ROUND(M608-N608,2)</x:f>
        <x:v>225.75</x:v>
      </x:c>
      <x:c r="P608" s="6" t="n">
        <x:v>3.4</x:v>
      </x:c>
      <x:c r="Q608" t="str">
        <x:v>No</x:v>
      </x:c>
    </x:row>
    <x:row r="609">
      <x:c r="A609" t="str">
        <x:v>ORD-01320</x:v>
      </x:c>
      <x:c r="B609" s="3" t="n">
        <x:v>45549.344959849535</x:v>
      </x:c>
      <x:c r="C609" t="str">
        <x:v>2024-09</x:v>
      </x:c>
      <x:c r="D609" t="str">
        <x:v>CUS-0408</x:v>
      </x:c>
      <x:c r="E609" t="str">
        <x:v>Wales</x:v>
      </x:c>
      <x:c r="F609" t="str">
        <x:v>Store</x:v>
      </x:c>
      <x:c r="G609" t="str">
        <x:v>Beauty</x:v>
      </x:c>
      <x:c r="H609" t="str">
        <x:v>Skin Care Set</x:v>
      </x:c>
      <x:c r="I609" t="n">
        <x:v>1</x:v>
      </x:c>
      <x:c r="J609" s="4" t="n">
        <x:v>43.67</x:v>
      </x:c>
      <x:c r="K609" s="4" t="n">
        <x:v>18</x:v>
      </x:c>
      <x:c r="L609" s="5" t="n">
        <x:v>0</x:v>
      </x:c>
      <x:c r="M609" s="4" t="n">
        <x:f>ROUND(I609*J609*(1-L609),2)</x:f>
        <x:v>43.67</x:v>
      </x:c>
      <x:c r="N609" s="4" t="n">
        <x:f>ROUND(I609*K609,2)</x:f>
        <x:v>18</x:v>
      </x:c>
      <x:c r="O609" s="4" t="n">
        <x:f>ROUND(M609-N609,2)</x:f>
        <x:v>25.67</x:v>
      </x:c>
      <x:c r="P609" s="6" t="n">
        <x:v>4.4</x:v>
      </x:c>
      <x:c r="Q609" t="str">
        <x:v>No</x:v>
      </x:c>
    </x:row>
    <x:row r="610">
      <x:c r="A610" t="str">
        <x:v>ORD-00109</x:v>
      </x:c>
      <x:c r="B610" s="3" t="n">
        <x:v>45549.94586609954</x:v>
      </x:c>
      <x:c r="C610" t="str">
        <x:v>2024-09</x:v>
      </x:c>
      <x:c r="D610" t="str">
        <x:v>CUS-0054</x:v>
      </x:c>
      <x:c r="E610" t="str">
        <x:v>South East</x:v>
      </x:c>
      <x:c r="F610" t="str">
        <x:v>Store</x:v>
      </x:c>
      <x:c r="G610" t="str">
        <x:v>Books</x:v>
      </x:c>
      <x:c r="H610" t="str">
        <x:v>Business Intelligence Guide</x:v>
      </x:c>
      <x:c r="I610" t="n">
        <x:v>5</x:v>
      </x:c>
      <x:c r="J610" s="4" t="n">
        <x:v>34.71</x:v>
      </x:c>
      <x:c r="K610" s="4" t="n">
        <x:v>12</x:v>
      </x:c>
      <x:c r="L610" s="5" t="n">
        <x:v>0</x:v>
      </x:c>
      <x:c r="M610" s="4" t="n">
        <x:f>ROUND(I610*J610*(1-L610),2)</x:f>
        <x:v>173.55</x:v>
      </x:c>
      <x:c r="N610" s="4" t="n">
        <x:f>ROUND(I610*K610,2)</x:f>
        <x:v>60</x:v>
      </x:c>
      <x:c r="O610" s="4" t="n">
        <x:f>ROUND(M610-N610,2)</x:f>
        <x:v>113.55</x:v>
      </x:c>
      <x:c r="P610" s="6" t="n">
        <x:v>4</x:v>
      </x:c>
      <x:c r="Q610" t="str">
        <x:v>No</x:v>
      </x:c>
    </x:row>
    <x:row r="611">
      <x:c r="A611" t="str">
        <x:v>ORD-00509</x:v>
      </x:c>
      <x:c r="B611" s="3" t="n">
        <x:v>45550.00095695602</x:v>
      </x:c>
      <x:c r="C611" t="str">
        <x:v>2024-09</x:v>
      </x:c>
      <x:c r="D611" t="str">
        <x:v>CUS-0160</x:v>
      </x:c>
      <x:c r="E611" t="str">
        <x:v>Midlands</x:v>
      </x:c>
      <x:c r="F611" t="str">
        <x:v>Online</x:v>
      </x:c>
      <x:c r="G611" t="str">
        <x:v>Fashion</x:v>
      </x:c>
      <x:c r="H611" t="str">
        <x:v>Winter Jacket</x:v>
      </x:c>
      <x:c r="I611" t="n">
        <x:v>3</x:v>
      </x:c>
      <x:c r="J611" s="4" t="n">
        <x:v>94.63</x:v>
      </x:c>
      <x:c r="K611" s="4" t="n">
        <x:v>46</x:v>
      </x:c>
      <x:c r="L611" s="5" t="n">
        <x:v>0.05</x:v>
      </x:c>
      <x:c r="M611" s="4" t="n">
        <x:f>ROUND(I611*J611*(1-L611),2)</x:f>
        <x:v>269.7</x:v>
      </x:c>
      <x:c r="N611" s="4" t="n">
        <x:f>ROUND(I611*K611,2)</x:f>
        <x:v>138</x:v>
      </x:c>
      <x:c r="O611" s="4" t="n">
        <x:f>ROUND(M611-N611,2)</x:f>
        <x:v>131.7</x:v>
      </x:c>
      <x:c r="P611" s="6" t="n">
        <x:v>4.7</x:v>
      </x:c>
      <x:c r="Q611" t="str">
        <x:v>No</x:v>
      </x:c>
    </x:row>
    <x:row r="612">
      <x:c r="A612" t="str">
        <x:v>ORD-00528</x:v>
      </x:c>
      <x:c r="B612" s="3" t="n">
        <x:v>45550.6733109375</x:v>
      </x:c>
      <x:c r="C612" t="str">
        <x:v>2024-09</x:v>
      </x:c>
      <x:c r="D612" t="str">
        <x:v>CUS-0084</x:v>
      </x:c>
      <x:c r="E612" t="str">
        <x:v>South West</x:v>
      </x:c>
      <x:c r="F612" t="str">
        <x:v>Store</x:v>
      </x:c>
      <x:c r="G612" t="str">
        <x:v>Fashion</x:v>
      </x:c>
      <x:c r="H612" t="str">
        <x:v>Backpack</x:v>
      </x:c>
      <x:c r="I612" t="n">
        <x:v>1</x:v>
      </x:c>
      <x:c r="J612" s="4" t="n">
        <x:v>47.61</x:v>
      </x:c>
      <x:c r="K612" s="4" t="n">
        <x:v>21</x:v>
      </x:c>
      <x:c r="L612" s="5" t="n">
        <x:v>0.1</x:v>
      </x:c>
      <x:c r="M612" s="4" t="n">
        <x:f>ROUND(I612*J612*(1-L612),2)</x:f>
        <x:v>42.85</x:v>
      </x:c>
      <x:c r="N612" s="4" t="n">
        <x:f>ROUND(I612*K612,2)</x:f>
        <x:v>21</x:v>
      </x:c>
      <x:c r="O612" s="4" t="n">
        <x:f>ROUND(M612-N612,2)</x:f>
        <x:v>21.85</x:v>
      </x:c>
      <x:c r="P612" s="6" t="n">
        <x:v>5</x:v>
      </x:c>
      <x:c r="Q612" t="str">
        <x:v>No</x:v>
      </x:c>
    </x:row>
    <x:row r="613">
      <x:c r="A613" t="str">
        <x:v>ORD-00018</x:v>
      </x:c>
      <x:c r="B613" s="3" t="n">
        <x:v>45550.90409060185</x:v>
      </x:c>
      <x:c r="C613" t="str">
        <x:v>2024-09</x:v>
      </x:c>
      <x:c r="D613" t="str">
        <x:v>CUS-0306</x:v>
      </x:c>
      <x:c r="E613" t="str">
        <x:v>South East</x:v>
      </x:c>
      <x:c r="F613" t="str">
        <x:v>Marketplace</x:v>
      </x:c>
      <x:c r="G613" t="str">
        <x:v>Books</x:v>
      </x:c>
      <x:c r="H613" t="str">
        <x:v>Data Analytics Handbook</x:v>
      </x:c>
      <x:c r="I613" t="n">
        <x:v>2</x:v>
      </x:c>
      <x:c r="J613" s="4" t="n">
        <x:v>40.78</x:v>
      </x:c>
      <x:c r="K613" s="4" t="n">
        <x:v>14</x:v>
      </x:c>
      <x:c r="L613" s="5" t="n">
        <x:v>0.15</x:v>
      </x:c>
      <x:c r="M613" s="4" t="n">
        <x:f>ROUND(I613*J613*(1-L613),2)</x:f>
        <x:v>69.33</x:v>
      </x:c>
      <x:c r="N613" s="4" t="n">
        <x:f>ROUND(I613*K613,2)</x:f>
        <x:v>28</x:v>
      </x:c>
      <x:c r="O613" s="4" t="n">
        <x:f>ROUND(M613-N613,2)</x:f>
        <x:v>41.33</x:v>
      </x:c>
      <x:c r="P613" s="6" t="n">
        <x:v>3.6</x:v>
      </x:c>
      <x:c r="Q613" t="str">
        <x:v>No</x:v>
      </x:c>
    </x:row>
    <x:row r="614">
      <x:c r="A614" t="str">
        <x:v>ORD-00660</x:v>
      </x:c>
      <x:c r="B614" s="3" t="n">
        <x:v>45550.93429362268</x:v>
      </x:c>
      <x:c r="C614" t="str">
        <x:v>2024-09</x:v>
      </x:c>
      <x:c r="D614" t="str">
        <x:v>CUS-0480</x:v>
      </x:c>
      <x:c r="E614" t="str">
        <x:v>Scotland</x:v>
      </x:c>
      <x:c r="F614" t="str">
        <x:v>Store</x:v>
      </x:c>
      <x:c r="G614" t="str">
        <x:v>Beauty</x:v>
      </x:c>
      <x:c r="H614" t="str">
        <x:v>Skin Care Set</x:v>
      </x:c>
      <x:c r="I614" t="n">
        <x:v>2</x:v>
      </x:c>
      <x:c r="J614" s="4" t="n">
        <x:v>45.02</x:v>
      </x:c>
      <x:c r="K614" s="4" t="n">
        <x:v>18</x:v>
      </x:c>
      <x:c r="L614" s="5" t="n">
        <x:v>0</x:v>
      </x:c>
      <x:c r="M614" s="4" t="n">
        <x:f>ROUND(I614*J614*(1-L614),2)</x:f>
        <x:v>90.04</x:v>
      </x:c>
      <x:c r="N614" s="4" t="n">
        <x:f>ROUND(I614*K614,2)</x:f>
        <x:v>36</x:v>
      </x:c>
      <x:c r="O614" s="4" t="n">
        <x:f>ROUND(M614-N614,2)</x:f>
        <x:v>54.04</x:v>
      </x:c>
      <x:c r="P614" s="6" t="n">
        <x:v>3.7</x:v>
      </x:c>
      <x:c r="Q614" t="str">
        <x:v>No</x:v>
      </x:c>
    </x:row>
    <x:row r="615">
      <x:c r="A615" t="str">
        <x:v>ORD-00534</x:v>
      </x:c>
      <x:c r="B615" s="3" t="n">
        <x:v>45551.071850127315</x:v>
      </x:c>
      <x:c r="C615" t="str">
        <x:v>2024-09</x:v>
      </x:c>
      <x:c r="D615" t="str">
        <x:v>CUS-0584</x:v>
      </x:c>
      <x:c r="E615" t="str">
        <x:v>North East</x:v>
      </x:c>
      <x:c r="F615" t="str">
        <x:v>Marketplace</x:v>
      </x:c>
      <x:c r="G615" t="str">
        <x:v>Sports</x:v>
      </x:c>
      <x:c r="H615" t="str">
        <x:v>Running Shoes</x:v>
      </x:c>
      <x:c r="I615" t="n">
        <x:v>2</x:v>
      </x:c>
      <x:c r="J615" s="4" t="n">
        <x:v>79.53</x:v>
      </x:c>
      <x:c r="K615" s="4" t="n">
        <x:v>38</x:v>
      </x:c>
      <x:c r="L615" s="5" t="n">
        <x:v>0.15</x:v>
      </x:c>
      <x:c r="M615" s="4" t="n">
        <x:f>ROUND(I615*J615*(1-L615),2)</x:f>
        <x:v>135.2</x:v>
      </x:c>
      <x:c r="N615" s="4" t="n">
        <x:f>ROUND(I615*K615,2)</x:f>
        <x:v>76</x:v>
      </x:c>
      <x:c r="O615" s="4" t="n">
        <x:f>ROUND(M615-N615,2)</x:f>
        <x:v>59.2</x:v>
      </x:c>
      <x:c r="P615" s="6" t="n">
        <x:v>3.3</x:v>
      </x:c>
      <x:c r="Q615" t="str">
        <x:v>Yes</x:v>
      </x:c>
    </x:row>
    <x:row r="616">
      <x:c r="A616" t="str">
        <x:v>ORD-00973</x:v>
      </x:c>
      <x:c r="B616" s="3" t="n">
        <x:v>45551.095295625</x:v>
      </x:c>
      <x:c r="C616" t="str">
        <x:v>2024-09</x:v>
      </x:c>
      <x:c r="D616" t="str">
        <x:v>CUS-0032</x:v>
      </x:c>
      <x:c r="E616" t="str">
        <x:v>North East</x:v>
      </x:c>
      <x:c r="F616" t="str">
        <x:v>Online</x:v>
      </x:c>
      <x:c r="G616" t="str">
        <x:v>Books</x:v>
      </x:c>
      <x:c r="H616" t="str">
        <x:v>Data Analytics Handbook</x:v>
      </x:c>
      <x:c r="I616" t="n">
        <x:v>1</x:v>
      </x:c>
      <x:c r="J616" s="4" t="n">
        <x:v>40.21</x:v>
      </x:c>
      <x:c r="K616" s="4" t="n">
        <x:v>14</x:v>
      </x:c>
      <x:c r="L616" s="5" t="n">
        <x:v>0.15</x:v>
      </x:c>
      <x:c r="M616" s="4" t="n">
        <x:f>ROUND(I616*J616*(1-L616),2)</x:f>
        <x:v>34.18</x:v>
      </x:c>
      <x:c r="N616" s="4" t="n">
        <x:f>ROUND(I616*K616,2)</x:f>
        <x:v>14</x:v>
      </x:c>
      <x:c r="O616" s="4" t="n">
        <x:f>ROUND(M616-N616,2)</x:f>
        <x:v>20.18</x:v>
      </x:c>
      <x:c r="P616" s="6" t="n">
        <x:v>4.7</x:v>
      </x:c>
      <x:c r="Q616" t="str">
        <x:v>No</x:v>
      </x:c>
    </x:row>
    <x:row r="617">
      <x:c r="A617" t="str">
        <x:v>ORD-00694</x:v>
      </x:c>
      <x:c r="B617" s="3" t="n">
        <x:v>45551.395629259256</x:v>
      </x:c>
      <x:c r="C617" t="str">
        <x:v>2024-09</x:v>
      </x:c>
      <x:c r="D617" t="str">
        <x:v>CUS-0153</x:v>
      </x:c>
      <x:c r="E617" t="str">
        <x:v>Scotland</x:v>
      </x:c>
      <x:c r="F617" t="str">
        <x:v>Marketplace</x:v>
      </x:c>
      <x:c r="G617" t="str">
        <x:v>Fashion</x:v>
      </x:c>
      <x:c r="H617" t="str">
        <x:v>Classic Trainers</x:v>
      </x:c>
      <x:c r="I617" t="n">
        <x:v>2</x:v>
      </x:c>
      <x:c r="J617" s="4" t="n">
        <x:v>67.47</x:v>
      </x:c>
      <x:c r="K617" s="4" t="n">
        <x:v>32</x:v>
      </x:c>
      <x:c r="L617" s="5" t="n">
        <x:v>0.1</x:v>
      </x:c>
      <x:c r="M617" s="4" t="n">
        <x:f>ROUND(I617*J617*(1-L617),2)</x:f>
        <x:v>121.45</x:v>
      </x:c>
      <x:c r="N617" s="4" t="n">
        <x:f>ROUND(I617*K617,2)</x:f>
        <x:v>64</x:v>
      </x:c>
      <x:c r="O617" s="4" t="n">
        <x:f>ROUND(M617-N617,2)</x:f>
        <x:v>57.45</x:v>
      </x:c>
      <x:c r="P617" s="6" t="n">
        <x:v>4.5</x:v>
      </x:c>
      <x:c r="Q617" t="str">
        <x:v>No</x:v>
      </x:c>
    </x:row>
    <x:row r="618">
      <x:c r="A618" t="str">
        <x:v>ORD-00342</x:v>
      </x:c>
      <x:c r="B618" s="3" t="n">
        <x:v>45551.45468509259</x:v>
      </x:c>
      <x:c r="C618" t="str">
        <x:v>2024-09</x:v>
      </x:c>
      <x:c r="D618" t="str">
        <x:v>CUS-0403</x:v>
      </x:c>
      <x:c r="E618" t="str">
        <x:v>Wales</x:v>
      </x:c>
      <x:c r="F618" t="str">
        <x:v>Online</x:v>
      </x:c>
      <x:c r="G618" t="str">
        <x:v>Home</x:v>
      </x:c>
      <x:c r="H618" t="str">
        <x:v>Desk Lamp</x:v>
      </x:c>
      <x:c r="I618" t="n">
        <x:v>5</x:v>
      </x:c>
      <x:c r="J618" s="4" t="n">
        <x:v>35.68</x:v>
      </x:c>
      <x:c r="K618" s="4" t="n">
        <x:v>17</x:v>
      </x:c>
      <x:c r="L618" s="5" t="n">
        <x:v>0.1</x:v>
      </x:c>
      <x:c r="M618" s="4" t="n">
        <x:f>ROUND(I618*J618*(1-L618),2)</x:f>
        <x:v>160.56</x:v>
      </x:c>
      <x:c r="N618" s="4" t="n">
        <x:f>ROUND(I618*K618,2)</x:f>
        <x:v>85</x:v>
      </x:c>
      <x:c r="O618" s="4" t="n">
        <x:f>ROUND(M618-N618,2)</x:f>
        <x:v>75.56</x:v>
      </x:c>
      <x:c r="P618" s="6" t="n">
        <x:v>3.9</x:v>
      </x:c>
      <x:c r="Q618" t="str">
        <x:v>No</x:v>
      </x:c>
    </x:row>
    <x:row r="619">
      <x:c r="A619" t="str">
        <x:v>ORD-00459</x:v>
      </x:c>
      <x:c r="B619" s="3" t="n">
        <x:v>45551.71210153935</x:v>
      </x:c>
      <x:c r="C619" t="str">
        <x:v>2024-09</x:v>
      </x:c>
      <x:c r="D619" t="str">
        <x:v>CUS-0167</x:v>
      </x:c>
      <x:c r="E619" t="str">
        <x:v>North East</x:v>
      </x:c>
      <x:c r="F619" t="str">
        <x:v>Online</x:v>
      </x:c>
      <x:c r="G619" t="str">
        <x:v>Home</x:v>
      </x:c>
      <x:c r="H619" t="str">
        <x:v>Air Fryer</x:v>
      </x:c>
      <x:c r="I619" t="n">
        <x:v>1</x:v>
      </x:c>
      <x:c r="J619" s="4" t="n">
        <x:v>120.02</x:v>
      </x:c>
      <x:c r="K619" s="4" t="n">
        <x:v>69</x:v>
      </x:c>
      <x:c r="L619" s="5" t="n">
        <x:v>0.2</x:v>
      </x:c>
      <x:c r="M619" s="4" t="n">
        <x:f>ROUND(I619*J619*(1-L619),2)</x:f>
        <x:v>96.02</x:v>
      </x:c>
      <x:c r="N619" s="4" t="n">
        <x:f>ROUND(I619*K619,2)</x:f>
        <x:v>69</x:v>
      </x:c>
      <x:c r="O619" s="4" t="n">
        <x:f>ROUND(M619-N619,2)</x:f>
        <x:v>27.02</x:v>
      </x:c>
      <x:c r="P619" s="6" t="n">
        <x:v>4.8</x:v>
      </x:c>
      <x:c r="Q619" t="str">
        <x:v>No</x:v>
      </x:c>
    </x:row>
    <x:row r="620">
      <x:c r="A620" t="str">
        <x:v>ORD-00677</x:v>
      </x:c>
      <x:c r="B620" s="3" t="n">
        <x:v>45552.182479386574</x:v>
      </x:c>
      <x:c r="C620" t="str">
        <x:v>2024-09</x:v>
      </x:c>
      <x:c r="D620" t="str">
        <x:v>CUS-0565</x:v>
      </x:c>
      <x:c r="E620" t="str">
        <x:v>South East</x:v>
      </x:c>
      <x:c r="F620" t="str">
        <x:v>Online</x:v>
      </x:c>
      <x:c r="G620" t="str">
        <x:v>Beauty</x:v>
      </x:c>
      <x:c r="H620" t="str">
        <x:v>Hair Dryer</x:v>
      </x:c>
      <x:c r="I620" t="n">
        <x:v>3</x:v>
      </x:c>
      <x:c r="J620" s="4" t="n">
        <x:v>59.43</x:v>
      </x:c>
      <x:c r="K620" s="4" t="n">
        <x:v>29</x:v>
      </x:c>
      <x:c r="L620" s="5" t="n">
        <x:v>0.1</x:v>
      </x:c>
      <x:c r="M620" s="4" t="n">
        <x:f>ROUND(I620*J620*(1-L620),2)</x:f>
        <x:v>160.46</x:v>
      </x:c>
      <x:c r="N620" s="4" t="n">
        <x:f>ROUND(I620*K620,2)</x:f>
        <x:v>87</x:v>
      </x:c>
      <x:c r="O620" s="4" t="n">
        <x:f>ROUND(M620-N620,2)</x:f>
        <x:v>73.46</x:v>
      </x:c>
      <x:c r="P620" s="6" t="n">
        <x:v>3.6</x:v>
      </x:c>
      <x:c r="Q620" t="str">
        <x:v>No</x:v>
      </x:c>
    </x:row>
    <x:row r="621">
      <x:c r="A621" t="str">
        <x:v>ORD-01607</x:v>
      </x:c>
      <x:c r="B621" s="3" t="n">
        <x:v>45552.40698796296</x:v>
      </x:c>
      <x:c r="C621" t="str">
        <x:v>2024-09</x:v>
      </x:c>
      <x:c r="D621" t="str">
        <x:v>CUS-0451</x:v>
      </x:c>
      <x:c r="E621" t="str">
        <x:v>North West</x:v>
      </x:c>
      <x:c r="F621" t="str">
        <x:v>Marketplace</x:v>
      </x:c>
      <x:c r="G621" t="str">
        <x:v>Beauty</x:v>
      </x:c>
      <x:c r="H621" t="str">
        <x:v>Skin Care Set</x:v>
      </x:c>
      <x:c r="I621" t="n">
        <x:v>1</x:v>
      </x:c>
      <x:c r="J621" s="4" t="n">
        <x:v>44.2</x:v>
      </x:c>
      <x:c r="K621" s="4" t="n">
        <x:v>18</x:v>
      </x:c>
      <x:c r="L621" s="5" t="n">
        <x:v>0.15</x:v>
      </x:c>
      <x:c r="M621" s="4" t="n">
        <x:f>ROUND(I621*J621*(1-L621),2)</x:f>
        <x:v>37.57</x:v>
      </x:c>
      <x:c r="N621" s="4" t="n">
        <x:f>ROUND(I621*K621,2)</x:f>
        <x:v>18</x:v>
      </x:c>
      <x:c r="O621" s="4" t="n">
        <x:f>ROUND(M621-N621,2)</x:f>
        <x:v>19.57</x:v>
      </x:c>
      <x:c r="P621" s="6" t="n">
        <x:v>4.1</x:v>
      </x:c>
      <x:c r="Q621" t="str">
        <x:v>No</x:v>
      </x:c>
    </x:row>
    <x:row r="622">
      <x:c r="A622" t="str">
        <x:v>ORD-00926</x:v>
      </x:c>
      <x:c r="B622" s="3" t="n">
        <x:v>45552.827319895834</x:v>
      </x:c>
      <x:c r="C622" t="str">
        <x:v>2024-09</x:v>
      </x:c>
      <x:c r="D622" t="str">
        <x:v>CUS-0149</x:v>
      </x:c>
      <x:c r="E622" t="str">
        <x:v>Wales</x:v>
      </x:c>
      <x:c r="F622" t="str">
        <x:v>Marketplace</x:v>
      </x:c>
      <x:c r="G622" t="str">
        <x:v>Home</x:v>
      </x:c>
      <x:c r="H622" t="str">
        <x:v>Coffee Maker</x:v>
      </x:c>
      <x:c r="I622" t="n">
        <x:v>2</x:v>
      </x:c>
      <x:c r="J622" s="4" t="n">
        <x:v>78.05</x:v>
      </x:c>
      <x:c r="K622" s="4" t="n">
        <x:v>41</x:v>
      </x:c>
      <x:c r="L622" s="5" t="n">
        <x:v>0.2</x:v>
      </x:c>
      <x:c r="M622" s="4" t="n">
        <x:f>ROUND(I622*J622*(1-L622),2)</x:f>
        <x:v>124.88</x:v>
      </x:c>
      <x:c r="N622" s="4" t="n">
        <x:f>ROUND(I622*K622,2)</x:f>
        <x:v>82</x:v>
      </x:c>
      <x:c r="O622" s="4" t="n">
        <x:f>ROUND(M622-N622,2)</x:f>
        <x:v>42.88</x:v>
      </x:c>
      <x:c r="P622" s="6" t="n">
        <x:v>4.2</x:v>
      </x:c>
      <x:c r="Q622" t="str">
        <x:v>Yes</x:v>
      </x:c>
    </x:row>
    <x:row r="623">
      <x:c r="A623" t="str">
        <x:v>ORD-00500</x:v>
      </x:c>
      <x:c r="B623" s="3" t="n">
        <x:v>45553.90502293981</x:v>
      </x:c>
      <x:c r="C623" t="str">
        <x:v>2024-09</x:v>
      </x:c>
      <x:c r="D623" t="str">
        <x:v>CUS-0529</x:v>
      </x:c>
      <x:c r="E623" t="str">
        <x:v>North East</x:v>
      </x:c>
      <x:c r="F623" t="str">
        <x:v>Marketplace</x:v>
      </x:c>
      <x:c r="G623" t="str">
        <x:v>Sports</x:v>
      </x:c>
      <x:c r="H623" t="str">
        <x:v>Fitness Tracker</x:v>
      </x:c>
      <x:c r="I623" t="n">
        <x:v>1</x:v>
      </x:c>
      <x:c r="J623" s="4" t="n">
        <x:v>57.67</x:v>
      </x:c>
      <x:c r="K623" s="4" t="n">
        <x:v>27</x:v>
      </x:c>
      <x:c r="L623" s="5" t="n">
        <x:v>0.1</x:v>
      </x:c>
      <x:c r="M623" s="4" t="n">
        <x:f>ROUND(I623*J623*(1-L623),2)</x:f>
        <x:v>51.9</x:v>
      </x:c>
      <x:c r="N623" s="4" t="n">
        <x:f>ROUND(I623*K623,2)</x:f>
        <x:v>27</x:v>
      </x:c>
      <x:c r="O623" s="4" t="n">
        <x:f>ROUND(M623-N623,2)</x:f>
        <x:v>24.9</x:v>
      </x:c>
      <x:c r="P623" s="6" t="n">
        <x:v>4.1</x:v>
      </x:c>
      <x:c r="Q623" t="str">
        <x:v>No</x:v>
      </x:c>
    </x:row>
    <x:row r="624">
      <x:c r="A624" t="str">
        <x:v>ORD-01165</x:v>
      </x:c>
      <x:c r="B624" s="3" t="n">
        <x:v>45554.063359872685</x:v>
      </x:c>
      <x:c r="C624" t="str">
        <x:v>2024-09</x:v>
      </x:c>
      <x:c r="D624" t="str">
        <x:v>CUS-0291</x:v>
      </x:c>
      <x:c r="E624" t="str">
        <x:v>North East</x:v>
      </x:c>
      <x:c r="F624" t="str">
        <x:v>Store</x:v>
      </x:c>
      <x:c r="G624" t="str">
        <x:v>Fashion</x:v>
      </x:c>
      <x:c r="H624" t="str">
        <x:v>Winter Jacket</x:v>
      </x:c>
      <x:c r="I624" t="n">
        <x:v>5</x:v>
      </x:c>
      <x:c r="J624" s="4" t="n">
        <x:v>96.12</x:v>
      </x:c>
      <x:c r="K624" s="4" t="n">
        <x:v>46</x:v>
      </x:c>
      <x:c r="L624" s="5" t="n">
        <x:v>0.15</x:v>
      </x:c>
      <x:c r="M624" s="4" t="n">
        <x:f>ROUND(I624*J624*(1-L624),2)</x:f>
        <x:v>408.51</x:v>
      </x:c>
      <x:c r="N624" s="4" t="n">
        <x:f>ROUND(I624*K624,2)</x:f>
        <x:v>230</x:v>
      </x:c>
      <x:c r="O624" s="4" t="n">
        <x:f>ROUND(M624-N624,2)</x:f>
        <x:v>178.51</x:v>
      </x:c>
      <x:c r="P624" s="6" t="n">
        <x:v>4.7</x:v>
      </x:c>
      <x:c r="Q624" t="str">
        <x:v>No</x:v>
      </x:c>
    </x:row>
    <x:row r="625">
      <x:c r="A625" t="str">
        <x:v>ORD-00499</x:v>
      </x:c>
      <x:c r="B625" s="3" t="n">
        <x:v>45554.52810707176</x:v>
      </x:c>
      <x:c r="C625" t="str">
        <x:v>2024-09</x:v>
      </x:c>
      <x:c r="D625" t="str">
        <x:v>CUS-0445</x:v>
      </x:c>
      <x:c r="E625" t="str">
        <x:v>North East</x:v>
      </x:c>
      <x:c r="F625" t="str">
        <x:v>Marketplace</x:v>
      </x:c>
      <x:c r="G625" t="str">
        <x:v>Home</x:v>
      </x:c>
      <x:c r="H625" t="str">
        <x:v>Air Fryer</x:v>
      </x:c>
      <x:c r="I625" t="n">
        <x:v>3</x:v>
      </x:c>
      <x:c r="J625" s="4" t="n">
        <x:v>116.93</x:v>
      </x:c>
      <x:c r="K625" s="4" t="n">
        <x:v>69</x:v>
      </x:c>
      <x:c r="L625" s="5" t="n">
        <x:v>0.05</x:v>
      </x:c>
      <x:c r="M625" s="4" t="n">
        <x:f>ROUND(I625*J625*(1-L625),2)</x:f>
        <x:v>333.25</x:v>
      </x:c>
      <x:c r="N625" s="4" t="n">
        <x:f>ROUND(I625*K625,2)</x:f>
        <x:v>207</x:v>
      </x:c>
      <x:c r="O625" s="4" t="n">
        <x:f>ROUND(M625-N625,2)</x:f>
        <x:v>126.25</x:v>
      </x:c>
      <x:c r="P625" s="6" t="n">
        <x:v>4.1</x:v>
      </x:c>
      <x:c r="Q625" t="str">
        <x:v>No</x:v>
      </x:c>
    </x:row>
    <x:row r="626">
      <x:c r="A626" t="str">
        <x:v>ORD-00661</x:v>
      </x:c>
      <x:c r="B626" s="3" t="n">
        <x:v>45554.5488409375</x:v>
      </x:c>
      <x:c r="C626" t="str">
        <x:v>2024-09</x:v>
      </x:c>
      <x:c r="D626" t="str">
        <x:v>CUS-0039</x:v>
      </x:c>
      <x:c r="E626" t="str">
        <x:v>Wales</x:v>
      </x:c>
      <x:c r="F626" t="str">
        <x:v>Marketplace</x:v>
      </x:c>
      <x:c r="G626" t="str">
        <x:v>Sports</x:v>
      </x:c>
      <x:c r="H626" t="str">
        <x:v>Fitness Tracker</x:v>
      </x:c>
      <x:c r="I626" t="n">
        <x:v>2</x:v>
      </x:c>
      <x:c r="J626" s="4" t="n">
        <x:v>56.62</x:v>
      </x:c>
      <x:c r="K626" s="4" t="n">
        <x:v>27</x:v>
      </x:c>
      <x:c r="L626" s="5" t="n">
        <x:v>0.1</x:v>
      </x:c>
      <x:c r="M626" s="4" t="n">
        <x:f>ROUND(I626*J626*(1-L626),2)</x:f>
        <x:v>101.92</x:v>
      </x:c>
      <x:c r="N626" s="4" t="n">
        <x:f>ROUND(I626*K626,2)</x:f>
        <x:v>54</x:v>
      </x:c>
      <x:c r="O626" s="4" t="n">
        <x:f>ROUND(M626-N626,2)</x:f>
        <x:v>47.92</x:v>
      </x:c>
      <x:c r="P626" s="6" t="n">
        <x:v>3.8</x:v>
      </x:c>
      <x:c r="Q626" t="str">
        <x:v>No</x:v>
      </x:c>
    </x:row>
    <x:row r="627">
      <x:c r="A627" t="str">
        <x:v>ORD-01291</x:v>
      </x:c>
      <x:c r="B627" s="3" t="n">
        <x:v>45554.83423962963</x:v>
      </x:c>
      <x:c r="C627" t="str">
        <x:v>2024-09</x:v>
      </x:c>
      <x:c r="D627" t="str">
        <x:v>CUS-0021</x:v>
      </x:c>
      <x:c r="E627" t="str">
        <x:v>Midlands</x:v>
      </x:c>
      <x:c r="F627" t="str">
        <x:v>Marketplace</x:v>
      </x:c>
      <x:c r="G627" t="str">
        <x:v>Home</x:v>
      </x:c>
      <x:c r="H627" t="str">
        <x:v>Air Fryer</x:v>
      </x:c>
      <x:c r="I627" t="n">
        <x:v>2</x:v>
      </x:c>
      <x:c r="J627" s="4" t="n">
        <x:v>123.04</x:v>
      </x:c>
      <x:c r="K627" s="4" t="n">
        <x:v>69</x:v>
      </x:c>
      <x:c r="L627" s="5" t="n">
        <x:v>0</x:v>
      </x:c>
      <x:c r="M627" s="4" t="n">
        <x:f>ROUND(I627*J627*(1-L627),2)</x:f>
        <x:v>246.08</x:v>
      </x:c>
      <x:c r="N627" s="4" t="n">
        <x:f>ROUND(I627*K627,2)</x:f>
        <x:v>138</x:v>
      </x:c>
      <x:c r="O627" s="4" t="n">
        <x:f>ROUND(M627-N627,2)</x:f>
        <x:v>108.08</x:v>
      </x:c>
      <x:c r="P627" s="6" t="n">
        <x:v>4.8</x:v>
      </x:c>
      <x:c r="Q627" t="str">
        <x:v>No</x:v>
      </x:c>
    </x:row>
    <x:row r="628">
      <x:c r="A628" t="str">
        <x:v>ORD-01719</x:v>
      </x:c>
      <x:c r="B628" s="3" t="n">
        <x:v>45556.2130108912</x:v>
      </x:c>
      <x:c r="C628" t="str">
        <x:v>2024-09</x:v>
      </x:c>
      <x:c r="D628" t="str">
        <x:v>CUS-0486</x:v>
      </x:c>
      <x:c r="E628" t="str">
        <x:v>North West</x:v>
      </x:c>
      <x:c r="F628" t="str">
        <x:v>Online</x:v>
      </x:c>
      <x:c r="G628" t="str">
        <x:v>Electronics</x:v>
      </x:c>
      <x:c r="H628" t="str">
        <x:v>Bluetooth Speaker</x:v>
      </x:c>
      <x:c r="I628" t="n">
        <x:v>3</x:v>
      </x:c>
      <x:c r="J628" s="4" t="n">
        <x:v>64.36</x:v>
      </x:c>
      <x:c r="K628" s="4" t="n">
        <x:v>34</x:v>
      </x:c>
      <x:c r="L628" s="5" t="n">
        <x:v>0</x:v>
      </x:c>
      <x:c r="M628" s="4" t="n">
        <x:f>ROUND(I628*J628*(1-L628),2)</x:f>
        <x:v>193.08</x:v>
      </x:c>
      <x:c r="N628" s="4" t="n">
        <x:f>ROUND(I628*K628,2)</x:f>
        <x:v>102</x:v>
      </x:c>
      <x:c r="O628" s="4" t="n">
        <x:f>ROUND(M628-N628,2)</x:f>
        <x:v>91.08</x:v>
      </x:c>
      <x:c r="P628" s="6" t="n">
        <x:v>3.4</x:v>
      </x:c>
      <x:c r="Q628" t="str">
        <x:v>No</x:v>
      </x:c>
    </x:row>
    <x:row r="629">
      <x:c r="A629" t="str">
        <x:v>ORD-00988</x:v>
      </x:c>
      <x:c r="B629" s="3" t="n">
        <x:v>45556.24771157408</x:v>
      </x:c>
      <x:c r="C629" t="str">
        <x:v>2024-09</x:v>
      </x:c>
      <x:c r="D629" t="str">
        <x:v>CUS-0103</x:v>
      </x:c>
      <x:c r="E629" t="str">
        <x:v>South West</x:v>
      </x:c>
      <x:c r="F629" t="str">
        <x:v>Store</x:v>
      </x:c>
      <x:c r="G629" t="str">
        <x:v>Home</x:v>
      </x:c>
      <x:c r="H629" t="str">
        <x:v>Air Fryer</x:v>
      </x:c>
      <x:c r="I629" t="n">
        <x:v>4</x:v>
      </x:c>
      <x:c r="J629" s="4" t="n">
        <x:v>122.85</x:v>
      </x:c>
      <x:c r="K629" s="4" t="n">
        <x:v>69</x:v>
      </x:c>
      <x:c r="L629" s="5" t="n">
        <x:v>0.1</x:v>
      </x:c>
      <x:c r="M629" s="4" t="n">
        <x:f>ROUND(I629*J629*(1-L629),2)</x:f>
        <x:v>442.26</x:v>
      </x:c>
      <x:c r="N629" s="4" t="n">
        <x:f>ROUND(I629*K629,2)</x:f>
        <x:v>276</x:v>
      </x:c>
      <x:c r="O629" s="4" t="n">
        <x:f>ROUND(M629-N629,2)</x:f>
        <x:v>166.26</x:v>
      </x:c>
      <x:c r="P629" s="6" t="n">
        <x:v>3.5</x:v>
      </x:c>
      <x:c r="Q629" t="str">
        <x:v>No</x:v>
      </x:c>
    </x:row>
    <x:row r="630">
      <x:c r="A630" t="str">
        <x:v>ORD-00134</x:v>
      </x:c>
      <x:c r="B630" s="3" t="n">
        <x:v>45556.625159965275</x:v>
      </x:c>
      <x:c r="C630" t="str">
        <x:v>2024-09</x:v>
      </x:c>
      <x:c r="D630" t="str">
        <x:v>CUS-0278</x:v>
      </x:c>
      <x:c r="E630" t="str">
        <x:v>South East</x:v>
      </x:c>
      <x:c r="F630" t="str">
        <x:v>Store</x:v>
      </x:c>
      <x:c r="G630" t="str">
        <x:v>Books</x:v>
      </x:c>
      <x:c r="H630" t="str">
        <x:v>Data Analytics Handbook</x:v>
      </x:c>
      <x:c r="I630" t="n">
        <x:v>4</x:v>
      </x:c>
      <x:c r="J630" s="4" t="n">
        <x:v>41.47</x:v>
      </x:c>
      <x:c r="K630" s="4" t="n">
        <x:v>14</x:v>
      </x:c>
      <x:c r="L630" s="5" t="n">
        <x:v>0.1</x:v>
      </x:c>
      <x:c r="M630" s="4" t="n">
        <x:f>ROUND(I630*J630*(1-L630),2)</x:f>
        <x:v>149.29</x:v>
      </x:c>
      <x:c r="N630" s="4" t="n">
        <x:f>ROUND(I630*K630,2)</x:f>
        <x:v>56</x:v>
      </x:c>
      <x:c r="O630" s="4" t="n">
        <x:f>ROUND(M630-N630,2)</x:f>
        <x:v>93.29</x:v>
      </x:c>
      <x:c r="P630" s="6" t="n">
        <x:v>4.7</x:v>
      </x:c>
      <x:c r="Q630" t="str">
        <x:v>No</x:v>
      </x:c>
    </x:row>
    <x:row r="631">
      <x:c r="A631" t="str">
        <x:v>ORD-00391</x:v>
      </x:c>
      <x:c r="B631" s="3" t="n">
        <x:v>45557.053765185185</x:v>
      </x:c>
      <x:c r="C631" t="str">
        <x:v>2024-09</x:v>
      </x:c>
      <x:c r="D631" t="str">
        <x:v>CUS-0074</x:v>
      </x:c>
      <x:c r="E631" t="str">
        <x:v>Scotland</x:v>
      </x:c>
      <x:c r="F631" t="str">
        <x:v>Store</x:v>
      </x:c>
      <x:c r="G631" t="str">
        <x:v>Home</x:v>
      </x:c>
      <x:c r="H631" t="str">
        <x:v>Coffee Maker</x:v>
      </x:c>
      <x:c r="I631" t="n">
        <x:v>5</x:v>
      </x:c>
      <x:c r="J631" s="4" t="n">
        <x:v>73.21</x:v>
      </x:c>
      <x:c r="K631" s="4" t="n">
        <x:v>41</x:v>
      </x:c>
      <x:c r="L631" s="5" t="n">
        <x:v>0.1</x:v>
      </x:c>
      <x:c r="M631" s="4" t="n">
        <x:f>ROUND(I631*J631*(1-L631),2)</x:f>
        <x:v>329.45</x:v>
      </x:c>
      <x:c r="N631" s="4" t="n">
        <x:f>ROUND(I631*K631,2)</x:f>
        <x:v>205</x:v>
      </x:c>
      <x:c r="O631" s="4" t="n">
        <x:f>ROUND(M631-N631,2)</x:f>
        <x:v>124.45</x:v>
      </x:c>
      <x:c r="P631" s="6" t="n">
        <x:v>4.7</x:v>
      </x:c>
      <x:c r="Q631" t="str">
        <x:v>No</x:v>
      </x:c>
    </x:row>
    <x:row r="632">
      <x:c r="A632" t="str">
        <x:v>ORD-00805</x:v>
      </x:c>
      <x:c r="B632" s="3" t="n">
        <x:v>45557.28101362268</x:v>
      </x:c>
      <x:c r="C632" t="str">
        <x:v>2024-09</x:v>
      </x:c>
      <x:c r="D632" t="str">
        <x:v>CUS-0157</x:v>
      </x:c>
      <x:c r="E632" t="str">
        <x:v>Wales</x:v>
      </x:c>
      <x:c r="F632" t="str">
        <x:v>Marketplace</x:v>
      </x:c>
      <x:c r="G632" t="str">
        <x:v>Home</x:v>
      </x:c>
      <x:c r="H632" t="str">
        <x:v>Desk Lamp</x:v>
      </x:c>
      <x:c r="I632" t="n">
        <x:v>4</x:v>
      </x:c>
      <x:c r="J632" s="4" t="n">
        <x:v>36.33</x:v>
      </x:c>
      <x:c r="K632" s="4" t="n">
        <x:v>17</x:v>
      </x:c>
      <x:c r="L632" s="5" t="n">
        <x:v>0</x:v>
      </x:c>
      <x:c r="M632" s="4" t="n">
        <x:f>ROUND(I632*J632*(1-L632),2)</x:f>
        <x:v>145.32</x:v>
      </x:c>
      <x:c r="N632" s="4" t="n">
        <x:f>ROUND(I632*K632,2)</x:f>
        <x:v>68</x:v>
      </x:c>
      <x:c r="O632" s="4" t="n">
        <x:f>ROUND(M632-N632,2)</x:f>
        <x:v>77.32</x:v>
      </x:c>
      <x:c r="P632" s="6" t="n">
        <x:v>4.1</x:v>
      </x:c>
      <x:c r="Q632" t="str">
        <x:v>No</x:v>
      </x:c>
    </x:row>
    <x:row r="633">
      <x:c r="A633" t="str">
        <x:v>ORD-00084</x:v>
      </x:c>
      <x:c r="B633" s="3" t="n">
        <x:v>45557.89348369213</x:v>
      </x:c>
      <x:c r="C633" t="str">
        <x:v>2024-09</x:v>
      </x:c>
      <x:c r="D633" t="str">
        <x:v>CUS-0444</x:v>
      </x:c>
      <x:c r="E633" t="str">
        <x:v>Wales</x:v>
      </x:c>
      <x:c r="F633" t="str">
        <x:v>Store</x:v>
      </x:c>
      <x:c r="G633" t="str">
        <x:v>Books</x:v>
      </x:c>
      <x:c r="H633" t="str">
        <x:v>Data Analytics Handbook</x:v>
      </x:c>
      <x:c r="I633" t="n">
        <x:v>4</x:v>
      </x:c>
      <x:c r="J633" s="4" t="n">
        <x:v>40.17</x:v>
      </x:c>
      <x:c r="K633" s="4" t="n">
        <x:v>14</x:v>
      </x:c>
      <x:c r="L633" s="5" t="n">
        <x:v>0.05</x:v>
      </x:c>
      <x:c r="M633" s="4" t="n">
        <x:f>ROUND(I633*J633*(1-L633),2)</x:f>
        <x:v>152.65</x:v>
      </x:c>
      <x:c r="N633" s="4" t="n">
        <x:f>ROUND(I633*K633,2)</x:f>
        <x:v>56</x:v>
      </x:c>
      <x:c r="O633" s="4" t="n">
        <x:f>ROUND(M633-N633,2)</x:f>
        <x:v>96.65</x:v>
      </x:c>
      <x:c r="P633" s="6" t="n">
        <x:v>5</x:v>
      </x:c>
      <x:c r="Q633" t="str">
        <x:v>No</x:v>
      </x:c>
    </x:row>
    <x:row r="634">
      <x:c r="A634" t="str">
        <x:v>ORD-00004</x:v>
      </x:c>
      <x:c r="B634" s="3" t="n">
        <x:v>45558.01259068287</x:v>
      </x:c>
      <x:c r="C634" t="str">
        <x:v>2024-09</x:v>
      </x:c>
      <x:c r="D634" t="str">
        <x:v>CUS-0418</x:v>
      </x:c>
      <x:c r="E634" t="str">
        <x:v>South East</x:v>
      </x:c>
      <x:c r="F634" t="str">
        <x:v>Marketplace</x:v>
      </x:c>
      <x:c r="G634" t="str">
        <x:v>Sports</x:v>
      </x:c>
      <x:c r="H634" t="str">
        <x:v>Yoga Mat</x:v>
      </x:c>
      <x:c r="I634" t="n">
        <x:v>1</x:v>
      </x:c>
      <x:c r="J634" s="4" t="n">
        <x:v>29.78</x:v>
      </x:c>
      <x:c r="K634" s="4" t="n">
        <x:v>12</x:v>
      </x:c>
      <x:c r="L634" s="5" t="n">
        <x:v>0</x:v>
      </x:c>
      <x:c r="M634" s="4" t="n">
        <x:f>ROUND(I634*J634*(1-L634),2)</x:f>
        <x:v>29.78</x:v>
      </x:c>
      <x:c r="N634" s="4" t="n">
        <x:f>ROUND(I634*K634,2)</x:f>
        <x:v>12</x:v>
      </x:c>
      <x:c r="O634" s="4" t="n">
        <x:f>ROUND(M634-N634,2)</x:f>
        <x:v>17.78</x:v>
      </x:c>
      <x:c r="P634" s="6" t="n">
        <x:v>3.6</x:v>
      </x:c>
      <x:c r="Q634" t="str">
        <x:v>No</x:v>
      </x:c>
    </x:row>
    <x:row r="635">
      <x:c r="A635" t="str">
        <x:v>ORD-00804</x:v>
      </x:c>
      <x:c r="B635" s="3" t="n">
        <x:v>45558.576596203704</x:v>
      </x:c>
      <x:c r="C635" t="str">
        <x:v>2024-09</x:v>
      </x:c>
      <x:c r="D635" t="str">
        <x:v>CUS-0233</x:v>
      </x:c>
      <x:c r="E635" t="str">
        <x:v>Scotland</x:v>
      </x:c>
      <x:c r="F635" t="str">
        <x:v>Store</x:v>
      </x:c>
      <x:c r="G635" t="str">
        <x:v>Sports</x:v>
      </x:c>
      <x:c r="H635" t="str">
        <x:v>Fitness Tracker</x:v>
      </x:c>
      <x:c r="I635" t="n">
        <x:v>3</x:v>
      </x:c>
      <x:c r="J635" s="4" t="n">
        <x:v>53.17</x:v>
      </x:c>
      <x:c r="K635" s="4" t="n">
        <x:v>27</x:v>
      </x:c>
      <x:c r="L635" s="5" t="n">
        <x:v>0</x:v>
      </x:c>
      <x:c r="M635" s="4" t="n">
        <x:f>ROUND(I635*J635*(1-L635),2)</x:f>
        <x:v>159.51</x:v>
      </x:c>
      <x:c r="N635" s="4" t="n">
        <x:f>ROUND(I635*K635,2)</x:f>
        <x:v>81</x:v>
      </x:c>
      <x:c r="O635" s="4" t="n">
        <x:f>ROUND(M635-N635,2)</x:f>
        <x:v>78.51</x:v>
      </x:c>
      <x:c r="P635" s="6" t="n">
        <x:v>3.5</x:v>
      </x:c>
      <x:c r="Q635" t="str">
        <x:v>No</x:v>
      </x:c>
    </x:row>
    <x:row r="636">
      <x:c r="A636" t="str">
        <x:v>ORD-00389</x:v>
      </x:c>
      <x:c r="B636" s="3" t="n">
        <x:v>45558.77949152778</x:v>
      </x:c>
      <x:c r="C636" t="str">
        <x:v>2024-09</x:v>
      </x:c>
      <x:c r="D636" t="str">
        <x:v>CUS-0410</x:v>
      </x:c>
      <x:c r="E636" t="str">
        <x:v>London</x:v>
      </x:c>
      <x:c r="F636" t="str">
        <x:v>Online</x:v>
      </x:c>
      <x:c r="G636" t="str">
        <x:v>Electronics</x:v>
      </x:c>
      <x:c r="H636" t="str">
        <x:v>Bluetooth Speaker</x:v>
      </x:c>
      <x:c r="I636" t="n">
        <x:v>1</x:v>
      </x:c>
      <x:c r="J636" s="4" t="n">
        <x:v>61.81</x:v>
      </x:c>
      <x:c r="K636" s="4" t="n">
        <x:v>34</x:v>
      </x:c>
      <x:c r="L636" s="5" t="n">
        <x:v>0.05</x:v>
      </x:c>
      <x:c r="M636" s="4" t="n">
        <x:f>ROUND(I636*J636*(1-L636),2)</x:f>
        <x:v>58.72</x:v>
      </x:c>
      <x:c r="N636" s="4" t="n">
        <x:f>ROUND(I636*K636,2)</x:f>
        <x:v>34</x:v>
      </x:c>
      <x:c r="O636" s="4" t="n">
        <x:f>ROUND(M636-N636,2)</x:f>
        <x:v>24.72</x:v>
      </x:c>
      <x:c r="P636" s="6" t="n">
        <x:v>3.7</x:v>
      </x:c>
      <x:c r="Q636" t="str">
        <x:v>No</x:v>
      </x:c>
    </x:row>
    <x:row r="637">
      <x:c r="A637" t="str">
        <x:v>ORD-01797</x:v>
      </x:c>
      <x:c r="B637" s="3" t="n">
        <x:v>45558.95714853009</x:v>
      </x:c>
      <x:c r="C637" t="str">
        <x:v>2024-09</x:v>
      </x:c>
      <x:c r="D637" t="str">
        <x:v>CUS-0159</x:v>
      </x:c>
      <x:c r="E637" t="str">
        <x:v>South East</x:v>
      </x:c>
      <x:c r="F637" t="str">
        <x:v>Store</x:v>
      </x:c>
      <x:c r="G637" t="str">
        <x:v>Home</x:v>
      </x:c>
      <x:c r="H637" t="str">
        <x:v>Coffee Maker</x:v>
      </x:c>
      <x:c r="I637" t="n">
        <x:v>1</x:v>
      </x:c>
      <x:c r="J637" s="4" t="n">
        <x:v>73.44</x:v>
      </x:c>
      <x:c r="K637" s="4" t="n">
        <x:v>41</x:v>
      </x:c>
      <x:c r="L637" s="5" t="n">
        <x:v>0.05</x:v>
      </x:c>
      <x:c r="M637" s="4" t="n">
        <x:f>ROUND(I637*J637*(1-L637),2)</x:f>
        <x:v>69.77</x:v>
      </x:c>
      <x:c r="N637" s="4" t="n">
        <x:f>ROUND(I637*K637,2)</x:f>
        <x:v>41</x:v>
      </x:c>
      <x:c r="O637" s="4" t="n">
        <x:f>ROUND(M637-N637,2)</x:f>
        <x:v>28.77</x:v>
      </x:c>
      <x:c r="P637" s="6" t="n">
        <x:v>4.7</x:v>
      </x:c>
      <x:c r="Q637" t="str">
        <x:v>No</x:v>
      </x:c>
    </x:row>
    <x:row r="638">
      <x:c r="A638" t="str">
        <x:v>ORD-00407</x:v>
      </x:c>
      <x:c r="B638" s="3" t="n">
        <x:v>45559.10233040509</x:v>
      </x:c>
      <x:c r="C638" t="str">
        <x:v>2024-09</x:v>
      </x:c>
      <x:c r="D638" t="str">
        <x:v>CUS-0291</x:v>
      </x:c>
      <x:c r="E638" t="str">
        <x:v>North West</x:v>
      </x:c>
      <x:c r="F638" t="str">
        <x:v>Marketplace</x:v>
      </x:c>
      <x:c r="G638" t="str">
        <x:v>Home</x:v>
      </x:c>
      <x:c r="H638" t="str">
        <x:v>Air Fryer</x:v>
      </x:c>
      <x:c r="I638" t="n">
        <x:v>2</x:v>
      </x:c>
      <x:c r="J638" s="4" t="n">
        <x:v>125.18</x:v>
      </x:c>
      <x:c r="K638" s="4" t="n">
        <x:v>69</x:v>
      </x:c>
      <x:c r="L638" s="5" t="n">
        <x:v>0.1</x:v>
      </x:c>
      <x:c r="M638" s="4" t="n">
        <x:f>ROUND(I638*J638*(1-L638),2)</x:f>
        <x:v>225.32</x:v>
      </x:c>
      <x:c r="N638" s="4" t="n">
        <x:f>ROUND(I638*K638,2)</x:f>
        <x:v>138</x:v>
      </x:c>
      <x:c r="O638" s="4" t="n">
        <x:f>ROUND(M638-N638,2)</x:f>
        <x:v>87.32</x:v>
      </x:c>
      <x:c r="P638" s="6" t="n">
        <x:v>5</x:v>
      </x:c>
      <x:c r="Q638" t="str">
        <x:v>No</x:v>
      </x:c>
    </x:row>
    <x:row r="639">
      <x:c r="A639" t="str">
        <x:v>ORD-00379</x:v>
      </x:c>
      <x:c r="B639" s="3" t="n">
        <x:v>45561.42377324074</x:v>
      </x:c>
      <x:c r="C639" t="str">
        <x:v>2024-09</x:v>
      </x:c>
      <x:c r="D639" t="str">
        <x:v>CUS-0095</x:v>
      </x:c>
      <x:c r="E639" t="str">
        <x:v>London</x:v>
      </x:c>
      <x:c r="F639" t="str">
        <x:v>Store</x:v>
      </x:c>
      <x:c r="G639" t="str">
        <x:v>Fashion</x:v>
      </x:c>
      <x:c r="H639" t="str">
        <x:v>Winter Jacket</x:v>
      </x:c>
      <x:c r="I639" t="n">
        <x:v>5</x:v>
      </x:c>
      <x:c r="J639" s="4" t="n">
        <x:v>96.3</x:v>
      </x:c>
      <x:c r="K639" s="4" t="n">
        <x:v>46</x:v>
      </x:c>
      <x:c r="L639" s="5" t="n">
        <x:v>0.2</x:v>
      </x:c>
      <x:c r="M639" s="4" t="n">
        <x:f>ROUND(I639*J639*(1-L639),2)</x:f>
        <x:v>385.2</x:v>
      </x:c>
      <x:c r="N639" s="4" t="n">
        <x:f>ROUND(I639*K639,2)</x:f>
        <x:v>230</x:v>
      </x:c>
      <x:c r="O639" s="4" t="n">
        <x:f>ROUND(M639-N639,2)</x:f>
        <x:v>155.2</x:v>
      </x:c>
      <x:c r="P639" s="6" t="n">
        <x:v>3.9</x:v>
      </x:c>
      <x:c r="Q639" t="str">
        <x:v>No</x:v>
      </x:c>
    </x:row>
    <x:row r="640">
      <x:c r="A640" t="str">
        <x:v>ORD-00160</x:v>
      </x:c>
      <x:c r="B640" s="3" t="n">
        <x:v>45561.60472657407</x:v>
      </x:c>
      <x:c r="C640" t="str">
        <x:v>2024-09</x:v>
      </x:c>
      <x:c r="D640" t="str">
        <x:v>CUS-0174</x:v>
      </x:c>
      <x:c r="E640" t="str">
        <x:v>Midlands</x:v>
      </x:c>
      <x:c r="F640" t="str">
        <x:v>Marketplace</x:v>
      </x:c>
      <x:c r="G640" t="str">
        <x:v>Electronics</x:v>
      </x:c>
      <x:c r="H640" t="str">
        <x:v>Bluetooth Speaker</x:v>
      </x:c>
      <x:c r="I640" t="n">
        <x:v>5</x:v>
      </x:c>
      <x:c r="J640" s="4" t="n">
        <x:v>67.04</x:v>
      </x:c>
      <x:c r="K640" s="4" t="n">
        <x:v>34</x:v>
      </x:c>
      <x:c r="L640" s="5" t="n">
        <x:v>0</x:v>
      </x:c>
      <x:c r="M640" s="4" t="n">
        <x:f>ROUND(I640*J640*(1-L640),2)</x:f>
        <x:v>335.2</x:v>
      </x:c>
      <x:c r="N640" s="4" t="n">
        <x:f>ROUND(I640*K640,2)</x:f>
        <x:v>170</x:v>
      </x:c>
      <x:c r="O640" s="4" t="n">
        <x:f>ROUND(M640-N640,2)</x:f>
        <x:v>165.2</x:v>
      </x:c>
      <x:c r="P640" s="6" t="n">
        <x:v>3.8</x:v>
      </x:c>
      <x:c r="Q640" t="str">
        <x:v>No</x:v>
      </x:c>
    </x:row>
    <x:row r="641">
      <x:c r="A641" t="str">
        <x:v>ORD-01039</x:v>
      </x:c>
      <x:c r="B641" s="3" t="n">
        <x:v>45562.212804710645</x:v>
      </x:c>
      <x:c r="C641" t="str">
        <x:v>2024-09</x:v>
      </x:c>
      <x:c r="D641" t="str">
        <x:v>CUS-0463</x:v>
      </x:c>
      <x:c r="E641" t="str">
        <x:v>North West</x:v>
      </x:c>
      <x:c r="F641" t="str">
        <x:v>Store</x:v>
      </x:c>
      <x:c r="G641" t="str">
        <x:v>Fashion</x:v>
      </x:c>
      <x:c r="H641" t="str">
        <x:v>Classic Trainers</x:v>
      </x:c>
      <x:c r="I641" t="n">
        <x:v>1</x:v>
      </x:c>
      <x:c r="J641" s="4" t="n">
        <x:v>73.3</x:v>
      </x:c>
      <x:c r="K641" s="4" t="n">
        <x:v>32</x:v>
      </x:c>
      <x:c r="L641" s="5" t="n">
        <x:v>0.05</x:v>
      </x:c>
      <x:c r="M641" s="4" t="n">
        <x:f>ROUND(I641*J641*(1-L641),2)</x:f>
        <x:v>69.63</x:v>
      </x:c>
      <x:c r="N641" s="4" t="n">
        <x:f>ROUND(I641*K641,2)</x:f>
        <x:v>32</x:v>
      </x:c>
      <x:c r="O641" s="4" t="n">
        <x:f>ROUND(M641-N641,2)</x:f>
        <x:v>37.63</x:v>
      </x:c>
      <x:c r="P641" s="6" t="n">
        <x:v>3.9</x:v>
      </x:c>
      <x:c r="Q641" t="str">
        <x:v>No</x:v>
      </x:c>
    </x:row>
    <x:row r="642">
      <x:c r="A642" t="str">
        <x:v>ORD-00067</x:v>
      </x:c>
      <x:c r="B642" s="3" t="n">
        <x:v>45562.308188483796</x:v>
      </x:c>
      <x:c r="C642" t="str">
        <x:v>2024-09</x:v>
      </x:c>
      <x:c r="D642" t="str">
        <x:v>CUS-0175</x:v>
      </x:c>
      <x:c r="E642" t="str">
        <x:v>South West</x:v>
      </x:c>
      <x:c r="F642" t="str">
        <x:v>Online</x:v>
      </x:c>
      <x:c r="G642" t="str">
        <x:v>Home</x:v>
      </x:c>
      <x:c r="H642" t="str">
        <x:v>Coffee Maker</x:v>
      </x:c>
      <x:c r="I642" t="n">
        <x:v>2</x:v>
      </x:c>
      <x:c r="J642" s="4" t="n">
        <x:v>73.2</x:v>
      </x:c>
      <x:c r="K642" s="4" t="n">
        <x:v>41</x:v>
      </x:c>
      <x:c r="L642" s="5" t="n">
        <x:v>0</x:v>
      </x:c>
      <x:c r="M642" s="4" t="n">
        <x:f>ROUND(I642*J642*(1-L642),2)</x:f>
        <x:v>146.4</x:v>
      </x:c>
      <x:c r="N642" s="4" t="n">
        <x:f>ROUND(I642*K642,2)</x:f>
        <x:v>82</x:v>
      </x:c>
      <x:c r="O642" s="4" t="n">
        <x:f>ROUND(M642-N642,2)</x:f>
        <x:v>64.4</x:v>
      </x:c>
      <x:c r="P642" s="6" t="n">
        <x:v>4.9</x:v>
      </x:c>
      <x:c r="Q642" t="str">
        <x:v>No</x:v>
      </x:c>
    </x:row>
    <x:row r="643">
      <x:c r="A643" t="str">
        <x:v>ORD-00837</x:v>
      </x:c>
      <x:c r="B643" s="3" t="n">
        <x:v>45562.47793797454</x:v>
      </x:c>
      <x:c r="C643" t="str">
        <x:v>2024-09</x:v>
      </x:c>
      <x:c r="D643" t="str">
        <x:v>CUS-0193</x:v>
      </x:c>
      <x:c r="E643" t="str">
        <x:v>South West</x:v>
      </x:c>
      <x:c r="F643" t="str">
        <x:v>Online</x:v>
      </x:c>
      <x:c r="G643" t="str">
        <x:v>Home</x:v>
      </x:c>
      <x:c r="H643" t="str">
        <x:v>Coffee Maker</x:v>
      </x:c>
      <x:c r="I643" t="n">
        <x:v>3</x:v>
      </x:c>
      <x:c r="J643" s="4" t="n">
        <x:v>74.2</x:v>
      </x:c>
      <x:c r="K643" s="4" t="n">
        <x:v>41</x:v>
      </x:c>
      <x:c r="L643" s="5" t="n">
        <x:v>0.2</x:v>
      </x:c>
      <x:c r="M643" s="4" t="n">
        <x:f>ROUND(I643*J643*(1-L643),2)</x:f>
        <x:v>178.08</x:v>
      </x:c>
      <x:c r="N643" s="4" t="n">
        <x:f>ROUND(I643*K643,2)</x:f>
        <x:v>123</x:v>
      </x:c>
      <x:c r="O643" s="4" t="n">
        <x:f>ROUND(M643-N643,2)</x:f>
        <x:v>55.08</x:v>
      </x:c>
      <x:c r="P643" s="6" t="n">
        <x:v>4.6</x:v>
      </x:c>
      <x:c r="Q643" t="str">
        <x:v>No</x:v>
      </x:c>
    </x:row>
    <x:row r="644">
      <x:c r="A644" t="str">
        <x:v>ORD-01200</x:v>
      </x:c>
      <x:c r="B644" s="3" t="n">
        <x:v>45562.96550724537</x:v>
      </x:c>
      <x:c r="C644" t="str">
        <x:v>2024-09</x:v>
      </x:c>
      <x:c r="D644" t="str">
        <x:v>CUS-0387</x:v>
      </x:c>
      <x:c r="E644" t="str">
        <x:v>North East</x:v>
      </x:c>
      <x:c r="F644" t="str">
        <x:v>Marketplace</x:v>
      </x:c>
      <x:c r="G644" t="str">
        <x:v>Books</x:v>
      </x:c>
      <x:c r="H644" t="str">
        <x:v>Business Intelligence Guide</x:v>
      </x:c>
      <x:c r="I644" t="n">
        <x:v>2</x:v>
      </x:c>
      <x:c r="J644" s="4" t="n">
        <x:v>34.49</x:v>
      </x:c>
      <x:c r="K644" s="4" t="n">
        <x:v>12</x:v>
      </x:c>
      <x:c r="L644" s="5" t="n">
        <x:v>0</x:v>
      </x:c>
      <x:c r="M644" s="4" t="n">
        <x:f>ROUND(I644*J644*(1-L644),2)</x:f>
        <x:v>68.98</x:v>
      </x:c>
      <x:c r="N644" s="4" t="n">
        <x:f>ROUND(I644*K644,2)</x:f>
        <x:v>24</x:v>
      </x:c>
      <x:c r="O644" s="4" t="n">
        <x:f>ROUND(M644-N644,2)</x:f>
        <x:v>44.98</x:v>
      </x:c>
      <x:c r="P644" s="6" t="n">
        <x:v>4.2</x:v>
      </x:c>
      <x:c r="Q644" t="str">
        <x:v>No</x:v>
      </x:c>
    </x:row>
    <x:row r="645">
      <x:c r="A645" t="str">
        <x:v>ORD-00258</x:v>
      </x:c>
      <x:c r="B645" s="3" t="n">
        <x:v>45563.748908761576</x:v>
      </x:c>
      <x:c r="C645" t="str">
        <x:v>2024-09</x:v>
      </x:c>
      <x:c r="D645" t="str">
        <x:v>CUS-0340</x:v>
      </x:c>
      <x:c r="E645" t="str">
        <x:v>North East</x:v>
      </x:c>
      <x:c r="F645" t="str">
        <x:v>Online</x:v>
      </x:c>
      <x:c r="G645" t="str">
        <x:v>Home</x:v>
      </x:c>
      <x:c r="H645" t="str">
        <x:v>Air Fryer</x:v>
      </x:c>
      <x:c r="I645" t="n">
        <x:v>1</x:v>
      </x:c>
      <x:c r="J645" s="4" t="n">
        <x:v>120.73</x:v>
      </x:c>
      <x:c r="K645" s="4" t="n">
        <x:v>69</x:v>
      </x:c>
      <x:c r="L645" s="5" t="n">
        <x:v>0</x:v>
      </x:c>
      <x:c r="M645" s="4" t="n">
        <x:f>ROUND(I645*J645*(1-L645),2)</x:f>
        <x:v>120.73</x:v>
      </x:c>
      <x:c r="N645" s="4" t="n">
        <x:f>ROUND(I645*K645,2)</x:f>
        <x:v>69</x:v>
      </x:c>
      <x:c r="O645" s="4" t="n">
        <x:f>ROUND(M645-N645,2)</x:f>
        <x:v>51.73</x:v>
      </x:c>
      <x:c r="P645" s="6" t="n">
        <x:v>4.1</x:v>
      </x:c>
      <x:c r="Q645" t="str">
        <x:v>No</x:v>
      </x:c>
    </x:row>
    <x:row r="646">
      <x:c r="A646" t="str">
        <x:v>ORD-00558</x:v>
      </x:c>
      <x:c r="B646" s="3" t="n">
        <x:v>45563.99569856482</x:v>
      </x:c>
      <x:c r="C646" t="str">
        <x:v>2024-09</x:v>
      </x:c>
      <x:c r="D646" t="str">
        <x:v>CUS-0540</x:v>
      </x:c>
      <x:c r="E646" t="str">
        <x:v>Scotland</x:v>
      </x:c>
      <x:c r="F646" t="str">
        <x:v>Store</x:v>
      </x:c>
      <x:c r="G646" t="str">
        <x:v>Electronics</x:v>
      </x:c>
      <x:c r="H646" t="str">
        <x:v>Wireless Headphones</x:v>
      </x:c>
      <x:c r="I646" t="n">
        <x:v>1</x:v>
      </x:c>
      <x:c r="J646" s="4" t="n">
        <x:v>85.75</x:v>
      </x:c>
      <x:c r="K646" s="4" t="n">
        <x:v>48</x:v>
      </x:c>
      <x:c r="L646" s="5" t="n">
        <x:v>0</x:v>
      </x:c>
      <x:c r="M646" s="4" t="n">
        <x:f>ROUND(I646*J646*(1-L646),2)</x:f>
        <x:v>85.75</x:v>
      </x:c>
      <x:c r="N646" s="4" t="n">
        <x:f>ROUND(I646*K646,2)</x:f>
        <x:v>48</x:v>
      </x:c>
      <x:c r="O646" s="4" t="n">
        <x:f>ROUND(M646-N646,2)</x:f>
        <x:v>37.75</x:v>
      </x:c>
      <x:c r="P646" s="6" t="n">
        <x:v>3.4</x:v>
      </x:c>
      <x:c r="Q646" t="str">
        <x:v>No</x:v>
      </x:c>
    </x:row>
    <x:row r="647">
      <x:c r="A647" t="str">
        <x:v>ORD-01480</x:v>
      </x:c>
      <x:c r="B647" s="3" t="n">
        <x:v>45565.01694693287</x:v>
      </x:c>
      <x:c r="C647" t="str">
        <x:v>2024-09</x:v>
      </x:c>
      <x:c r="D647" t="str">
        <x:v>CUS-0417</x:v>
      </x:c>
      <x:c r="E647" t="str">
        <x:v>Midlands</x:v>
      </x:c>
      <x:c r="F647" t="str">
        <x:v>Store</x:v>
      </x:c>
      <x:c r="G647" t="str">
        <x:v>Fashion</x:v>
      </x:c>
      <x:c r="H647" t="str">
        <x:v>Winter Jacket</x:v>
      </x:c>
      <x:c r="I647" t="n">
        <x:v>4</x:v>
      </x:c>
      <x:c r="J647" s="4" t="n">
        <x:v>90.69</x:v>
      </x:c>
      <x:c r="K647" s="4" t="n">
        <x:v>46</x:v>
      </x:c>
      <x:c r="L647" s="5" t="n">
        <x:v>0.15</x:v>
      </x:c>
      <x:c r="M647" s="4" t="n">
        <x:f>ROUND(I647*J647*(1-L647),2)</x:f>
        <x:v>308.35</x:v>
      </x:c>
      <x:c r="N647" s="4" t="n">
        <x:f>ROUND(I647*K647,2)</x:f>
        <x:v>184</x:v>
      </x:c>
      <x:c r="O647" s="4" t="n">
        <x:f>ROUND(M647-N647,2)</x:f>
        <x:v>124.35</x:v>
      </x:c>
      <x:c r="P647" s="6" t="n">
        <x:v>5</x:v>
      </x:c>
      <x:c r="Q647" t="str">
        <x:v>No</x:v>
      </x:c>
    </x:row>
    <x:row r="648">
      <x:c r="A648" t="str">
        <x:v>ORD-01374</x:v>
      </x:c>
      <x:c r="B648" s="3" t="n">
        <x:v>45566.645297511575</x:v>
      </x:c>
      <x:c r="C648" t="str">
        <x:v>2024-10</x:v>
      </x:c>
      <x:c r="D648" t="str">
        <x:v>CUS-0573</x:v>
      </x:c>
      <x:c r="E648" t="str">
        <x:v>Wales</x:v>
      </x:c>
      <x:c r="F648" t="str">
        <x:v>Online</x:v>
      </x:c>
      <x:c r="G648" t="str">
        <x:v>Sports</x:v>
      </x:c>
      <x:c r="H648" t="str">
        <x:v>Fitness Tracker</x:v>
      </x:c>
      <x:c r="I648" t="n">
        <x:v>3</x:v>
      </x:c>
      <x:c r="J648" s="4" t="n">
        <x:v>55.96</x:v>
      </x:c>
      <x:c r="K648" s="4" t="n">
        <x:v>27</x:v>
      </x:c>
      <x:c r="L648" s="5" t="n">
        <x:v>0</x:v>
      </x:c>
      <x:c r="M648" s="4" t="n">
        <x:f>ROUND(I648*J648*(1-L648),2)</x:f>
        <x:v>167.88</x:v>
      </x:c>
      <x:c r="N648" s="4" t="n">
        <x:f>ROUND(I648*K648,2)</x:f>
        <x:v>81</x:v>
      </x:c>
      <x:c r="O648" s="4" t="n">
        <x:f>ROUND(M648-N648,2)</x:f>
        <x:v>86.88</x:v>
      </x:c>
      <x:c r="P648" s="6" t="n">
        <x:v>5</x:v>
      </x:c>
      <x:c r="Q648" t="str">
        <x:v>No</x:v>
      </x:c>
    </x:row>
    <x:row r="649">
      <x:c r="A649" t="str">
        <x:v>ORD-01606</x:v>
      </x:c>
      <x:c r="B649" s="3" t="n">
        <x:v>45566.68827859954</x:v>
      </x:c>
      <x:c r="C649" t="str">
        <x:v>2024-10</x:v>
      </x:c>
      <x:c r="D649" t="str">
        <x:v>CUS-0353</x:v>
      </x:c>
      <x:c r="E649" t="str">
        <x:v>South East</x:v>
      </x:c>
      <x:c r="F649" t="str">
        <x:v>Online</x:v>
      </x:c>
      <x:c r="G649" t="str">
        <x:v>Sports</x:v>
      </x:c>
      <x:c r="H649" t="str">
        <x:v>Fitness Tracker</x:v>
      </x:c>
      <x:c r="I649" t="n">
        <x:v>4</x:v>
      </x:c>
      <x:c r="J649" s="4" t="n">
        <x:v>54.3</x:v>
      </x:c>
      <x:c r="K649" s="4" t="n">
        <x:v>27</x:v>
      </x:c>
      <x:c r="L649" s="5" t="n">
        <x:v>0</x:v>
      </x:c>
      <x:c r="M649" s="4" t="n">
        <x:f>ROUND(I649*J649*(1-L649),2)</x:f>
        <x:v>217.2</x:v>
      </x:c>
      <x:c r="N649" s="4" t="n">
        <x:f>ROUND(I649*K649,2)</x:f>
        <x:v>108</x:v>
      </x:c>
      <x:c r="O649" s="4" t="n">
        <x:f>ROUND(M649-N649,2)</x:f>
        <x:v>109.2</x:v>
      </x:c>
      <x:c r="P649" s="6" t="n">
        <x:v>5</x:v>
      </x:c>
      <x:c r="Q649" t="str">
        <x:v>No</x:v>
      </x:c>
    </x:row>
    <x:row r="650">
      <x:c r="A650" t="str">
        <x:v>ORD-01424</x:v>
      </x:c>
      <x:c r="B650" s="3" t="n">
        <x:v>45566.882826863424</x:v>
      </x:c>
      <x:c r="C650" t="str">
        <x:v>2024-10</x:v>
      </x:c>
      <x:c r="D650" t="str">
        <x:v>CUS-0388</x:v>
      </x:c>
      <x:c r="E650" t="str">
        <x:v>Scotland</x:v>
      </x:c>
      <x:c r="F650" t="str">
        <x:v>Marketplace</x:v>
      </x:c>
      <x:c r="G650" t="str">
        <x:v>Electronics</x:v>
      </x:c>
      <x:c r="H650" t="str">
        <x:v>Bluetooth Speaker</x:v>
      </x:c>
      <x:c r="I650" t="n">
        <x:v>4</x:v>
      </x:c>
      <x:c r="J650" s="4" t="n">
        <x:v>63.97</x:v>
      </x:c>
      <x:c r="K650" s="4" t="n">
        <x:v>34</x:v>
      </x:c>
      <x:c r="L650" s="5" t="n">
        <x:v>0.05</x:v>
      </x:c>
      <x:c r="M650" s="4" t="n">
        <x:f>ROUND(I650*J650*(1-L650),2)</x:f>
        <x:v>243.09</x:v>
      </x:c>
      <x:c r="N650" s="4" t="n">
        <x:f>ROUND(I650*K650,2)</x:f>
        <x:v>136</x:v>
      </x:c>
      <x:c r="O650" s="4" t="n">
        <x:f>ROUND(M650-N650,2)</x:f>
        <x:v>107.09</x:v>
      </x:c>
      <x:c r="P650" s="6" t="n">
        <x:v>4.9</x:v>
      </x:c>
      <x:c r="Q650" t="str">
        <x:v>No</x:v>
      </x:c>
    </x:row>
    <x:row r="651">
      <x:c r="A651" t="str">
        <x:v>ORD-00766</x:v>
      </x:c>
      <x:c r="B651" s="3" t="n">
        <x:v>45567.047484166666</x:v>
      </x:c>
      <x:c r="C651" t="str">
        <x:v>2024-10</x:v>
      </x:c>
      <x:c r="D651" t="str">
        <x:v>CUS-0487</x:v>
      </x:c>
      <x:c r="E651" t="str">
        <x:v>Scotland</x:v>
      </x:c>
      <x:c r="F651" t="str">
        <x:v>Marketplace</x:v>
      </x:c>
      <x:c r="G651" t="str">
        <x:v>Fashion</x:v>
      </x:c>
      <x:c r="H651" t="str">
        <x:v>Winter Jacket</x:v>
      </x:c>
      <x:c r="I651" t="n">
        <x:v>2</x:v>
      </x:c>
      <x:c r="J651" s="4" t="n">
        <x:v>94.67</x:v>
      </x:c>
      <x:c r="K651" s="4" t="n">
        <x:v>46</x:v>
      </x:c>
      <x:c r="L651" s="5" t="n">
        <x:v>0</x:v>
      </x:c>
      <x:c r="M651" s="4" t="n">
        <x:f>ROUND(I651*J651*(1-L651),2)</x:f>
        <x:v>189.34</x:v>
      </x:c>
      <x:c r="N651" s="4" t="n">
        <x:f>ROUND(I651*K651,2)</x:f>
        <x:v>92</x:v>
      </x:c>
      <x:c r="O651" s="4" t="n">
        <x:f>ROUND(M651-N651,2)</x:f>
        <x:v>97.34</x:v>
      </x:c>
      <x:c r="P651" s="6" t="n">
        <x:v>4</x:v>
      </x:c>
      <x:c r="Q651" t="str">
        <x:v>No</x:v>
      </x:c>
    </x:row>
    <x:row r="652">
      <x:c r="A652" t="str">
        <x:v>ORD-01705</x:v>
      </x:c>
      <x:c r="B652" s="3" t="n">
        <x:v>45567.28529533565</x:v>
      </x:c>
      <x:c r="C652" t="str">
        <x:v>2024-10</x:v>
      </x:c>
      <x:c r="D652" t="str">
        <x:v>CUS-0090</x:v>
      </x:c>
      <x:c r="E652" t="str">
        <x:v>Scotland</x:v>
      </x:c>
      <x:c r="F652" t="str">
        <x:v>Store</x:v>
      </x:c>
      <x:c r="G652" t="str">
        <x:v>Beauty</x:v>
      </x:c>
      <x:c r="H652" t="str">
        <x:v>Hair Dryer</x:v>
      </x:c>
      <x:c r="I652" t="n">
        <x:v>5</x:v>
      </x:c>
      <x:c r="J652" s="4" t="n">
        <x:v>60.03</x:v>
      </x:c>
      <x:c r="K652" s="4" t="n">
        <x:v>29</x:v>
      </x:c>
      <x:c r="L652" s="5" t="n">
        <x:v>0.1</x:v>
      </x:c>
      <x:c r="M652" s="4" t="n">
        <x:f>ROUND(I652*J652*(1-L652),2)</x:f>
        <x:v>270.14</x:v>
      </x:c>
      <x:c r="N652" s="4" t="n">
        <x:f>ROUND(I652*K652,2)</x:f>
        <x:v>145</x:v>
      </x:c>
      <x:c r="O652" s="4" t="n">
        <x:f>ROUND(M652-N652,2)</x:f>
        <x:v>125.14</x:v>
      </x:c>
      <x:c r="P652" s="6" t="n">
        <x:v>3.8</x:v>
      </x:c>
      <x:c r="Q652" t="str">
        <x:v>No</x:v>
      </x:c>
    </x:row>
    <x:row r="653">
      <x:c r="A653" t="str">
        <x:v>ORD-01179</x:v>
      </x:c>
      <x:c r="B653" s="3" t="n">
        <x:v>45567.376142361114</x:v>
      </x:c>
      <x:c r="C653" t="str">
        <x:v>2024-10</x:v>
      </x:c>
      <x:c r="D653" t="str">
        <x:v>CUS-0272</x:v>
      </x:c>
      <x:c r="E653" t="str">
        <x:v>South West</x:v>
      </x:c>
      <x:c r="F653" t="str">
        <x:v>Marketplace</x:v>
      </x:c>
      <x:c r="G653" t="str">
        <x:v>Books</x:v>
      </x:c>
      <x:c r="H653" t="str">
        <x:v>Business Intelligence Guide</x:v>
      </x:c>
      <x:c r="I653" t="n">
        <x:v>1</x:v>
      </x:c>
      <x:c r="J653" s="4" t="n">
        <x:v>35.88</x:v>
      </x:c>
      <x:c r="K653" s="4" t="n">
        <x:v>12</x:v>
      </x:c>
      <x:c r="L653" s="5" t="n">
        <x:v>0</x:v>
      </x:c>
      <x:c r="M653" s="4" t="n">
        <x:f>ROUND(I653*J653*(1-L653),2)</x:f>
        <x:v>35.88</x:v>
      </x:c>
      <x:c r="N653" s="4" t="n">
        <x:f>ROUND(I653*K653,2)</x:f>
        <x:v>12</x:v>
      </x:c>
      <x:c r="O653" s="4" t="n">
        <x:f>ROUND(M653-N653,2)</x:f>
        <x:v>23.88</x:v>
      </x:c>
      <x:c r="P653" s="6" t="n">
        <x:v>4.3</x:v>
      </x:c>
      <x:c r="Q653" t="str">
        <x:v>No</x:v>
      </x:c>
    </x:row>
    <x:row r="654">
      <x:c r="A654" t="str">
        <x:v>ORD-00863</x:v>
      </x:c>
      <x:c r="B654" s="3" t="n">
        <x:v>45568.02886896991</x:v>
      </x:c>
      <x:c r="C654" t="str">
        <x:v>2024-10</x:v>
      </x:c>
      <x:c r="D654" t="str">
        <x:v>CUS-0015</x:v>
      </x:c>
      <x:c r="E654" t="str">
        <x:v>South East</x:v>
      </x:c>
      <x:c r="F654" t="str">
        <x:v>Marketplace</x:v>
      </x:c>
      <x:c r="G654" t="str">
        <x:v>Home</x:v>
      </x:c>
      <x:c r="H654" t="str">
        <x:v>Desk Lamp</x:v>
      </x:c>
      <x:c r="I654" t="n">
        <x:v>2</x:v>
      </x:c>
      <x:c r="J654" s="4" t="n">
        <x:v>35.83</x:v>
      </x:c>
      <x:c r="K654" s="4" t="n">
        <x:v>17</x:v>
      </x:c>
      <x:c r="L654" s="5" t="n">
        <x:v>0.1</x:v>
      </x:c>
      <x:c r="M654" s="4" t="n">
        <x:f>ROUND(I654*J654*(1-L654),2)</x:f>
        <x:v>64.49</x:v>
      </x:c>
      <x:c r="N654" s="4" t="n">
        <x:f>ROUND(I654*K654,2)</x:f>
        <x:v>34</x:v>
      </x:c>
      <x:c r="O654" s="4" t="n">
        <x:f>ROUND(M654-N654,2)</x:f>
        <x:v>30.49</x:v>
      </x:c>
      <x:c r="P654" s="6" t="n">
        <x:v>4.3</x:v>
      </x:c>
      <x:c r="Q654" t="str">
        <x:v>No</x:v>
      </x:c>
    </x:row>
    <x:row r="655">
      <x:c r="A655" t="str">
        <x:v>ORD-01330</x:v>
      </x:c>
      <x:c r="B655" s="3" t="n">
        <x:v>45568.85385547454</x:v>
      </x:c>
      <x:c r="C655" t="str">
        <x:v>2024-10</x:v>
      </x:c>
      <x:c r="D655" t="str">
        <x:v>CUS-0033</x:v>
      </x:c>
      <x:c r="E655" t="str">
        <x:v>Scotland</x:v>
      </x:c>
      <x:c r="F655" t="str">
        <x:v>Store</x:v>
      </x:c>
      <x:c r="G655" t="str">
        <x:v>Sports</x:v>
      </x:c>
      <x:c r="H655" t="str">
        <x:v>Running Shoes</x:v>
      </x:c>
      <x:c r="I655" t="n">
        <x:v>2</x:v>
      </x:c>
      <x:c r="J655" s="4" t="n">
        <x:v>80.73</x:v>
      </x:c>
      <x:c r="K655" s="4" t="n">
        <x:v>38</x:v>
      </x:c>
      <x:c r="L655" s="5" t="n">
        <x:v>0.1</x:v>
      </x:c>
      <x:c r="M655" s="4" t="n">
        <x:f>ROUND(I655*J655*(1-L655),2)</x:f>
        <x:v>145.31</x:v>
      </x:c>
      <x:c r="N655" s="4" t="n">
        <x:f>ROUND(I655*K655,2)</x:f>
        <x:v>76</x:v>
      </x:c>
      <x:c r="O655" s="4" t="n">
        <x:f>ROUND(M655-N655,2)</x:f>
        <x:v>69.31</x:v>
      </x:c>
      <x:c r="P655" s="6" t="n">
        <x:v>3.5</x:v>
      </x:c>
      <x:c r="Q655" t="str">
        <x:v>No</x:v>
      </x:c>
    </x:row>
    <x:row r="656">
      <x:c r="A656" t="str">
        <x:v>ORD-00127</x:v>
      </x:c>
      <x:c r="B656" s="3" t="n">
        <x:v>45569.65359517361</x:v>
      </x:c>
      <x:c r="C656" t="str">
        <x:v>2024-10</x:v>
      </x:c>
      <x:c r="D656" t="str">
        <x:v>CUS-0523</x:v>
      </x:c>
      <x:c r="E656" t="str">
        <x:v>North West</x:v>
      </x:c>
      <x:c r="F656" t="str">
        <x:v>Marketplace</x:v>
      </x:c>
      <x:c r="G656" t="str">
        <x:v>Books</x:v>
      </x:c>
      <x:c r="H656" t="str">
        <x:v>Business Intelligence Guide</x:v>
      </x:c>
      <x:c r="I656" t="n">
        <x:v>1</x:v>
      </x:c>
      <x:c r="J656" s="4" t="n">
        <x:v>33.35</x:v>
      </x:c>
      <x:c r="K656" s="4" t="n">
        <x:v>12</x:v>
      </x:c>
      <x:c r="L656" s="5" t="n">
        <x:v>0</x:v>
      </x:c>
      <x:c r="M656" s="4" t="n">
        <x:f>ROUND(I656*J656*(1-L656),2)</x:f>
        <x:v>33.35</x:v>
      </x:c>
      <x:c r="N656" s="4" t="n">
        <x:f>ROUND(I656*K656,2)</x:f>
        <x:v>12</x:v>
      </x:c>
      <x:c r="O656" s="4" t="n">
        <x:f>ROUND(M656-N656,2)</x:f>
        <x:v>21.35</x:v>
      </x:c>
      <x:c r="P656" s="6" t="n">
        <x:v>4.9</x:v>
      </x:c>
      <x:c r="Q656" t="str">
        <x:v>No</x:v>
      </x:c>
    </x:row>
    <x:row r="657">
      <x:c r="A657" t="str">
        <x:v>ORD-00249</x:v>
      </x:c>
      <x:c r="B657" s="3" t="n">
        <x:v>45569.75898859954</x:v>
      </x:c>
      <x:c r="C657" t="str">
        <x:v>2024-10</x:v>
      </x:c>
      <x:c r="D657" t="str">
        <x:v>CUS-0006</x:v>
      </x:c>
      <x:c r="E657" t="str">
        <x:v>Wales</x:v>
      </x:c>
      <x:c r="F657" t="str">
        <x:v>Marketplace</x:v>
      </x:c>
      <x:c r="G657" t="str">
        <x:v>Home</x:v>
      </x:c>
      <x:c r="H657" t="str">
        <x:v>Air Fryer</x:v>
      </x:c>
      <x:c r="I657" t="n">
        <x:v>1</x:v>
      </x:c>
      <x:c r="J657" s="4" t="n">
        <x:v>117.46</x:v>
      </x:c>
      <x:c r="K657" s="4" t="n">
        <x:v>69</x:v>
      </x:c>
      <x:c r="L657" s="5" t="n">
        <x:v>0.15</x:v>
      </x:c>
      <x:c r="M657" s="4" t="n">
        <x:f>ROUND(I657*J657*(1-L657),2)</x:f>
        <x:v>99.84</x:v>
      </x:c>
      <x:c r="N657" s="4" t="n">
        <x:f>ROUND(I657*K657,2)</x:f>
        <x:v>69</x:v>
      </x:c>
      <x:c r="O657" s="4" t="n">
        <x:f>ROUND(M657-N657,2)</x:f>
        <x:v>30.84</x:v>
      </x:c>
      <x:c r="P657" s="6" t="n">
        <x:v>5</x:v>
      </x:c>
      <x:c r="Q657" t="str">
        <x:v>No</x:v>
      </x:c>
    </x:row>
    <x:row r="658">
      <x:c r="A658" t="str">
        <x:v>ORD-01077</x:v>
      </x:c>
      <x:c r="B658" s="3" t="n">
        <x:v>45570.060880150464</x:v>
      </x:c>
      <x:c r="C658" t="str">
        <x:v>2024-10</x:v>
      </x:c>
      <x:c r="D658" t="str">
        <x:v>CUS-0056</x:v>
      </x:c>
      <x:c r="E658" t="str">
        <x:v>North West</x:v>
      </x:c>
      <x:c r="F658" t="str">
        <x:v>Store</x:v>
      </x:c>
      <x:c r="G658" t="str">
        <x:v>Fashion</x:v>
      </x:c>
      <x:c r="H658" t="str">
        <x:v>Backpack</x:v>
      </x:c>
      <x:c r="I658" t="n">
        <x:v>3</x:v>
      </x:c>
      <x:c r="J658" s="4" t="n">
        <x:v>48.32</x:v>
      </x:c>
      <x:c r="K658" s="4" t="n">
        <x:v>21</x:v>
      </x:c>
      <x:c r="L658" s="5" t="n">
        <x:v>0.15</x:v>
      </x:c>
      <x:c r="M658" s="4" t="n">
        <x:f>ROUND(I658*J658*(1-L658),2)</x:f>
        <x:v>123.22</x:v>
      </x:c>
      <x:c r="N658" s="4" t="n">
        <x:f>ROUND(I658*K658,2)</x:f>
        <x:v>63</x:v>
      </x:c>
      <x:c r="O658" s="4" t="n">
        <x:f>ROUND(M658-N658,2)</x:f>
        <x:v>60.22</x:v>
      </x:c>
      <x:c r="P658" s="6" t="n">
        <x:v>4.4</x:v>
      </x:c>
      <x:c r="Q658" t="str">
        <x:v>No</x:v>
      </x:c>
    </x:row>
    <x:row r="659">
      <x:c r="A659" t="str">
        <x:v>ORD-00375</x:v>
      </x:c>
      <x:c r="B659" s="3" t="n">
        <x:v>45570.93176130787</x:v>
      </x:c>
      <x:c r="C659" t="str">
        <x:v>2024-10</x:v>
      </x:c>
      <x:c r="D659" t="str">
        <x:v>CUS-0373</x:v>
      </x:c>
      <x:c r="E659" t="str">
        <x:v>Scotland</x:v>
      </x:c>
      <x:c r="F659" t="str">
        <x:v>Store</x:v>
      </x:c>
      <x:c r="G659" t="str">
        <x:v>Sports</x:v>
      </x:c>
      <x:c r="H659" t="str">
        <x:v>Running Shoes</x:v>
      </x:c>
      <x:c r="I659" t="n">
        <x:v>3</x:v>
      </x:c>
      <x:c r="J659" s="4" t="n">
        <x:v>77.99</x:v>
      </x:c>
      <x:c r="K659" s="4" t="n">
        <x:v>38</x:v>
      </x:c>
      <x:c r="L659" s="5" t="n">
        <x:v>0</x:v>
      </x:c>
      <x:c r="M659" s="4" t="n">
        <x:f>ROUND(I659*J659*(1-L659),2)</x:f>
        <x:v>233.97</x:v>
      </x:c>
      <x:c r="N659" s="4" t="n">
        <x:f>ROUND(I659*K659,2)</x:f>
        <x:v>114</x:v>
      </x:c>
      <x:c r="O659" s="4" t="n">
        <x:f>ROUND(M659-N659,2)</x:f>
        <x:v>119.97</x:v>
      </x:c>
      <x:c r="P659" s="6" t="n">
        <x:v>4.7</x:v>
      </x:c>
      <x:c r="Q659" t="str">
        <x:v>No</x:v>
      </x:c>
    </x:row>
    <x:row r="660">
      <x:c r="A660" t="str">
        <x:v>ORD-01671</x:v>
      </x:c>
      <x:c r="B660" s="3" t="n">
        <x:v>45571.22638237268</x:v>
      </x:c>
      <x:c r="C660" t="str">
        <x:v>2024-10</x:v>
      </x:c>
      <x:c r="D660" t="str">
        <x:v>CUS-0398</x:v>
      </x:c>
      <x:c r="E660" t="str">
        <x:v>Wales</x:v>
      </x:c>
      <x:c r="F660" t="str">
        <x:v>Store</x:v>
      </x:c>
      <x:c r="G660" t="str">
        <x:v>Home</x:v>
      </x:c>
      <x:c r="H660" t="str">
        <x:v>Coffee Maker</x:v>
      </x:c>
      <x:c r="I660" t="n">
        <x:v>1</x:v>
      </x:c>
      <x:c r="J660" s="4" t="n">
        <x:v>76.6</x:v>
      </x:c>
      <x:c r="K660" s="4" t="n">
        <x:v>41</x:v>
      </x:c>
      <x:c r="L660" s="5" t="n">
        <x:v>0.2</x:v>
      </x:c>
      <x:c r="M660" s="4" t="n">
        <x:f>ROUND(I660*J660*(1-L660),2)</x:f>
        <x:v>61.28</x:v>
      </x:c>
      <x:c r="N660" s="4" t="n">
        <x:f>ROUND(I660*K660,2)</x:f>
        <x:v>41</x:v>
      </x:c>
      <x:c r="O660" s="4" t="n">
        <x:f>ROUND(M660-N660,2)</x:f>
        <x:v>20.28</x:v>
      </x:c>
      <x:c r="P660" s="6" t="n">
        <x:v>4.5</x:v>
      </x:c>
      <x:c r="Q660" t="str">
        <x:v>No</x:v>
      </x:c>
    </x:row>
    <x:row r="661">
      <x:c r="A661" t="str">
        <x:v>ORD-01794</x:v>
      </x:c>
      <x:c r="B661" s="3" t="n">
        <x:v>45571.719325300925</x:v>
      </x:c>
      <x:c r="C661" t="str">
        <x:v>2024-10</x:v>
      </x:c>
      <x:c r="D661" t="str">
        <x:v>CUS-0386</x:v>
      </x:c>
      <x:c r="E661" t="str">
        <x:v>London</x:v>
      </x:c>
      <x:c r="F661" t="str">
        <x:v>Online</x:v>
      </x:c>
      <x:c r="G661" t="str">
        <x:v>Home</x:v>
      </x:c>
      <x:c r="H661" t="str">
        <x:v>Coffee Maker</x:v>
      </x:c>
      <x:c r="I661" t="n">
        <x:v>4</x:v>
      </x:c>
      <x:c r="J661" s="4" t="n">
        <x:v>78.63</x:v>
      </x:c>
      <x:c r="K661" s="4" t="n">
        <x:v>41</x:v>
      </x:c>
      <x:c r="L661" s="5" t="n">
        <x:v>0.15</x:v>
      </x:c>
      <x:c r="M661" s="4" t="n">
        <x:f>ROUND(I661*J661*(1-L661),2)</x:f>
        <x:v>267.34</x:v>
      </x:c>
      <x:c r="N661" s="4" t="n">
        <x:f>ROUND(I661*K661,2)</x:f>
        <x:v>164</x:v>
      </x:c>
      <x:c r="O661" s="4" t="n">
        <x:f>ROUND(M661-N661,2)</x:f>
        <x:v>103.34</x:v>
      </x:c>
      <x:c r="P661" s="6" t="n">
        <x:v>4.1</x:v>
      </x:c>
      <x:c r="Q661" t="str">
        <x:v>No</x:v>
      </x:c>
    </x:row>
    <x:row r="662">
      <x:c r="A662" t="str">
        <x:v>ORD-00027</x:v>
      </x:c>
      <x:c r="B662" s="3" t="n">
        <x:v>45572.14982054398</x:v>
      </x:c>
      <x:c r="C662" t="str">
        <x:v>2024-10</x:v>
      </x:c>
      <x:c r="D662" t="str">
        <x:v>CUS-0263</x:v>
      </x:c>
      <x:c r="E662" t="str">
        <x:v>London</x:v>
      </x:c>
      <x:c r="F662" t="str">
        <x:v>Online</x:v>
      </x:c>
      <x:c r="G662" t="str">
        <x:v>Beauty</x:v>
      </x:c>
      <x:c r="H662" t="str">
        <x:v>Skin Care Set</x:v>
      </x:c>
      <x:c r="I662" t="n">
        <x:v>3</x:v>
      </x:c>
      <x:c r="J662" s="4" t="n">
        <x:v>47.24</x:v>
      </x:c>
      <x:c r="K662" s="4" t="n">
        <x:v>18</x:v>
      </x:c>
      <x:c r="L662" s="5" t="n">
        <x:v>0.15</x:v>
      </x:c>
      <x:c r="M662" s="4" t="n">
        <x:f>ROUND(I662*J662*(1-L662),2)</x:f>
        <x:v>120.46</x:v>
      </x:c>
      <x:c r="N662" s="4" t="n">
        <x:f>ROUND(I662*K662,2)</x:f>
        <x:v>54</x:v>
      </x:c>
      <x:c r="O662" s="4" t="n">
        <x:f>ROUND(M662-N662,2)</x:f>
        <x:v>66.46</x:v>
      </x:c>
      <x:c r="P662" s="6" t="n">
        <x:v>4.2</x:v>
      </x:c>
      <x:c r="Q662" t="str">
        <x:v>No</x:v>
      </x:c>
    </x:row>
    <x:row r="663">
      <x:c r="A663" t="str">
        <x:v>ORD-01759</x:v>
      </x:c>
      <x:c r="B663" s="3" t="n">
        <x:v>45572.445405659724</x:v>
      </x:c>
      <x:c r="C663" t="str">
        <x:v>2024-10</x:v>
      </x:c>
      <x:c r="D663" t="str">
        <x:v>CUS-0190</x:v>
      </x:c>
      <x:c r="E663" t="str">
        <x:v>Wales</x:v>
      </x:c>
      <x:c r="F663" t="str">
        <x:v>Store</x:v>
      </x:c>
      <x:c r="G663" t="str">
        <x:v>Beauty</x:v>
      </x:c>
      <x:c r="H663" t="str">
        <x:v>Skin Care Set</x:v>
      </x:c>
      <x:c r="I663" t="n">
        <x:v>4</x:v>
      </x:c>
      <x:c r="J663" s="4" t="n">
        <x:v>44.64</x:v>
      </x:c>
      <x:c r="K663" s="4" t="n">
        <x:v>18</x:v>
      </x:c>
      <x:c r="L663" s="5" t="n">
        <x:v>0</x:v>
      </x:c>
      <x:c r="M663" s="4" t="n">
        <x:f>ROUND(I663*J663*(1-L663),2)</x:f>
        <x:v>178.56</x:v>
      </x:c>
      <x:c r="N663" s="4" t="n">
        <x:f>ROUND(I663*K663,2)</x:f>
        <x:v>72</x:v>
      </x:c>
      <x:c r="O663" s="4" t="n">
        <x:f>ROUND(M663-N663,2)</x:f>
        <x:v>106.56</x:v>
      </x:c>
      <x:c r="P663" s="6" t="n">
        <x:v>4.5</x:v>
      </x:c>
      <x:c r="Q663" t="str">
        <x:v>No</x:v>
      </x:c>
    </x:row>
    <x:row r="664">
      <x:c r="A664" t="str">
        <x:v>ORD-01731</x:v>
      </x:c>
      <x:c r="B664" s="3" t="n">
        <x:v>45572.59310643518</x:v>
      </x:c>
      <x:c r="C664" t="str">
        <x:v>2024-10</x:v>
      </x:c>
      <x:c r="D664" t="str">
        <x:v>CUS-0302</x:v>
      </x:c>
      <x:c r="E664" t="str">
        <x:v>South West</x:v>
      </x:c>
      <x:c r="F664" t="str">
        <x:v>Online</x:v>
      </x:c>
      <x:c r="G664" t="str">
        <x:v>Fashion</x:v>
      </x:c>
      <x:c r="H664" t="str">
        <x:v>Winter Jacket</x:v>
      </x:c>
      <x:c r="I664" t="n">
        <x:v>1</x:v>
      </x:c>
      <x:c r="J664" s="4" t="n">
        <x:v>96.35</x:v>
      </x:c>
      <x:c r="K664" s="4" t="n">
        <x:v>46</x:v>
      </x:c>
      <x:c r="L664" s="5" t="n">
        <x:v>0.1</x:v>
      </x:c>
      <x:c r="M664" s="4" t="n">
        <x:f>ROUND(I664*J664*(1-L664),2)</x:f>
        <x:v>86.72</x:v>
      </x:c>
      <x:c r="N664" s="4" t="n">
        <x:f>ROUND(I664*K664,2)</x:f>
        <x:v>46</x:v>
      </x:c>
      <x:c r="O664" s="4" t="n">
        <x:f>ROUND(M664-N664,2)</x:f>
        <x:v>40.72</x:v>
      </x:c>
      <x:c r="P664" s="6" t="n">
        <x:v>4.8</x:v>
      </x:c>
      <x:c r="Q664" t="str">
        <x:v>No</x:v>
      </x:c>
    </x:row>
    <x:row r="665">
      <x:c r="A665" t="str">
        <x:v>ORD-00854</x:v>
      </x:c>
      <x:c r="B665" s="3" t="n">
        <x:v>45572.696771979165</x:v>
      </x:c>
      <x:c r="C665" t="str">
        <x:v>2024-10</x:v>
      </x:c>
      <x:c r="D665" t="str">
        <x:v>CUS-0454</x:v>
      </x:c>
      <x:c r="E665" t="str">
        <x:v>Wales</x:v>
      </x:c>
      <x:c r="F665" t="str">
        <x:v>Store</x:v>
      </x:c>
      <x:c r="G665" t="str">
        <x:v>Books</x:v>
      </x:c>
      <x:c r="H665" t="str">
        <x:v>Business Intelligence Guide</x:v>
      </x:c>
      <x:c r="I665" t="n">
        <x:v>1</x:v>
      </x:c>
      <x:c r="J665" s="4" t="n">
        <x:v>35.31</x:v>
      </x:c>
      <x:c r="K665" s="4" t="n">
        <x:v>12</x:v>
      </x:c>
      <x:c r="L665" s="5" t="n">
        <x:v>0.1</x:v>
      </x:c>
      <x:c r="M665" s="4" t="n">
        <x:f>ROUND(I665*J665*(1-L665),2)</x:f>
        <x:v>31.78</x:v>
      </x:c>
      <x:c r="N665" s="4" t="n">
        <x:f>ROUND(I665*K665,2)</x:f>
        <x:v>12</x:v>
      </x:c>
      <x:c r="O665" s="4" t="n">
        <x:f>ROUND(M665-N665,2)</x:f>
        <x:v>19.78</x:v>
      </x:c>
      <x:c r="P665" s="6" t="n">
        <x:v>4.4</x:v>
      </x:c>
      <x:c r="Q665" t="str">
        <x:v>No</x:v>
      </x:c>
    </x:row>
    <x:row r="666">
      <x:c r="A666" t="str">
        <x:v>ORD-01604</x:v>
      </x:c>
      <x:c r="B666" s="3" t="n">
        <x:v>45572.74400291667</x:v>
      </x:c>
      <x:c r="C666" t="str">
        <x:v>2024-10</x:v>
      </x:c>
      <x:c r="D666" t="str">
        <x:v>CUS-0017</x:v>
      </x:c>
      <x:c r="E666" t="str">
        <x:v>North West</x:v>
      </x:c>
      <x:c r="F666" t="str">
        <x:v>Online</x:v>
      </x:c>
      <x:c r="G666" t="str">
        <x:v>Fashion</x:v>
      </x:c>
      <x:c r="H666" t="str">
        <x:v>Backpack</x:v>
      </x:c>
      <x:c r="I666" t="n">
        <x:v>1</x:v>
      </x:c>
      <x:c r="J666" s="4" t="n">
        <x:v>51.73</x:v>
      </x:c>
      <x:c r="K666" s="4" t="n">
        <x:v>21</x:v>
      </x:c>
      <x:c r="L666" s="5" t="n">
        <x:v>0</x:v>
      </x:c>
      <x:c r="M666" s="4" t="n">
        <x:f>ROUND(I666*J666*(1-L666),2)</x:f>
        <x:v>51.73</x:v>
      </x:c>
      <x:c r="N666" s="4" t="n">
        <x:f>ROUND(I666*K666,2)</x:f>
        <x:v>21</x:v>
      </x:c>
      <x:c r="O666" s="4" t="n">
        <x:f>ROUND(M666-N666,2)</x:f>
        <x:v>30.73</x:v>
      </x:c>
      <x:c r="P666" s="6" t="n">
        <x:v>5</x:v>
      </x:c>
      <x:c r="Q666" t="str">
        <x:v>No</x:v>
      </x:c>
    </x:row>
    <x:row r="667">
      <x:c r="A667" t="str">
        <x:v>ORD-00662</x:v>
      </x:c>
      <x:c r="B667" s="3" t="n">
        <x:v>45573.49174684028</x:v>
      </x:c>
      <x:c r="C667" t="str">
        <x:v>2024-10</x:v>
      </x:c>
      <x:c r="D667" t="str">
        <x:v>CUS-0514</x:v>
      </x:c>
      <x:c r="E667" t="str">
        <x:v>London</x:v>
      </x:c>
      <x:c r="F667" t="str">
        <x:v>Store</x:v>
      </x:c>
      <x:c r="G667" t="str">
        <x:v>Fashion</x:v>
      </x:c>
      <x:c r="H667" t="str">
        <x:v>Winter Jacket</x:v>
      </x:c>
      <x:c r="I667" t="n">
        <x:v>1</x:v>
      </x:c>
      <x:c r="J667" s="4" t="n">
        <x:v>93.23</x:v>
      </x:c>
      <x:c r="K667" s="4" t="n">
        <x:v>46</x:v>
      </x:c>
      <x:c r="L667" s="5" t="n">
        <x:v>0</x:v>
      </x:c>
      <x:c r="M667" s="4" t="n">
        <x:f>ROUND(I667*J667*(1-L667),2)</x:f>
        <x:v>93.23</x:v>
      </x:c>
      <x:c r="N667" s="4" t="n">
        <x:f>ROUND(I667*K667,2)</x:f>
        <x:v>46</x:v>
      </x:c>
      <x:c r="O667" s="4" t="n">
        <x:f>ROUND(M667-N667,2)</x:f>
        <x:v>47.23</x:v>
      </x:c>
      <x:c r="P667" s="6" t="n">
        <x:v>4.3</x:v>
      </x:c>
      <x:c r="Q667" t="str">
        <x:v>No</x:v>
      </x:c>
    </x:row>
    <x:row r="668">
      <x:c r="A668" t="str">
        <x:v>ORD-01279</x:v>
      </x:c>
      <x:c r="B668" s="3" t="n">
        <x:v>45574.47748550926</x:v>
      </x:c>
      <x:c r="C668" t="str">
        <x:v>2024-10</x:v>
      </x:c>
      <x:c r="D668" t="str">
        <x:v>CUS-0318</x:v>
      </x:c>
      <x:c r="E668" t="str">
        <x:v>Midlands</x:v>
      </x:c>
      <x:c r="F668" t="str">
        <x:v>Marketplace</x:v>
      </x:c>
      <x:c r="G668" t="str">
        <x:v>Home</x:v>
      </x:c>
      <x:c r="H668" t="str">
        <x:v>Air Fryer</x:v>
      </x:c>
      <x:c r="I668" t="n">
        <x:v>3</x:v>
      </x:c>
      <x:c r="J668" s="4" t="n">
        <x:v>123.6</x:v>
      </x:c>
      <x:c r="K668" s="4" t="n">
        <x:v>69</x:v>
      </x:c>
      <x:c r="L668" s="5" t="n">
        <x:v>0.2</x:v>
      </x:c>
      <x:c r="M668" s="4" t="n">
        <x:f>ROUND(I668*J668*(1-L668),2)</x:f>
        <x:v>296.64</x:v>
      </x:c>
      <x:c r="N668" s="4" t="n">
        <x:f>ROUND(I668*K668,2)</x:f>
        <x:v>207</x:v>
      </x:c>
      <x:c r="O668" s="4" t="n">
        <x:f>ROUND(M668-N668,2)</x:f>
        <x:v>89.64</x:v>
      </x:c>
      <x:c r="P668" s="6" t="n">
        <x:v>5</x:v>
      </x:c>
      <x:c r="Q668" t="str">
        <x:v>No</x:v>
      </x:c>
    </x:row>
    <x:row r="669">
      <x:c r="A669" t="str">
        <x:v>ORD-00780</x:v>
      </x:c>
      <x:c r="B669" s="3" t="n">
        <x:v>45574.690639988425</x:v>
      </x:c>
      <x:c r="C669" t="str">
        <x:v>2024-10</x:v>
      </x:c>
      <x:c r="D669" t="str">
        <x:v>CUS-0119</x:v>
      </x:c>
      <x:c r="E669" t="str">
        <x:v>Scotland</x:v>
      </x:c>
      <x:c r="F669" t="str">
        <x:v>Store</x:v>
      </x:c>
      <x:c r="G669" t="str">
        <x:v>Home</x:v>
      </x:c>
      <x:c r="H669" t="str">
        <x:v>Air Fryer</x:v>
      </x:c>
      <x:c r="I669" t="n">
        <x:v>5</x:v>
      </x:c>
      <x:c r="J669" s="4" t="n">
        <x:v>125.4</x:v>
      </x:c>
      <x:c r="K669" s="4" t="n">
        <x:v>69</x:v>
      </x:c>
      <x:c r="L669" s="5" t="n">
        <x:v>0</x:v>
      </x:c>
      <x:c r="M669" s="4" t="n">
        <x:f>ROUND(I669*J669*(1-L669),2)</x:f>
        <x:v>627</x:v>
      </x:c>
      <x:c r="N669" s="4" t="n">
        <x:f>ROUND(I669*K669,2)</x:f>
        <x:v>345</x:v>
      </x:c>
      <x:c r="O669" s="4" t="n">
        <x:f>ROUND(M669-N669,2)</x:f>
        <x:v>282</x:v>
      </x:c>
      <x:c r="P669" s="6" t="n">
        <x:v>5</x:v>
      </x:c>
      <x:c r="Q669" t="str">
        <x:v>No</x:v>
      </x:c>
    </x:row>
    <x:row r="670">
      <x:c r="A670" t="str">
        <x:v>ORD-01031</x:v>
      </x:c>
      <x:c r="B670" s="3" t="n">
        <x:v>45575.07848930555</x:v>
      </x:c>
      <x:c r="C670" t="str">
        <x:v>2024-10</x:v>
      </x:c>
      <x:c r="D670" t="str">
        <x:v>CUS-0220</x:v>
      </x:c>
      <x:c r="E670" t="str">
        <x:v>Scotland</x:v>
      </x:c>
      <x:c r="F670" t="str">
        <x:v>Store</x:v>
      </x:c>
      <x:c r="G670" t="str">
        <x:v>Fashion</x:v>
      </x:c>
      <x:c r="H670" t="str">
        <x:v>Backpack</x:v>
      </x:c>
      <x:c r="I670" t="n">
        <x:v>3</x:v>
      </x:c>
      <x:c r="J670" s="4" t="n">
        <x:v>48.8</x:v>
      </x:c>
      <x:c r="K670" s="4" t="n">
        <x:v>21</x:v>
      </x:c>
      <x:c r="L670" s="5" t="n">
        <x:v>0</x:v>
      </x:c>
      <x:c r="M670" s="4" t="n">
        <x:f>ROUND(I670*J670*(1-L670),2)</x:f>
        <x:v>146.4</x:v>
      </x:c>
      <x:c r="N670" s="4" t="n">
        <x:f>ROUND(I670*K670,2)</x:f>
        <x:v>63</x:v>
      </x:c>
      <x:c r="O670" s="4" t="n">
        <x:f>ROUND(M670-N670,2)</x:f>
        <x:v>83.4</x:v>
      </x:c>
      <x:c r="P670" s="6" t="n">
        <x:v>3.8</x:v>
      </x:c>
      <x:c r="Q670" t="str">
        <x:v>No</x:v>
      </x:c>
    </x:row>
    <x:row r="671">
      <x:c r="A671" t="str">
        <x:v>ORD-01218</x:v>
      </x:c>
      <x:c r="B671" s="3" t="n">
        <x:v>45575.39706033565</x:v>
      </x:c>
      <x:c r="C671" t="str">
        <x:v>2024-10</x:v>
      </x:c>
      <x:c r="D671" t="str">
        <x:v>CUS-0510</x:v>
      </x:c>
      <x:c r="E671" t="str">
        <x:v>Wales</x:v>
      </x:c>
      <x:c r="F671" t="str">
        <x:v>Store</x:v>
      </x:c>
      <x:c r="G671" t="str">
        <x:v>Electronics</x:v>
      </x:c>
      <x:c r="H671" t="str">
        <x:v>Wireless Headphones</x:v>
      </x:c>
      <x:c r="I671" t="n">
        <x:v>1</x:v>
      </x:c>
      <x:c r="J671" s="4" t="n">
        <x:v>91.82</x:v>
      </x:c>
      <x:c r="K671" s="4" t="n">
        <x:v>48</x:v>
      </x:c>
      <x:c r="L671" s="5" t="n">
        <x:v>0</x:v>
      </x:c>
      <x:c r="M671" s="4" t="n">
        <x:f>ROUND(I671*J671*(1-L671),2)</x:f>
        <x:v>91.82</x:v>
      </x:c>
      <x:c r="N671" s="4" t="n">
        <x:f>ROUND(I671*K671,2)</x:f>
        <x:v>48</x:v>
      </x:c>
      <x:c r="O671" s="4" t="n">
        <x:f>ROUND(M671-N671,2)</x:f>
        <x:v>43.82</x:v>
      </x:c>
      <x:c r="P671" s="6" t="n">
        <x:v>5</x:v>
      </x:c>
      <x:c r="Q671" t="str">
        <x:v>No</x:v>
      </x:c>
    </x:row>
    <x:row r="672">
      <x:c r="A672" t="str">
        <x:v>ORD-01030</x:v>
      </x:c>
      <x:c r="B672" s="3" t="n">
        <x:v>45576.048949351854</x:v>
      </x:c>
      <x:c r="C672" t="str">
        <x:v>2024-10</x:v>
      </x:c>
      <x:c r="D672" t="str">
        <x:v>CUS-0159</x:v>
      </x:c>
      <x:c r="E672" t="str">
        <x:v>Scotland</x:v>
      </x:c>
      <x:c r="F672" t="str">
        <x:v>Store</x:v>
      </x:c>
      <x:c r="G672" t="str">
        <x:v>Sports</x:v>
      </x:c>
      <x:c r="H672" t="str">
        <x:v>Yoga Mat</x:v>
      </x:c>
      <x:c r="I672" t="n">
        <x:v>3</x:v>
      </x:c>
      <x:c r="J672" s="4" t="n">
        <x:v>29.31</x:v>
      </x:c>
      <x:c r="K672" s="4" t="n">
        <x:v>12</x:v>
      </x:c>
      <x:c r="L672" s="5" t="n">
        <x:v>0.05</x:v>
      </x:c>
      <x:c r="M672" s="4" t="n">
        <x:f>ROUND(I672*J672*(1-L672),2)</x:f>
        <x:v>83.53</x:v>
      </x:c>
      <x:c r="N672" s="4" t="n">
        <x:f>ROUND(I672*K672,2)</x:f>
        <x:v>36</x:v>
      </x:c>
      <x:c r="O672" s="4" t="n">
        <x:f>ROUND(M672-N672,2)</x:f>
        <x:v>47.53</x:v>
      </x:c>
      <x:c r="P672" s="6" t="n">
        <x:v>4.5</x:v>
      </x:c>
      <x:c r="Q672" t="str">
        <x:v>No</x:v>
      </x:c>
    </x:row>
    <x:row r="673">
      <x:c r="A673" t="str">
        <x:v>ORD-01384</x:v>
      </x:c>
      <x:c r="B673" s="3" t="n">
        <x:v>45576.245811875</x:v>
      </x:c>
      <x:c r="C673" t="str">
        <x:v>2024-10</x:v>
      </x:c>
      <x:c r="D673" t="str">
        <x:v>CUS-0194</x:v>
      </x:c>
      <x:c r="E673" t="str">
        <x:v>South East</x:v>
      </x:c>
      <x:c r="F673" t="str">
        <x:v>Marketplace</x:v>
      </x:c>
      <x:c r="G673" t="str">
        <x:v>Home</x:v>
      </x:c>
      <x:c r="H673" t="str">
        <x:v>Desk Lamp</x:v>
      </x:c>
      <x:c r="I673" t="n">
        <x:v>3</x:v>
      </x:c>
      <x:c r="J673" s="4" t="n">
        <x:v>34.14</x:v>
      </x:c>
      <x:c r="K673" s="4" t="n">
        <x:v>17</x:v>
      </x:c>
      <x:c r="L673" s="5" t="n">
        <x:v>0.15</x:v>
      </x:c>
      <x:c r="M673" s="4" t="n">
        <x:f>ROUND(I673*J673*(1-L673),2)</x:f>
        <x:v>87.06</x:v>
      </x:c>
      <x:c r="N673" s="4" t="n">
        <x:f>ROUND(I673*K673,2)</x:f>
        <x:v>51</x:v>
      </x:c>
      <x:c r="O673" s="4" t="n">
        <x:f>ROUND(M673-N673,2)</x:f>
        <x:v>36.06</x:v>
      </x:c>
      <x:c r="P673" s="6" t="n">
        <x:v>3.6</x:v>
      </x:c>
      <x:c r="Q673" t="str">
        <x:v>No</x:v>
      </x:c>
    </x:row>
    <x:row r="674">
      <x:c r="A674" t="str">
        <x:v>ORD-01678</x:v>
      </x:c>
      <x:c r="B674" s="3" t="n">
        <x:v>45577.4240425463</x:v>
      </x:c>
      <x:c r="C674" t="str">
        <x:v>2024-10</x:v>
      </x:c>
      <x:c r="D674" t="str">
        <x:v>CUS-0227</x:v>
      </x:c>
      <x:c r="E674" t="str">
        <x:v>North East</x:v>
      </x:c>
      <x:c r="F674" t="str">
        <x:v>Online</x:v>
      </x:c>
      <x:c r="G674" t="str">
        <x:v>Books</x:v>
      </x:c>
      <x:c r="H674" t="str">
        <x:v>Data Analytics Handbook</x:v>
      </x:c>
      <x:c r="I674" t="n">
        <x:v>4</x:v>
      </x:c>
      <x:c r="J674" s="4" t="n">
        <x:v>41.54</x:v>
      </x:c>
      <x:c r="K674" s="4" t="n">
        <x:v>14</x:v>
      </x:c>
      <x:c r="L674" s="5" t="n">
        <x:v>0</x:v>
      </x:c>
      <x:c r="M674" s="4" t="n">
        <x:f>ROUND(I674*J674*(1-L674),2)</x:f>
        <x:v>166.16</x:v>
      </x:c>
      <x:c r="N674" s="4" t="n">
        <x:f>ROUND(I674*K674,2)</x:f>
        <x:v>56</x:v>
      </x:c>
      <x:c r="O674" s="4" t="n">
        <x:f>ROUND(M674-N674,2)</x:f>
        <x:v>110.16</x:v>
      </x:c>
      <x:c r="P674" s="6" t="n">
        <x:v>4.4</x:v>
      </x:c>
      <x:c r="Q674" t="str">
        <x:v>No</x:v>
      </x:c>
    </x:row>
    <x:row r="675">
      <x:c r="A675" t="str">
        <x:v>ORD-00972</x:v>
      </x:c>
      <x:c r="B675" s="3" t="n">
        <x:v>45577.45907398148</x:v>
      </x:c>
      <x:c r="C675" t="str">
        <x:v>2024-10</x:v>
      </x:c>
      <x:c r="D675" t="str">
        <x:v>CUS-0339</x:v>
      </x:c>
      <x:c r="E675" t="str">
        <x:v>South West</x:v>
      </x:c>
      <x:c r="F675" t="str">
        <x:v>Store</x:v>
      </x:c>
      <x:c r="G675" t="str">
        <x:v>Beauty</x:v>
      </x:c>
      <x:c r="H675" t="str">
        <x:v>Skin Care Set</x:v>
      </x:c>
      <x:c r="I675" t="n">
        <x:v>3</x:v>
      </x:c>
      <x:c r="J675" s="4" t="n">
        <x:v>43.9</x:v>
      </x:c>
      <x:c r="K675" s="4" t="n">
        <x:v>18</x:v>
      </x:c>
      <x:c r="L675" s="5" t="n">
        <x:v>0</x:v>
      </x:c>
      <x:c r="M675" s="4" t="n">
        <x:f>ROUND(I675*J675*(1-L675),2)</x:f>
        <x:v>131.7</x:v>
      </x:c>
      <x:c r="N675" s="4" t="n">
        <x:f>ROUND(I675*K675,2)</x:f>
        <x:v>54</x:v>
      </x:c>
      <x:c r="O675" s="4" t="n">
        <x:f>ROUND(M675-N675,2)</x:f>
        <x:v>77.7</x:v>
      </x:c>
      <x:c r="P675" s="6" t="n">
        <x:v>4.5</x:v>
      </x:c>
      <x:c r="Q675" t="str">
        <x:v>No</x:v>
      </x:c>
    </x:row>
    <x:row r="676">
      <x:c r="A676" t="str">
        <x:v>ORD-01628</x:v>
      </x:c>
      <x:c r="B676" s="3" t="n">
        <x:v>45577.968119178244</x:v>
      </x:c>
      <x:c r="C676" t="str">
        <x:v>2024-10</x:v>
      </x:c>
      <x:c r="D676" t="str">
        <x:v>CUS-0071</x:v>
      </x:c>
      <x:c r="E676" t="str">
        <x:v>Wales</x:v>
      </x:c>
      <x:c r="F676" t="str">
        <x:v>Online</x:v>
      </x:c>
      <x:c r="G676" t="str">
        <x:v>Sports</x:v>
      </x:c>
      <x:c r="H676" t="str">
        <x:v>Fitness Tracker</x:v>
      </x:c>
      <x:c r="I676" t="n">
        <x:v>1</x:v>
      </x:c>
      <x:c r="J676" s="4" t="n">
        <x:v>54.36</x:v>
      </x:c>
      <x:c r="K676" s="4" t="n">
        <x:v>27</x:v>
      </x:c>
      <x:c r="L676" s="5" t="n">
        <x:v>0</x:v>
      </x:c>
      <x:c r="M676" s="4" t="n">
        <x:f>ROUND(I676*J676*(1-L676),2)</x:f>
        <x:v>54.36</x:v>
      </x:c>
      <x:c r="N676" s="4" t="n">
        <x:f>ROUND(I676*K676,2)</x:f>
        <x:v>27</x:v>
      </x:c>
      <x:c r="O676" s="4" t="n">
        <x:f>ROUND(M676-N676,2)</x:f>
        <x:v>27.36</x:v>
      </x:c>
      <x:c r="P676" s="6" t="n">
        <x:v>3.4</x:v>
      </x:c>
      <x:c r="Q676" t="str">
        <x:v>Yes</x:v>
      </x:c>
    </x:row>
    <x:row r="677">
      <x:c r="A677" t="str">
        <x:v>ORD-00951</x:v>
      </x:c>
      <x:c r="B677" s="3" t="n">
        <x:v>45578.34368740741</x:v>
      </x:c>
      <x:c r="C677" t="str">
        <x:v>2024-10</x:v>
      </x:c>
      <x:c r="D677" t="str">
        <x:v>CUS-0164</x:v>
      </x:c>
      <x:c r="E677" t="str">
        <x:v>North East</x:v>
      </x:c>
      <x:c r="F677" t="str">
        <x:v>Marketplace</x:v>
      </x:c>
      <x:c r="G677" t="str">
        <x:v>Beauty</x:v>
      </x:c>
      <x:c r="H677" t="str">
        <x:v>Hair Dryer</x:v>
      </x:c>
      <x:c r="I677" t="n">
        <x:v>4</x:v>
      </x:c>
      <x:c r="J677" s="4" t="n">
        <x:v>57.24</x:v>
      </x:c>
      <x:c r="K677" s="4" t="n">
        <x:v>29</x:v>
      </x:c>
      <x:c r="L677" s="5" t="n">
        <x:v>0.2</x:v>
      </x:c>
      <x:c r="M677" s="4" t="n">
        <x:f>ROUND(I677*J677*(1-L677),2)</x:f>
        <x:v>183.17</x:v>
      </x:c>
      <x:c r="N677" s="4" t="n">
        <x:f>ROUND(I677*K677,2)</x:f>
        <x:v>116</x:v>
      </x:c>
      <x:c r="O677" s="4" t="n">
        <x:f>ROUND(M677-N677,2)</x:f>
        <x:v>67.17</x:v>
      </x:c>
      <x:c r="P677" s="6" t="n">
        <x:v>3.7</x:v>
      </x:c>
      <x:c r="Q677" t="str">
        <x:v>No</x:v>
      </x:c>
    </x:row>
    <x:row r="678">
      <x:c r="A678" t="str">
        <x:v>ORD-00538</x:v>
      </x:c>
      <x:c r="B678" s="3" t="n">
        <x:v>45578.997135694444</x:v>
      </x:c>
      <x:c r="C678" t="str">
        <x:v>2024-10</x:v>
      </x:c>
      <x:c r="D678" t="str">
        <x:v>CUS-0020</x:v>
      </x:c>
      <x:c r="E678" t="str">
        <x:v>North West</x:v>
      </x:c>
      <x:c r="F678" t="str">
        <x:v>Marketplace</x:v>
      </x:c>
      <x:c r="G678" t="str">
        <x:v>Beauty</x:v>
      </x:c>
      <x:c r="H678" t="str">
        <x:v>Hair Dryer</x:v>
      </x:c>
      <x:c r="I678" t="n">
        <x:v>1</x:v>
      </x:c>
      <x:c r="J678" s="4" t="n">
        <x:v>58.19</x:v>
      </x:c>
      <x:c r="K678" s="4" t="n">
        <x:v>29</x:v>
      </x:c>
      <x:c r="L678" s="5" t="n">
        <x:v>0.05</x:v>
      </x:c>
      <x:c r="M678" s="4" t="n">
        <x:f>ROUND(I678*J678*(1-L678),2)</x:f>
        <x:v>55.28</x:v>
      </x:c>
      <x:c r="N678" s="4" t="n">
        <x:f>ROUND(I678*K678,2)</x:f>
        <x:v>29</x:v>
      </x:c>
      <x:c r="O678" s="4" t="n">
        <x:f>ROUND(M678-N678,2)</x:f>
        <x:v>26.28</x:v>
      </x:c>
      <x:c r="P678" s="6" t="n">
        <x:v>3.4</x:v>
      </x:c>
      <x:c r="Q678" t="str">
        <x:v>Yes</x:v>
      </x:c>
    </x:row>
    <x:row r="679">
      <x:c r="A679" t="str">
        <x:v>ORD-01004</x:v>
      </x:c>
      <x:c r="B679" s="3" t="n">
        <x:v>45579.35043798611</x:v>
      </x:c>
      <x:c r="C679" t="str">
        <x:v>2024-10</x:v>
      </x:c>
      <x:c r="D679" t="str">
        <x:v>CUS-0291</x:v>
      </x:c>
      <x:c r="E679" t="str">
        <x:v>South East</x:v>
      </x:c>
      <x:c r="F679" t="str">
        <x:v>Store</x:v>
      </x:c>
      <x:c r="G679" t="str">
        <x:v>Sports</x:v>
      </x:c>
      <x:c r="H679" t="str">
        <x:v>Yoga Mat</x:v>
      </x:c>
      <x:c r="I679" t="n">
        <x:v>2</x:v>
      </x:c>
      <x:c r="J679" s="4" t="n">
        <x:v>30.41</x:v>
      </x:c>
      <x:c r="K679" s="4" t="n">
        <x:v>12</x:v>
      </x:c>
      <x:c r="L679" s="5" t="n">
        <x:v>0</x:v>
      </x:c>
      <x:c r="M679" s="4" t="n">
        <x:f>ROUND(I679*J679*(1-L679),2)</x:f>
        <x:v>60.82</x:v>
      </x:c>
      <x:c r="N679" s="4" t="n">
        <x:f>ROUND(I679*K679,2)</x:f>
        <x:v>24</x:v>
      </x:c>
      <x:c r="O679" s="4" t="n">
        <x:f>ROUND(M679-N679,2)</x:f>
        <x:v>36.82</x:v>
      </x:c>
      <x:c r="P679" s="6" t="n">
        <x:v>4.9</x:v>
      </x:c>
      <x:c r="Q679" t="str">
        <x:v>No</x:v>
      </x:c>
    </x:row>
    <x:row r="680">
      <x:c r="A680" t="str">
        <x:v>ORD-01432</x:v>
      </x:c>
      <x:c r="B680" s="3" t="n">
        <x:v>45579.92784909722</x:v>
      </x:c>
      <x:c r="C680" t="str">
        <x:v>2024-10</x:v>
      </x:c>
      <x:c r="D680" t="str">
        <x:v>CUS-0573</x:v>
      </x:c>
      <x:c r="E680" t="str">
        <x:v>South West</x:v>
      </x:c>
      <x:c r="F680" t="str">
        <x:v>Store</x:v>
      </x:c>
      <x:c r="G680" t="str">
        <x:v>Electronics</x:v>
      </x:c>
      <x:c r="H680" t="str">
        <x:v>Wireless Headphones</x:v>
      </x:c>
      <x:c r="I680" t="n">
        <x:v>5</x:v>
      </x:c>
      <x:c r="J680" s="4" t="n">
        <x:v>93.89</x:v>
      </x:c>
      <x:c r="K680" s="4" t="n">
        <x:v>48</x:v>
      </x:c>
      <x:c r="L680" s="5" t="n">
        <x:v>0.1</x:v>
      </x:c>
      <x:c r="M680" s="4" t="n">
        <x:f>ROUND(I680*J680*(1-L680),2)</x:f>
        <x:v>422.51</x:v>
      </x:c>
      <x:c r="N680" s="4" t="n">
        <x:f>ROUND(I680*K680,2)</x:f>
        <x:v>240</x:v>
      </x:c>
      <x:c r="O680" s="4" t="n">
        <x:f>ROUND(M680-N680,2)</x:f>
        <x:v>182.51</x:v>
      </x:c>
      <x:c r="P680" s="6" t="n">
        <x:v>3.9</x:v>
      </x:c>
      <x:c r="Q680" t="str">
        <x:v>No</x:v>
      </x:c>
    </x:row>
    <x:row r="681">
      <x:c r="A681" t="str">
        <x:v>ORD-01355</x:v>
      </x:c>
      <x:c r="B681" s="3" t="n">
        <x:v>45579.956171956015</x:v>
      </x:c>
      <x:c r="C681" t="str">
        <x:v>2024-10</x:v>
      </x:c>
      <x:c r="D681" t="str">
        <x:v>CUS-0045</x:v>
      </x:c>
      <x:c r="E681" t="str">
        <x:v>South East</x:v>
      </x:c>
      <x:c r="F681" t="str">
        <x:v>Marketplace</x:v>
      </x:c>
      <x:c r="G681" t="str">
        <x:v>Fashion</x:v>
      </x:c>
      <x:c r="H681" t="str">
        <x:v>Winter Jacket</x:v>
      </x:c>
      <x:c r="I681" t="n">
        <x:v>4</x:v>
      </x:c>
      <x:c r="J681" s="4" t="n">
        <x:v>92.77</x:v>
      </x:c>
      <x:c r="K681" s="4" t="n">
        <x:v>46</x:v>
      </x:c>
      <x:c r="L681" s="5" t="n">
        <x:v>0</x:v>
      </x:c>
      <x:c r="M681" s="4" t="n">
        <x:f>ROUND(I681*J681*(1-L681),2)</x:f>
        <x:v>371.08</x:v>
      </x:c>
      <x:c r="N681" s="4" t="n">
        <x:f>ROUND(I681*K681,2)</x:f>
        <x:v>184</x:v>
      </x:c>
      <x:c r="O681" s="4" t="n">
        <x:f>ROUND(M681-N681,2)</x:f>
        <x:v>187.08</x:v>
      </x:c>
      <x:c r="P681" s="6" t="n">
        <x:v>5</x:v>
      </x:c>
      <x:c r="Q681" t="str">
        <x:v>No</x:v>
      </x:c>
    </x:row>
    <x:row r="682">
      <x:c r="A682" t="str">
        <x:v>ORD-00220</x:v>
      </x:c>
      <x:c r="B682" s="3" t="n">
        <x:v>45581.16381326389</x:v>
      </x:c>
      <x:c r="C682" t="str">
        <x:v>2024-10</x:v>
      </x:c>
      <x:c r="D682" t="str">
        <x:v>CUS-0565</x:v>
      </x:c>
      <x:c r="E682" t="str">
        <x:v>London</x:v>
      </x:c>
      <x:c r="F682" t="str">
        <x:v>Store</x:v>
      </x:c>
      <x:c r="G682" t="str">
        <x:v>Home</x:v>
      </x:c>
      <x:c r="H682" t="str">
        <x:v>Coffee Maker</x:v>
      </x:c>
      <x:c r="I682" t="n">
        <x:v>1</x:v>
      </x:c>
      <x:c r="J682" s="4" t="n">
        <x:v>72.25</x:v>
      </x:c>
      <x:c r="K682" s="4" t="n">
        <x:v>41</x:v>
      </x:c>
      <x:c r="L682" s="5" t="n">
        <x:v>0</x:v>
      </x:c>
      <x:c r="M682" s="4" t="n">
        <x:f>ROUND(I682*J682*(1-L682),2)</x:f>
        <x:v>72.25</x:v>
      </x:c>
      <x:c r="N682" s="4" t="n">
        <x:f>ROUND(I682*K682,2)</x:f>
        <x:v>41</x:v>
      </x:c>
      <x:c r="O682" s="4" t="n">
        <x:f>ROUND(M682-N682,2)</x:f>
        <x:v>31.25</x:v>
      </x:c>
      <x:c r="P682" s="6" t="n">
        <x:v>3.9</x:v>
      </x:c>
      <x:c r="Q682" t="str">
        <x:v>No</x:v>
      </x:c>
    </x:row>
    <x:row r="683">
      <x:c r="A683" t="str">
        <x:v>ORD-00485</x:v>
      </x:c>
      <x:c r="B683" s="3" t="n">
        <x:v>45581.62169892361</x:v>
      </x:c>
      <x:c r="C683" t="str">
        <x:v>2024-10</x:v>
      </x:c>
      <x:c r="D683" t="str">
        <x:v>CUS-0120</x:v>
      </x:c>
      <x:c r="E683" t="str">
        <x:v>London</x:v>
      </x:c>
      <x:c r="F683" t="str">
        <x:v>Marketplace</x:v>
      </x:c>
      <x:c r="G683" t="str">
        <x:v>Home</x:v>
      </x:c>
      <x:c r="H683" t="str">
        <x:v>Air Fryer</x:v>
      </x:c>
      <x:c r="I683" t="n">
        <x:v>5</x:v>
      </x:c>
      <x:c r="J683" s="4" t="n">
        <x:v>118.92</x:v>
      </x:c>
      <x:c r="K683" s="4" t="n">
        <x:v>69</x:v>
      </x:c>
      <x:c r="L683" s="5" t="n">
        <x:v>0</x:v>
      </x:c>
      <x:c r="M683" s="4" t="n">
        <x:f>ROUND(I683*J683*(1-L683),2)</x:f>
        <x:v>594.6</x:v>
      </x:c>
      <x:c r="N683" s="4" t="n">
        <x:f>ROUND(I683*K683,2)</x:f>
        <x:v>345</x:v>
      </x:c>
      <x:c r="O683" s="4" t="n">
        <x:f>ROUND(M683-N683,2)</x:f>
        <x:v>249.6</x:v>
      </x:c>
      <x:c r="P683" s="6" t="n">
        <x:v>4.8</x:v>
      </x:c>
      <x:c r="Q683" t="str">
        <x:v>No</x:v>
      </x:c>
    </x:row>
    <x:row r="684">
      <x:c r="A684" t="str">
        <x:v>ORD-01090</x:v>
      </x:c>
      <x:c r="B684" s="3" t="n">
        <x:v>45582.35187751157</x:v>
      </x:c>
      <x:c r="C684" t="str">
        <x:v>2024-10</x:v>
      </x:c>
      <x:c r="D684" t="str">
        <x:v>CUS-0027</x:v>
      </x:c>
      <x:c r="E684" t="str">
        <x:v>North West</x:v>
      </x:c>
      <x:c r="F684" t="str">
        <x:v>Online</x:v>
      </x:c>
      <x:c r="G684" t="str">
        <x:v>Home</x:v>
      </x:c>
      <x:c r="H684" t="str">
        <x:v>Coffee Maker</x:v>
      </x:c>
      <x:c r="I684" t="n">
        <x:v>5</x:v>
      </x:c>
      <x:c r="J684" s="4" t="n">
        <x:v>74.13</x:v>
      </x:c>
      <x:c r="K684" s="4" t="n">
        <x:v>41</x:v>
      </x:c>
      <x:c r="L684" s="5" t="n">
        <x:v>0</x:v>
      </x:c>
      <x:c r="M684" s="4" t="n">
        <x:f>ROUND(I684*J684*(1-L684),2)</x:f>
        <x:v>370.65</x:v>
      </x:c>
      <x:c r="N684" s="4" t="n">
        <x:f>ROUND(I684*K684,2)</x:f>
        <x:v>205</x:v>
      </x:c>
      <x:c r="O684" s="4" t="n">
        <x:f>ROUND(M684-N684,2)</x:f>
        <x:v>165.65</x:v>
      </x:c>
      <x:c r="P684" s="6" t="n">
        <x:v>4.9</x:v>
      </x:c>
      <x:c r="Q684" t="str">
        <x:v>No</x:v>
      </x:c>
    </x:row>
    <x:row r="685">
      <x:c r="A685" t="str">
        <x:v>ORD-01178</x:v>
      </x:c>
      <x:c r="B685" s="3" t="n">
        <x:v>45582.50471943287</x:v>
      </x:c>
      <x:c r="C685" t="str">
        <x:v>2024-10</x:v>
      </x:c>
      <x:c r="D685" t="str">
        <x:v>CUS-0144</x:v>
      </x:c>
      <x:c r="E685" t="str">
        <x:v>South West</x:v>
      </x:c>
      <x:c r="F685" t="str">
        <x:v>Online</x:v>
      </x:c>
      <x:c r="G685" t="str">
        <x:v>Fashion</x:v>
      </x:c>
      <x:c r="H685" t="str">
        <x:v>Classic Trainers</x:v>
      </x:c>
      <x:c r="I685" t="n">
        <x:v>1</x:v>
      </x:c>
      <x:c r="J685" s="4" t="n">
        <x:v>68.44</x:v>
      </x:c>
      <x:c r="K685" s="4" t="n">
        <x:v>32</x:v>
      </x:c>
      <x:c r="L685" s="5" t="n">
        <x:v>0.15</x:v>
      </x:c>
      <x:c r="M685" s="4" t="n">
        <x:f>ROUND(I685*J685*(1-L685),2)</x:f>
        <x:v>58.17</x:v>
      </x:c>
      <x:c r="N685" s="4" t="n">
        <x:f>ROUND(I685*K685,2)</x:f>
        <x:v>32</x:v>
      </x:c>
      <x:c r="O685" s="4" t="n">
        <x:f>ROUND(M685-N685,2)</x:f>
        <x:v>26.17</x:v>
      </x:c>
      <x:c r="P685" s="6" t="n">
        <x:v>3.8</x:v>
      </x:c>
      <x:c r="Q685" t="str">
        <x:v>No</x:v>
      </x:c>
    </x:row>
    <x:row r="686">
      <x:c r="A686" t="str">
        <x:v>ORD-00163</x:v>
      </x:c>
      <x:c r="B686" s="3" t="n">
        <x:v>45582.82532121528</x:v>
      </x:c>
      <x:c r="C686" t="str">
        <x:v>2024-10</x:v>
      </x:c>
      <x:c r="D686" t="str">
        <x:v>CUS-0453</x:v>
      </x:c>
      <x:c r="E686" t="str">
        <x:v>Scotland</x:v>
      </x:c>
      <x:c r="F686" t="str">
        <x:v>Online</x:v>
      </x:c>
      <x:c r="G686" t="str">
        <x:v>Beauty</x:v>
      </x:c>
      <x:c r="H686" t="str">
        <x:v>Skin Care Set</x:v>
      </x:c>
      <x:c r="I686" t="n">
        <x:v>3</x:v>
      </x:c>
      <x:c r="J686" s="4" t="n">
        <x:v>47.2</x:v>
      </x:c>
      <x:c r="K686" s="4" t="n">
        <x:v>18</x:v>
      </x:c>
      <x:c r="L686" s="5" t="n">
        <x:v>0.15</x:v>
      </x:c>
      <x:c r="M686" s="4" t="n">
        <x:f>ROUND(I686*J686*(1-L686),2)</x:f>
        <x:v>120.36</x:v>
      </x:c>
      <x:c r="N686" s="4" t="n">
        <x:f>ROUND(I686*K686,2)</x:f>
        <x:v>54</x:v>
      </x:c>
      <x:c r="O686" s="4" t="n">
        <x:f>ROUND(M686-N686,2)</x:f>
        <x:v>66.36</x:v>
      </x:c>
      <x:c r="P686" s="6" t="n">
        <x:v>5</x:v>
      </x:c>
      <x:c r="Q686" t="str">
        <x:v>No</x:v>
      </x:c>
    </x:row>
    <x:row r="687">
      <x:c r="A687" t="str">
        <x:v>ORD-01745</x:v>
      </x:c>
      <x:c r="B687" s="3" t="n">
        <x:v>45583.07287314815</x:v>
      </x:c>
      <x:c r="C687" t="str">
        <x:v>2024-10</x:v>
      </x:c>
      <x:c r="D687" t="str">
        <x:v>CUS-0511</x:v>
      </x:c>
      <x:c r="E687" t="str">
        <x:v>South West</x:v>
      </x:c>
      <x:c r="F687" t="str">
        <x:v>Marketplace</x:v>
      </x:c>
      <x:c r="G687" t="str">
        <x:v>Home</x:v>
      </x:c>
      <x:c r="H687" t="str">
        <x:v>Coffee Maker</x:v>
      </x:c>
      <x:c r="I687" t="n">
        <x:v>3</x:v>
      </x:c>
      <x:c r="J687" s="4" t="n">
        <x:v>74.53</x:v>
      </x:c>
      <x:c r="K687" s="4" t="n">
        <x:v>41</x:v>
      </x:c>
      <x:c r="L687" s="5" t="n">
        <x:v>0.2</x:v>
      </x:c>
      <x:c r="M687" s="4" t="n">
        <x:f>ROUND(I687*J687*(1-L687),2)</x:f>
        <x:v>178.87</x:v>
      </x:c>
      <x:c r="N687" s="4" t="n">
        <x:f>ROUND(I687*K687,2)</x:f>
        <x:v>123</x:v>
      </x:c>
      <x:c r="O687" s="4" t="n">
        <x:f>ROUND(M687-N687,2)</x:f>
        <x:v>55.87</x:v>
      </x:c>
      <x:c r="P687" s="6" t="n">
        <x:v>3.3</x:v>
      </x:c>
      <x:c r="Q687" t="str">
        <x:v>No</x:v>
      </x:c>
    </x:row>
    <x:row r="688">
      <x:c r="A688" t="str">
        <x:v>ORD-01151</x:v>
      </x:c>
      <x:c r="B688" s="3" t="n">
        <x:v>45583.981373993054</x:v>
      </x:c>
      <x:c r="C688" t="str">
        <x:v>2024-10</x:v>
      </x:c>
      <x:c r="D688" t="str">
        <x:v>CUS-0216</x:v>
      </x:c>
      <x:c r="E688" t="str">
        <x:v>North East</x:v>
      </x:c>
      <x:c r="F688" t="str">
        <x:v>Store</x:v>
      </x:c>
      <x:c r="G688" t="str">
        <x:v>Beauty</x:v>
      </x:c>
      <x:c r="H688" t="str">
        <x:v>Skin Care Set</x:v>
      </x:c>
      <x:c r="I688" t="n">
        <x:v>2</x:v>
      </x:c>
      <x:c r="J688" s="4" t="n">
        <x:v>45.34</x:v>
      </x:c>
      <x:c r="K688" s="4" t="n">
        <x:v>18</x:v>
      </x:c>
      <x:c r="L688" s="5" t="n">
        <x:v>0.2</x:v>
      </x:c>
      <x:c r="M688" s="4" t="n">
        <x:f>ROUND(I688*J688*(1-L688),2)</x:f>
        <x:v>72.54</x:v>
      </x:c>
      <x:c r="N688" s="4" t="n">
        <x:f>ROUND(I688*K688,2)</x:f>
        <x:v>36</x:v>
      </x:c>
      <x:c r="O688" s="4" t="n">
        <x:f>ROUND(M688-N688,2)</x:f>
        <x:v>36.54</x:v>
      </x:c>
      <x:c r="P688" s="6" t="n">
        <x:v>3.5</x:v>
      </x:c>
      <x:c r="Q688" t="str">
        <x:v>Yes</x:v>
      </x:c>
    </x:row>
    <x:row r="689">
      <x:c r="A689" t="str">
        <x:v>ORD-01014</x:v>
      </x:c>
      <x:c r="B689" s="3" t="n">
        <x:v>45584.320981412035</x:v>
      </x:c>
      <x:c r="C689" t="str">
        <x:v>2024-10</x:v>
      </x:c>
      <x:c r="D689" t="str">
        <x:v>CUS-0253</x:v>
      </x:c>
      <x:c r="E689" t="str">
        <x:v>South East</x:v>
      </x:c>
      <x:c r="F689" t="str">
        <x:v>Online</x:v>
      </x:c>
      <x:c r="G689" t="str">
        <x:v>Electronics</x:v>
      </x:c>
      <x:c r="H689" t="str">
        <x:v>Bluetooth Speaker</x:v>
      </x:c>
      <x:c r="I689" t="n">
        <x:v>2</x:v>
      </x:c>
      <x:c r="J689" s="4" t="n">
        <x:v>64.73</x:v>
      </x:c>
      <x:c r="K689" s="4" t="n">
        <x:v>34</x:v>
      </x:c>
      <x:c r="L689" s="5" t="n">
        <x:v>0.2</x:v>
      </x:c>
      <x:c r="M689" s="4" t="n">
        <x:f>ROUND(I689*J689*(1-L689),2)</x:f>
        <x:v>103.57</x:v>
      </x:c>
      <x:c r="N689" s="4" t="n">
        <x:f>ROUND(I689*K689,2)</x:f>
        <x:v>68</x:v>
      </x:c>
      <x:c r="O689" s="4" t="n">
        <x:f>ROUND(M689-N689,2)</x:f>
        <x:v>35.57</x:v>
      </x:c>
      <x:c r="P689" s="6" t="n">
        <x:v>3.3</x:v>
      </x:c>
      <x:c r="Q689" t="str">
        <x:v>No</x:v>
      </x:c>
    </x:row>
    <x:row r="690">
      <x:c r="A690" t="str">
        <x:v>ORD-01508</x:v>
      </x:c>
      <x:c r="B690" s="3" t="n">
        <x:v>45584.41807640046</x:v>
      </x:c>
      <x:c r="C690" t="str">
        <x:v>2024-10</x:v>
      </x:c>
      <x:c r="D690" t="str">
        <x:v>CUS-0386</x:v>
      </x:c>
      <x:c r="E690" t="str">
        <x:v>North East</x:v>
      </x:c>
      <x:c r="F690" t="str">
        <x:v>Marketplace</x:v>
      </x:c>
      <x:c r="G690" t="str">
        <x:v>Sports</x:v>
      </x:c>
      <x:c r="H690" t="str">
        <x:v>Fitness Tracker</x:v>
      </x:c>
      <x:c r="I690" t="n">
        <x:v>4</x:v>
      </x:c>
      <x:c r="J690" s="4" t="n">
        <x:v>54.6</x:v>
      </x:c>
      <x:c r="K690" s="4" t="n">
        <x:v>27</x:v>
      </x:c>
      <x:c r="L690" s="5" t="n">
        <x:v>0</x:v>
      </x:c>
      <x:c r="M690" s="4" t="n">
        <x:f>ROUND(I690*J690*(1-L690),2)</x:f>
        <x:v>218.4</x:v>
      </x:c>
      <x:c r="N690" s="4" t="n">
        <x:f>ROUND(I690*K690,2)</x:f>
        <x:v>108</x:v>
      </x:c>
      <x:c r="O690" s="4" t="n">
        <x:f>ROUND(M690-N690,2)</x:f>
        <x:v>110.4</x:v>
      </x:c>
      <x:c r="P690" s="6" t="n">
        <x:v>4.3</x:v>
      </x:c>
      <x:c r="Q690" t="str">
        <x:v>Yes</x:v>
      </x:c>
    </x:row>
    <x:row r="691">
      <x:c r="A691" t="str">
        <x:v>ORD-01369</x:v>
      </x:c>
      <x:c r="B691" s="3" t="n">
        <x:v>45584.66611070602</x:v>
      </x:c>
      <x:c r="C691" t="str">
        <x:v>2024-10</x:v>
      </x:c>
      <x:c r="D691" t="str">
        <x:v>CUS-0619</x:v>
      </x:c>
      <x:c r="E691" t="str">
        <x:v>North West</x:v>
      </x:c>
      <x:c r="F691" t="str">
        <x:v>Marketplace</x:v>
      </x:c>
      <x:c r="G691" t="str">
        <x:v>Electronics</x:v>
      </x:c>
      <x:c r="H691" t="str">
        <x:v>Smart Watch</x:v>
      </x:c>
      <x:c r="I691" t="n">
        <x:v>1</x:v>
      </x:c>
      <x:c r="J691" s="4" t="n">
        <x:v>166.87</x:v>
      </x:c>
      <x:c r="K691" s="4" t="n">
        <x:v>92</x:v>
      </x:c>
      <x:c r="L691" s="5" t="n">
        <x:v>0.15</x:v>
      </x:c>
      <x:c r="M691" s="4" t="n">
        <x:f>ROUND(I691*J691*(1-L691),2)</x:f>
        <x:v>141.84</x:v>
      </x:c>
      <x:c r="N691" s="4" t="n">
        <x:f>ROUND(I691*K691,2)</x:f>
        <x:v>92</x:v>
      </x:c>
      <x:c r="O691" s="4" t="n">
        <x:f>ROUND(M691-N691,2)</x:f>
        <x:v>49.84</x:v>
      </x:c>
      <x:c r="P691" s="6" t="n">
        <x:v>3.4</x:v>
      </x:c>
      <x:c r="Q691" t="str">
        <x:v>No</x:v>
      </x:c>
    </x:row>
    <x:row r="692">
      <x:c r="A692" t="str">
        <x:v>ORD-00113</x:v>
      </x:c>
      <x:c r="B692" s="3" t="n">
        <x:v>45585.19767577546</x:v>
      </x:c>
      <x:c r="C692" t="str">
        <x:v>2024-10</x:v>
      </x:c>
      <x:c r="D692" t="str">
        <x:v>CUS-0154</x:v>
      </x:c>
      <x:c r="E692" t="str">
        <x:v>South West</x:v>
      </x:c>
      <x:c r="F692" t="str">
        <x:v>Online</x:v>
      </x:c>
      <x:c r="G692" t="str">
        <x:v>Electronics</x:v>
      </x:c>
      <x:c r="H692" t="str">
        <x:v>Bluetooth Speaker</x:v>
      </x:c>
      <x:c r="I692" t="n">
        <x:v>3</x:v>
      </x:c>
      <x:c r="J692" s="4" t="n">
        <x:v>65.5</x:v>
      </x:c>
      <x:c r="K692" s="4" t="n">
        <x:v>34</x:v>
      </x:c>
      <x:c r="L692" s="5" t="n">
        <x:v>0.1</x:v>
      </x:c>
      <x:c r="M692" s="4" t="n">
        <x:f>ROUND(I692*J692*(1-L692),2)</x:f>
        <x:v>176.85</x:v>
      </x:c>
      <x:c r="N692" s="4" t="n">
        <x:f>ROUND(I692*K692,2)</x:f>
        <x:v>102</x:v>
      </x:c>
      <x:c r="O692" s="4" t="n">
        <x:f>ROUND(M692-N692,2)</x:f>
        <x:v>74.85</x:v>
      </x:c>
      <x:c r="P692" s="6" t="n">
        <x:v>4.5</x:v>
      </x:c>
      <x:c r="Q692" t="str">
        <x:v>No</x:v>
      </x:c>
    </x:row>
    <x:row r="693">
      <x:c r="A693" t="str">
        <x:v>ORD-00268</x:v>
      </x:c>
      <x:c r="B693" s="3" t="n">
        <x:v>45585.44230462963</x:v>
      </x:c>
      <x:c r="C693" t="str">
        <x:v>2024-10</x:v>
      </x:c>
      <x:c r="D693" t="str">
        <x:v>CUS-0227</x:v>
      </x:c>
      <x:c r="E693" t="str">
        <x:v>South East</x:v>
      </x:c>
      <x:c r="F693" t="str">
        <x:v>Marketplace</x:v>
      </x:c>
      <x:c r="G693" t="str">
        <x:v>Books</x:v>
      </x:c>
      <x:c r="H693" t="str">
        <x:v>Business Intelligence Guide</x:v>
      </x:c>
      <x:c r="I693" t="n">
        <x:v>3</x:v>
      </x:c>
      <x:c r="J693" s="4" t="n">
        <x:v>34.71</x:v>
      </x:c>
      <x:c r="K693" s="4" t="n">
        <x:v>12</x:v>
      </x:c>
      <x:c r="L693" s="5" t="n">
        <x:v>0</x:v>
      </x:c>
      <x:c r="M693" s="4" t="n">
        <x:f>ROUND(I693*J693*(1-L693),2)</x:f>
        <x:v>104.13</x:v>
      </x:c>
      <x:c r="N693" s="4" t="n">
        <x:f>ROUND(I693*K693,2)</x:f>
        <x:v>36</x:v>
      </x:c>
      <x:c r="O693" s="4" t="n">
        <x:f>ROUND(M693-N693,2)</x:f>
        <x:v>68.13</x:v>
      </x:c>
      <x:c r="P693" s="6" t="n">
        <x:v>5</x:v>
      </x:c>
      <x:c r="Q693" t="str">
        <x:v>No</x:v>
      </x:c>
    </x:row>
    <x:row r="694">
      <x:c r="A694" t="str">
        <x:v>ORD-00007</x:v>
      </x:c>
      <x:c r="B694" s="3" t="n">
        <x:v>45586.83805179398</x:v>
      </x:c>
      <x:c r="C694" t="str">
        <x:v>2024-10</x:v>
      </x:c>
      <x:c r="D694" t="str">
        <x:v>CUS-0144</x:v>
      </x:c>
      <x:c r="E694" t="str">
        <x:v>Scotland</x:v>
      </x:c>
      <x:c r="F694" t="str">
        <x:v>Store</x:v>
      </x:c>
      <x:c r="G694" t="str">
        <x:v>Sports</x:v>
      </x:c>
      <x:c r="H694" t="str">
        <x:v>Yoga Mat</x:v>
      </x:c>
      <x:c r="I694" t="n">
        <x:v>5</x:v>
      </x:c>
      <x:c r="J694" s="4" t="n">
        <x:v>29.06</x:v>
      </x:c>
      <x:c r="K694" s="4" t="n">
        <x:v>12</x:v>
      </x:c>
      <x:c r="L694" s="5" t="n">
        <x:v>0.05</x:v>
      </x:c>
      <x:c r="M694" s="4" t="n">
        <x:f>ROUND(I694*J694*(1-L694),2)</x:f>
        <x:v>138.03</x:v>
      </x:c>
      <x:c r="N694" s="4" t="n">
        <x:f>ROUND(I694*K694,2)</x:f>
        <x:v>60</x:v>
      </x:c>
      <x:c r="O694" s="4" t="n">
        <x:f>ROUND(M694-N694,2)</x:f>
        <x:v>78.03</x:v>
      </x:c>
      <x:c r="P694" s="6" t="n">
        <x:v>4.2</x:v>
      </x:c>
      <x:c r="Q694" t="str">
        <x:v>No</x:v>
      </x:c>
    </x:row>
    <x:row r="695">
      <x:c r="A695" t="str">
        <x:v>ORD-01276</x:v>
      </x:c>
      <x:c r="B695" s="3" t="n">
        <x:v>45587.69070679398</x:v>
      </x:c>
      <x:c r="C695" t="str">
        <x:v>2024-10</x:v>
      </x:c>
      <x:c r="D695" t="str">
        <x:v>CUS-0570</x:v>
      </x:c>
      <x:c r="E695" t="str">
        <x:v>Scotland</x:v>
      </x:c>
      <x:c r="F695" t="str">
        <x:v>Online</x:v>
      </x:c>
      <x:c r="G695" t="str">
        <x:v>Fashion</x:v>
      </x:c>
      <x:c r="H695" t="str">
        <x:v>Backpack</x:v>
      </x:c>
      <x:c r="I695" t="n">
        <x:v>2</x:v>
      </x:c>
      <x:c r="J695" s="4" t="n">
        <x:v>51.79</x:v>
      </x:c>
      <x:c r="K695" s="4" t="n">
        <x:v>21</x:v>
      </x:c>
      <x:c r="L695" s="5" t="n">
        <x:v>0.15</x:v>
      </x:c>
      <x:c r="M695" s="4" t="n">
        <x:f>ROUND(I695*J695*(1-L695),2)</x:f>
        <x:v>88.04</x:v>
      </x:c>
      <x:c r="N695" s="4" t="n">
        <x:f>ROUND(I695*K695,2)</x:f>
        <x:v>42</x:v>
      </x:c>
      <x:c r="O695" s="4" t="n">
        <x:f>ROUND(M695-N695,2)</x:f>
        <x:v>46.04</x:v>
      </x:c>
      <x:c r="P695" s="6" t="n">
        <x:v>4.7</x:v>
      </x:c>
      <x:c r="Q695" t="str">
        <x:v>No</x:v>
      </x:c>
    </x:row>
    <x:row r="696">
      <x:c r="A696" t="str">
        <x:v>ORD-00073</x:v>
      </x:c>
      <x:c r="B696" s="3" t="n">
        <x:v>45588.470871805555</x:v>
      </x:c>
      <x:c r="C696" t="str">
        <x:v>2024-10</x:v>
      </x:c>
      <x:c r="D696" t="str">
        <x:v>CUS-0022</x:v>
      </x:c>
      <x:c r="E696" t="str">
        <x:v>South East</x:v>
      </x:c>
      <x:c r="F696" t="str">
        <x:v>Store</x:v>
      </x:c>
      <x:c r="G696" t="str">
        <x:v>Fashion</x:v>
      </x:c>
      <x:c r="H696" t="str">
        <x:v>Winter Jacket</x:v>
      </x:c>
      <x:c r="I696" t="n">
        <x:v>5</x:v>
      </x:c>
      <x:c r="J696" s="4" t="n">
        <x:v>92.13</x:v>
      </x:c>
      <x:c r="K696" s="4" t="n">
        <x:v>46</x:v>
      </x:c>
      <x:c r="L696" s="5" t="n">
        <x:v>0.2</x:v>
      </x:c>
      <x:c r="M696" s="4" t="n">
        <x:f>ROUND(I696*J696*(1-L696),2)</x:f>
        <x:v>368.52</x:v>
      </x:c>
      <x:c r="N696" s="4" t="n">
        <x:f>ROUND(I696*K696,2)</x:f>
        <x:v>230</x:v>
      </x:c>
      <x:c r="O696" s="4" t="n">
        <x:f>ROUND(M696-N696,2)</x:f>
        <x:v>138.52</x:v>
      </x:c>
      <x:c r="P696" s="6" t="n">
        <x:v>4.9</x:v>
      </x:c>
      <x:c r="Q696" t="str">
        <x:v>No</x:v>
      </x:c>
    </x:row>
    <x:row r="697">
      <x:c r="A697" t="str">
        <x:v>ORD-00936</x:v>
      </x:c>
      <x:c r="B697" s="3" t="n">
        <x:v>45588.71880888889</x:v>
      </x:c>
      <x:c r="C697" t="str">
        <x:v>2024-10</x:v>
      </x:c>
      <x:c r="D697" t="str">
        <x:v>CUS-0532</x:v>
      </x:c>
      <x:c r="E697" t="str">
        <x:v>Midlands</x:v>
      </x:c>
      <x:c r="F697" t="str">
        <x:v>Store</x:v>
      </x:c>
      <x:c r="G697" t="str">
        <x:v>Books</x:v>
      </x:c>
      <x:c r="H697" t="str">
        <x:v>Data Analytics Handbook</x:v>
      </x:c>
      <x:c r="I697" t="n">
        <x:v>2</x:v>
      </x:c>
      <x:c r="J697" s="4" t="n">
        <x:v>40.1</x:v>
      </x:c>
      <x:c r="K697" s="4" t="n">
        <x:v>14</x:v>
      </x:c>
      <x:c r="L697" s="5" t="n">
        <x:v>0.1</x:v>
      </x:c>
      <x:c r="M697" s="4" t="n">
        <x:f>ROUND(I697*J697*(1-L697),2)</x:f>
        <x:v>72.18</x:v>
      </x:c>
      <x:c r="N697" s="4" t="n">
        <x:f>ROUND(I697*K697,2)</x:f>
        <x:v>28</x:v>
      </x:c>
      <x:c r="O697" s="4" t="n">
        <x:f>ROUND(M697-N697,2)</x:f>
        <x:v>44.18</x:v>
      </x:c>
      <x:c r="P697" s="6" t="n">
        <x:v>3.6</x:v>
      </x:c>
      <x:c r="Q697" t="str">
        <x:v>No</x:v>
      </x:c>
    </x:row>
    <x:row r="698">
      <x:c r="A698" t="str">
        <x:v>ORD-01346</x:v>
      </x:c>
      <x:c r="B698" s="3" t="n">
        <x:v>45589.33884960648</x:v>
      </x:c>
      <x:c r="C698" t="str">
        <x:v>2024-10</x:v>
      </x:c>
      <x:c r="D698" t="str">
        <x:v>CUS-0355</x:v>
      </x:c>
      <x:c r="E698" t="str">
        <x:v>South West</x:v>
      </x:c>
      <x:c r="F698" t="str">
        <x:v>Store</x:v>
      </x:c>
      <x:c r="G698" t="str">
        <x:v>Fashion</x:v>
      </x:c>
      <x:c r="H698" t="str">
        <x:v>Classic Trainers</x:v>
      </x:c>
      <x:c r="I698" t="n">
        <x:v>3</x:v>
      </x:c>
      <x:c r="J698" s="4" t="n">
        <x:v>73.28</x:v>
      </x:c>
      <x:c r="K698" s="4" t="n">
        <x:v>32</x:v>
      </x:c>
      <x:c r="L698" s="5" t="n">
        <x:v>0</x:v>
      </x:c>
      <x:c r="M698" s="4" t="n">
        <x:f>ROUND(I698*J698*(1-L698),2)</x:f>
        <x:v>219.84</x:v>
      </x:c>
      <x:c r="N698" s="4" t="n">
        <x:f>ROUND(I698*K698,2)</x:f>
        <x:v>96</x:v>
      </x:c>
      <x:c r="O698" s="4" t="n">
        <x:f>ROUND(M698-N698,2)</x:f>
        <x:v>123.84</x:v>
      </x:c>
      <x:c r="P698" s="6" t="n">
        <x:v>4.1</x:v>
      </x:c>
      <x:c r="Q698" t="str">
        <x:v>No</x:v>
      </x:c>
    </x:row>
    <x:row r="699">
      <x:c r="A699" t="str">
        <x:v>ORD-00923</x:v>
      </x:c>
      <x:c r="B699" s="3" t="n">
        <x:v>45589.650406458335</x:v>
      </x:c>
      <x:c r="C699" t="str">
        <x:v>2024-10</x:v>
      </x:c>
      <x:c r="D699" t="str">
        <x:v>CUS-0003</x:v>
      </x:c>
      <x:c r="E699" t="str">
        <x:v>Wales</x:v>
      </x:c>
      <x:c r="F699" t="str">
        <x:v>Marketplace</x:v>
      </x:c>
      <x:c r="G699" t="str">
        <x:v>Electronics</x:v>
      </x:c>
      <x:c r="H699" t="str">
        <x:v>Bluetooth Speaker</x:v>
      </x:c>
      <x:c r="I699" t="n">
        <x:v>5</x:v>
      </x:c>
      <x:c r="J699" s="4" t="n">
        <x:v>67.07</x:v>
      </x:c>
      <x:c r="K699" s="4" t="n">
        <x:v>34</x:v>
      </x:c>
      <x:c r="L699" s="5" t="n">
        <x:v>0.05</x:v>
      </x:c>
      <x:c r="M699" s="4" t="n">
        <x:f>ROUND(I699*J699*(1-L699),2)</x:f>
        <x:v>318.58</x:v>
      </x:c>
      <x:c r="N699" s="4" t="n">
        <x:f>ROUND(I699*K699,2)</x:f>
        <x:v>170</x:v>
      </x:c>
      <x:c r="O699" s="4" t="n">
        <x:f>ROUND(M699-N699,2)</x:f>
        <x:v>148.58</x:v>
      </x:c>
      <x:c r="P699" s="6" t="n">
        <x:v>4</x:v>
      </x:c>
      <x:c r="Q699" t="str">
        <x:v>No</x:v>
      </x:c>
    </x:row>
    <x:row r="700">
      <x:c r="A700" t="str">
        <x:v>ORD-01012</x:v>
      </x:c>
      <x:c r="B700" s="3" t="n">
        <x:v>45589.680610497686</x:v>
      </x:c>
      <x:c r="C700" t="str">
        <x:v>2024-10</x:v>
      </x:c>
      <x:c r="D700" t="str">
        <x:v>CUS-0540</x:v>
      </x:c>
      <x:c r="E700" t="str">
        <x:v>South West</x:v>
      </x:c>
      <x:c r="F700" t="str">
        <x:v>Store</x:v>
      </x:c>
      <x:c r="G700" t="str">
        <x:v>Electronics</x:v>
      </x:c>
      <x:c r="H700" t="str">
        <x:v>Wireless Headphones</x:v>
      </x:c>
      <x:c r="I700" t="n">
        <x:v>3</x:v>
      </x:c>
      <x:c r="J700" s="4" t="n">
        <x:v>93.14</x:v>
      </x:c>
      <x:c r="K700" s="4" t="n">
        <x:v>48</x:v>
      </x:c>
      <x:c r="L700" s="5" t="n">
        <x:v>0</x:v>
      </x:c>
      <x:c r="M700" s="4" t="n">
        <x:f>ROUND(I700*J700*(1-L700),2)</x:f>
        <x:v>279.42</x:v>
      </x:c>
      <x:c r="N700" s="4" t="n">
        <x:f>ROUND(I700*K700,2)</x:f>
        <x:v>144</x:v>
      </x:c>
      <x:c r="O700" s="4" t="n">
        <x:f>ROUND(M700-N700,2)</x:f>
        <x:v>135.42</x:v>
      </x:c>
      <x:c r="P700" s="6" t="n">
        <x:v>4.1</x:v>
      </x:c>
      <x:c r="Q700" t="str">
        <x:v>No</x:v>
      </x:c>
    </x:row>
    <x:row r="701">
      <x:c r="A701" t="str">
        <x:v>ORD-01152</x:v>
      </x:c>
      <x:c r="B701" s="3" t="n">
        <x:v>45589.98893629629</x:v>
      </x:c>
      <x:c r="C701" t="str">
        <x:v>2024-10</x:v>
      </x:c>
      <x:c r="D701" t="str">
        <x:v>CUS-0180</x:v>
      </x:c>
      <x:c r="E701" t="str">
        <x:v>Wales</x:v>
      </x:c>
      <x:c r="F701" t="str">
        <x:v>Online</x:v>
      </x:c>
      <x:c r="G701" t="str">
        <x:v>Electronics</x:v>
      </x:c>
      <x:c r="H701" t="str">
        <x:v>Wireless Headphones</x:v>
      </x:c>
      <x:c r="I701" t="n">
        <x:v>5</x:v>
      </x:c>
      <x:c r="J701" s="4" t="n">
        <x:v>85.66</x:v>
      </x:c>
      <x:c r="K701" s="4" t="n">
        <x:v>48</x:v>
      </x:c>
      <x:c r="L701" s="5" t="n">
        <x:v>0.05</x:v>
      </x:c>
      <x:c r="M701" s="4" t="n">
        <x:f>ROUND(I701*J701*(1-L701),2)</x:f>
        <x:v>406.88</x:v>
      </x:c>
      <x:c r="N701" s="4" t="n">
        <x:f>ROUND(I701*K701,2)</x:f>
        <x:v>240</x:v>
      </x:c>
      <x:c r="O701" s="4" t="n">
        <x:f>ROUND(M701-N701,2)</x:f>
        <x:v>166.88</x:v>
      </x:c>
      <x:c r="P701" s="6" t="n">
        <x:v>5</x:v>
      </x:c>
      <x:c r="Q701" t="str">
        <x:v>No</x:v>
      </x:c>
    </x:row>
    <x:row r="702">
      <x:c r="A702" t="str">
        <x:v>ORD-00691</x:v>
      </x:c>
      <x:c r="B702" s="3" t="n">
        <x:v>45589.99848398148</x:v>
      </x:c>
      <x:c r="C702" t="str">
        <x:v>2024-10</x:v>
      </x:c>
      <x:c r="D702" t="str">
        <x:v>CUS-0226</x:v>
      </x:c>
      <x:c r="E702" t="str">
        <x:v>Wales</x:v>
      </x:c>
      <x:c r="F702" t="str">
        <x:v>Marketplace</x:v>
      </x:c>
      <x:c r="G702" t="str">
        <x:v>Beauty</x:v>
      </x:c>
      <x:c r="H702" t="str">
        <x:v>Skin Care Set</x:v>
      </x:c>
      <x:c r="I702" t="n">
        <x:v>1</x:v>
      </x:c>
      <x:c r="J702" s="4" t="n">
        <x:v>44.43</x:v>
      </x:c>
      <x:c r="K702" s="4" t="n">
        <x:v>18</x:v>
      </x:c>
      <x:c r="L702" s="5" t="n">
        <x:v>0</x:v>
      </x:c>
      <x:c r="M702" s="4" t="n">
        <x:f>ROUND(I702*J702*(1-L702),2)</x:f>
        <x:v>44.43</x:v>
      </x:c>
      <x:c r="N702" s="4" t="n">
        <x:f>ROUND(I702*K702,2)</x:f>
        <x:v>18</x:v>
      </x:c>
      <x:c r="O702" s="4" t="n">
        <x:f>ROUND(M702-N702,2)</x:f>
        <x:v>26.43</x:v>
      </x:c>
      <x:c r="P702" s="6" t="n">
        <x:v>5</x:v>
      </x:c>
      <x:c r="Q702" t="str">
        <x:v>No</x:v>
      </x:c>
    </x:row>
    <x:row r="703">
      <x:c r="A703" t="str">
        <x:v>ORD-00818</x:v>
      </x:c>
      <x:c r="B703" s="3" t="n">
        <x:v>45590.45760903935</x:v>
      </x:c>
      <x:c r="C703" t="str">
        <x:v>2024-10</x:v>
      </x:c>
      <x:c r="D703" t="str">
        <x:v>CUS-0476</x:v>
      </x:c>
      <x:c r="E703" t="str">
        <x:v>Midlands</x:v>
      </x:c>
      <x:c r="F703" t="str">
        <x:v>Marketplace</x:v>
      </x:c>
      <x:c r="G703" t="str">
        <x:v>Fashion</x:v>
      </x:c>
      <x:c r="H703" t="str">
        <x:v>Classic Trainers</x:v>
      </x:c>
      <x:c r="I703" t="n">
        <x:v>2</x:v>
      </x:c>
      <x:c r="J703" s="4" t="n">
        <x:v>70.51</x:v>
      </x:c>
      <x:c r="K703" s="4" t="n">
        <x:v>32</x:v>
      </x:c>
      <x:c r="L703" s="5" t="n">
        <x:v>0</x:v>
      </x:c>
      <x:c r="M703" s="4" t="n">
        <x:f>ROUND(I703*J703*(1-L703),2)</x:f>
        <x:v>141.02</x:v>
      </x:c>
      <x:c r="N703" s="4" t="n">
        <x:f>ROUND(I703*K703,2)</x:f>
        <x:v>64</x:v>
      </x:c>
      <x:c r="O703" s="4" t="n">
        <x:f>ROUND(M703-N703,2)</x:f>
        <x:v>77.02</x:v>
      </x:c>
      <x:c r="P703" s="6" t="n">
        <x:v>3.8</x:v>
      </x:c>
      <x:c r="Q703" t="str">
        <x:v>No</x:v>
      </x:c>
    </x:row>
    <x:row r="704">
      <x:c r="A704" t="str">
        <x:v>ORD-00406</x:v>
      </x:c>
      <x:c r="B704" s="3" t="n">
        <x:v>45590.896216099536</x:v>
      </x:c>
      <x:c r="C704" t="str">
        <x:v>2024-10</x:v>
      </x:c>
      <x:c r="D704" t="str">
        <x:v>CUS-0151</x:v>
      </x:c>
      <x:c r="E704" t="str">
        <x:v>South West</x:v>
      </x:c>
      <x:c r="F704" t="str">
        <x:v>Store</x:v>
      </x:c>
      <x:c r="G704" t="str">
        <x:v>Beauty</x:v>
      </x:c>
      <x:c r="H704" t="str">
        <x:v>Skin Care Set</x:v>
      </x:c>
      <x:c r="I704" t="n">
        <x:v>1</x:v>
      </x:c>
      <x:c r="J704" s="4" t="n">
        <x:v>43.78</x:v>
      </x:c>
      <x:c r="K704" s="4" t="n">
        <x:v>18</x:v>
      </x:c>
      <x:c r="L704" s="5" t="n">
        <x:v>0.05</x:v>
      </x:c>
      <x:c r="M704" s="4" t="n">
        <x:f>ROUND(I704*J704*(1-L704),2)</x:f>
        <x:v>41.59</x:v>
      </x:c>
      <x:c r="N704" s="4" t="n">
        <x:f>ROUND(I704*K704,2)</x:f>
        <x:v>18</x:v>
      </x:c>
      <x:c r="O704" s="4" t="n">
        <x:f>ROUND(M704-N704,2)</x:f>
        <x:v>23.59</x:v>
      </x:c>
      <x:c r="P704" s="6" t="n">
        <x:v>3.5</x:v>
      </x:c>
      <x:c r="Q704" t="str">
        <x:v>No</x:v>
      </x:c>
    </x:row>
    <x:row r="705">
      <x:c r="A705" t="str">
        <x:v>ORD-00114</x:v>
      </x:c>
      <x:c r="B705" s="3" t="n">
        <x:v>45592.209660451386</x:v>
      </x:c>
      <x:c r="C705" t="str">
        <x:v>2024-10</x:v>
      </x:c>
      <x:c r="D705" t="str">
        <x:v>CUS-0031</x:v>
      </x:c>
      <x:c r="E705" t="str">
        <x:v>Midlands</x:v>
      </x:c>
      <x:c r="F705" t="str">
        <x:v>Online</x:v>
      </x:c>
      <x:c r="G705" t="str">
        <x:v>Fashion</x:v>
      </x:c>
      <x:c r="H705" t="str">
        <x:v>Backpack</x:v>
      </x:c>
      <x:c r="I705" t="n">
        <x:v>1</x:v>
      </x:c>
      <x:c r="J705" s="4" t="n">
        <x:v>50.32</x:v>
      </x:c>
      <x:c r="K705" s="4" t="n">
        <x:v>21</x:v>
      </x:c>
      <x:c r="L705" s="5" t="n">
        <x:v>0.05</x:v>
      </x:c>
      <x:c r="M705" s="4" t="n">
        <x:f>ROUND(I705*J705*(1-L705),2)</x:f>
        <x:v>47.8</x:v>
      </x:c>
      <x:c r="N705" s="4" t="n">
        <x:f>ROUND(I705*K705,2)</x:f>
        <x:v>21</x:v>
      </x:c>
      <x:c r="O705" s="4" t="n">
        <x:f>ROUND(M705-N705,2)</x:f>
        <x:v>26.8</x:v>
      </x:c>
      <x:c r="P705" s="6" t="n">
        <x:v>4.7</x:v>
      </x:c>
      <x:c r="Q705" t="str">
        <x:v>No</x:v>
      </x:c>
    </x:row>
    <x:row r="706">
      <x:c r="A706" t="str">
        <x:v>ORD-00171</x:v>
      </x:c>
      <x:c r="B706" s="3" t="n">
        <x:v>45592.952708888886</x:v>
      </x:c>
      <x:c r="C706" t="str">
        <x:v>2024-10</x:v>
      </x:c>
      <x:c r="D706" t="str">
        <x:v>CUS-0014</x:v>
      </x:c>
      <x:c r="E706" t="str">
        <x:v>Scotland</x:v>
      </x:c>
      <x:c r="F706" t="str">
        <x:v>Store</x:v>
      </x:c>
      <x:c r="G706" t="str">
        <x:v>Books</x:v>
      </x:c>
      <x:c r="H706" t="str">
        <x:v>Business Intelligence Guide</x:v>
      </x:c>
      <x:c r="I706" t="n">
        <x:v>2</x:v>
      </x:c>
      <x:c r="J706" s="4" t="n">
        <x:v>34.71</x:v>
      </x:c>
      <x:c r="K706" s="4" t="n">
        <x:v>12</x:v>
      </x:c>
      <x:c r="L706" s="5" t="n">
        <x:v>0.1</x:v>
      </x:c>
      <x:c r="M706" s="4" t="n">
        <x:f>ROUND(I706*J706*(1-L706),2)</x:f>
        <x:v>62.48</x:v>
      </x:c>
      <x:c r="N706" s="4" t="n">
        <x:f>ROUND(I706*K706,2)</x:f>
        <x:v>24</x:v>
      </x:c>
      <x:c r="O706" s="4" t="n">
        <x:f>ROUND(M706-N706,2)</x:f>
        <x:v>38.48</x:v>
      </x:c>
      <x:c r="P706" s="6" t="n">
        <x:v>4.5</x:v>
      </x:c>
      <x:c r="Q706" t="str">
        <x:v>No</x:v>
      </x:c>
    </x:row>
    <x:row r="707">
      <x:c r="A707" t="str">
        <x:v>ORD-01653</x:v>
      </x:c>
      <x:c r="B707" s="3" t="n">
        <x:v>45593.23541667824</x:v>
      </x:c>
      <x:c r="C707" t="str">
        <x:v>2024-10</x:v>
      </x:c>
      <x:c r="D707" t="str">
        <x:v>CUS-0505</x:v>
      </x:c>
      <x:c r="E707" t="str">
        <x:v>Wales</x:v>
      </x:c>
      <x:c r="F707" t="str">
        <x:v>Store</x:v>
      </x:c>
      <x:c r="G707" t="str">
        <x:v>Fashion</x:v>
      </x:c>
      <x:c r="H707" t="str">
        <x:v>Winter Jacket</x:v>
      </x:c>
      <x:c r="I707" t="n">
        <x:v>2</x:v>
      </x:c>
      <x:c r="J707" s="4" t="n">
        <x:v>93.4</x:v>
      </x:c>
      <x:c r="K707" s="4" t="n">
        <x:v>46</x:v>
      </x:c>
      <x:c r="L707" s="5" t="n">
        <x:v>0.2</x:v>
      </x:c>
      <x:c r="M707" s="4" t="n">
        <x:f>ROUND(I707*J707*(1-L707),2)</x:f>
        <x:v>149.44</x:v>
      </x:c>
      <x:c r="N707" s="4" t="n">
        <x:f>ROUND(I707*K707,2)</x:f>
        <x:v>92</x:v>
      </x:c>
      <x:c r="O707" s="4" t="n">
        <x:f>ROUND(M707-N707,2)</x:f>
        <x:v>57.44</x:v>
      </x:c>
      <x:c r="P707" s="6" t="n">
        <x:v>4.4</x:v>
      </x:c>
      <x:c r="Q707" t="str">
        <x:v>No</x:v>
      </x:c>
    </x:row>
    <x:row r="708">
      <x:c r="A708" t="str">
        <x:v>ORD-01585</x:v>
      </x:c>
      <x:c r="B708" s="3" t="n">
        <x:v>45593.61171269676</x:v>
      </x:c>
      <x:c r="C708" t="str">
        <x:v>2024-10</x:v>
      </x:c>
      <x:c r="D708" t="str">
        <x:v>CUS-0413</x:v>
      </x:c>
      <x:c r="E708" t="str">
        <x:v>North East</x:v>
      </x:c>
      <x:c r="F708" t="str">
        <x:v>Store</x:v>
      </x:c>
      <x:c r="G708" t="str">
        <x:v>Fashion</x:v>
      </x:c>
      <x:c r="H708" t="str">
        <x:v>Winter Jacket</x:v>
      </x:c>
      <x:c r="I708" t="n">
        <x:v>2</x:v>
      </x:c>
      <x:c r="J708" s="4" t="n">
        <x:v>94.94</x:v>
      </x:c>
      <x:c r="K708" s="4" t="n">
        <x:v>46</x:v>
      </x:c>
      <x:c r="L708" s="5" t="n">
        <x:v>0.1</x:v>
      </x:c>
      <x:c r="M708" s="4" t="n">
        <x:f>ROUND(I708*J708*(1-L708),2)</x:f>
        <x:v>170.89</x:v>
      </x:c>
      <x:c r="N708" s="4" t="n">
        <x:f>ROUND(I708*K708,2)</x:f>
        <x:v>92</x:v>
      </x:c>
      <x:c r="O708" s="4" t="n">
        <x:f>ROUND(M708-N708,2)</x:f>
        <x:v>78.89</x:v>
      </x:c>
      <x:c r="P708" s="6" t="n">
        <x:v>4.4</x:v>
      </x:c>
      <x:c r="Q708" t="str">
        <x:v>No</x:v>
      </x:c>
    </x:row>
    <x:row r="709">
      <x:c r="A709" t="str">
        <x:v>ORD-00506</x:v>
      </x:c>
      <x:c r="B709" s="3" t="n">
        <x:v>45593.943113472225</x:v>
      </x:c>
      <x:c r="C709" t="str">
        <x:v>2024-10</x:v>
      </x:c>
      <x:c r="D709" t="str">
        <x:v>CUS-0331</x:v>
      </x:c>
      <x:c r="E709" t="str">
        <x:v>North West</x:v>
      </x:c>
      <x:c r="F709" t="str">
        <x:v>Online</x:v>
      </x:c>
      <x:c r="G709" t="str">
        <x:v>Home</x:v>
      </x:c>
      <x:c r="H709" t="str">
        <x:v>Coffee Maker</x:v>
      </x:c>
      <x:c r="I709" t="n">
        <x:v>4</x:v>
      </x:c>
      <x:c r="J709" s="4" t="n">
        <x:v>71.83</x:v>
      </x:c>
      <x:c r="K709" s="4" t="n">
        <x:v>41</x:v>
      </x:c>
      <x:c r="L709" s="5" t="n">
        <x:v>0</x:v>
      </x:c>
      <x:c r="M709" s="4" t="n">
        <x:f>ROUND(I709*J709*(1-L709),2)</x:f>
        <x:v>287.32</x:v>
      </x:c>
      <x:c r="N709" s="4" t="n">
        <x:f>ROUND(I709*K709,2)</x:f>
        <x:v>164</x:v>
      </x:c>
      <x:c r="O709" s="4" t="n">
        <x:f>ROUND(M709-N709,2)</x:f>
        <x:v>123.32</x:v>
      </x:c>
      <x:c r="P709" s="6" t="n">
        <x:v>4.9</x:v>
      </x:c>
      <x:c r="Q709" t="str">
        <x:v>No</x:v>
      </x:c>
    </x:row>
    <x:row r="710">
      <x:c r="A710" t="str">
        <x:v>ORD-00783</x:v>
      </x:c>
      <x:c r="B710" s="3" t="n">
        <x:v>45595.1999212963</x:v>
      </x:c>
      <x:c r="C710" t="str">
        <x:v>2024-10</x:v>
      </x:c>
      <x:c r="D710" t="str">
        <x:v>CUS-0197</x:v>
      </x:c>
      <x:c r="E710" t="str">
        <x:v>Midlands</x:v>
      </x:c>
      <x:c r="F710" t="str">
        <x:v>Marketplace</x:v>
      </x:c>
      <x:c r="G710" t="str">
        <x:v>Books</x:v>
      </x:c>
      <x:c r="H710" t="str">
        <x:v>Business Intelligence Guide</x:v>
      </x:c>
      <x:c r="I710" t="n">
        <x:v>1</x:v>
      </x:c>
      <x:c r="J710" s="4" t="n">
        <x:v>35.85</x:v>
      </x:c>
      <x:c r="K710" s="4" t="n">
        <x:v>12</x:v>
      </x:c>
      <x:c r="L710" s="5" t="n">
        <x:v>0</x:v>
      </x:c>
      <x:c r="M710" s="4" t="n">
        <x:f>ROUND(I710*J710*(1-L710),2)</x:f>
        <x:v>35.85</x:v>
      </x:c>
      <x:c r="N710" s="4" t="n">
        <x:f>ROUND(I710*K710,2)</x:f>
        <x:v>12</x:v>
      </x:c>
      <x:c r="O710" s="4" t="n">
        <x:f>ROUND(M710-N710,2)</x:f>
        <x:v>23.85</x:v>
      </x:c>
      <x:c r="P710" s="6" t="n">
        <x:v>3.7</x:v>
      </x:c>
      <x:c r="Q710" t="str">
        <x:v>No</x:v>
      </x:c>
    </x:row>
    <x:row r="711">
      <x:c r="A711" t="str">
        <x:v>ORD-00064</x:v>
      </x:c>
      <x:c r="B711" s="3" t="n">
        <x:v>45595.965639166665</x:v>
      </x:c>
      <x:c r="C711" t="str">
        <x:v>2024-10</x:v>
      </x:c>
      <x:c r="D711" t="str">
        <x:v>CUS-0177</x:v>
      </x:c>
      <x:c r="E711" t="str">
        <x:v>Scotland</x:v>
      </x:c>
      <x:c r="F711" t="str">
        <x:v>Store</x:v>
      </x:c>
      <x:c r="G711" t="str">
        <x:v>Books</x:v>
      </x:c>
      <x:c r="H711" t="str">
        <x:v>Business Intelligence Guide</x:v>
      </x:c>
      <x:c r="I711" t="n">
        <x:v>5</x:v>
      </x:c>
      <x:c r="J711" s="4" t="n">
        <x:v>35.67</x:v>
      </x:c>
      <x:c r="K711" s="4" t="n">
        <x:v>12</x:v>
      </x:c>
      <x:c r="L711" s="5" t="n">
        <x:v>0</x:v>
      </x:c>
      <x:c r="M711" s="4" t="n">
        <x:f>ROUND(I711*J711*(1-L711),2)</x:f>
        <x:v>178.35</x:v>
      </x:c>
      <x:c r="N711" s="4" t="n">
        <x:f>ROUND(I711*K711,2)</x:f>
        <x:v>60</x:v>
      </x:c>
      <x:c r="O711" s="4" t="n">
        <x:f>ROUND(M711-N711,2)</x:f>
        <x:v>118.35</x:v>
      </x:c>
      <x:c r="P711" s="6" t="n">
        <x:v>4.6</x:v>
      </x:c>
      <x:c r="Q711" t="str">
        <x:v>No</x:v>
      </x:c>
    </x:row>
    <x:row r="712">
      <x:c r="A712" t="str">
        <x:v>ORD-00770</x:v>
      </x:c>
      <x:c r="B712" s="3" t="n">
        <x:v>45597.06001114583</x:v>
      </x:c>
      <x:c r="C712" t="str">
        <x:v>2024-11</x:v>
      </x:c>
      <x:c r="D712" t="str">
        <x:v>CUS-0350</x:v>
      </x:c>
      <x:c r="E712" t="str">
        <x:v>Midlands</x:v>
      </x:c>
      <x:c r="F712" t="str">
        <x:v>Online</x:v>
      </x:c>
      <x:c r="G712" t="str">
        <x:v>Home</x:v>
      </x:c>
      <x:c r="H712" t="str">
        <x:v>Air Fryer</x:v>
      </x:c>
      <x:c r="I712" t="n">
        <x:v>2</x:v>
      </x:c>
      <x:c r="J712" s="4" t="n">
        <x:v>114.49</x:v>
      </x:c>
      <x:c r="K712" s="4" t="n">
        <x:v>69</x:v>
      </x:c>
      <x:c r="L712" s="5" t="n">
        <x:v>0.1</x:v>
      </x:c>
      <x:c r="M712" s="4" t="n">
        <x:f>ROUND(I712*J712*(1-L712),2)</x:f>
        <x:v>206.08</x:v>
      </x:c>
      <x:c r="N712" s="4" t="n">
        <x:f>ROUND(I712*K712,2)</x:f>
        <x:v>138</x:v>
      </x:c>
      <x:c r="O712" s="4" t="n">
        <x:f>ROUND(M712-N712,2)</x:f>
        <x:v>68.08</x:v>
      </x:c>
      <x:c r="P712" s="6" t="n">
        <x:v>3.9</x:v>
      </x:c>
      <x:c r="Q712" t="str">
        <x:v>No</x:v>
      </x:c>
    </x:row>
    <x:row r="713">
      <x:c r="A713" t="str">
        <x:v>ORD-01025</x:v>
      </x:c>
      <x:c r="B713" s="3" t="n">
        <x:v>45597.11257936343</x:v>
      </x:c>
      <x:c r="C713" t="str">
        <x:v>2024-11</x:v>
      </x:c>
      <x:c r="D713" t="str">
        <x:v>CUS-0176</x:v>
      </x:c>
      <x:c r="E713" t="str">
        <x:v>South East</x:v>
      </x:c>
      <x:c r="F713" t="str">
        <x:v>Store</x:v>
      </x:c>
      <x:c r="G713" t="str">
        <x:v>Electronics</x:v>
      </x:c>
      <x:c r="H713" t="str">
        <x:v>Bluetooth Speaker</x:v>
      </x:c>
      <x:c r="I713" t="n">
        <x:v>4</x:v>
      </x:c>
      <x:c r="J713" s="4" t="n">
        <x:v>66.2</x:v>
      </x:c>
      <x:c r="K713" s="4" t="n">
        <x:v>34</x:v>
      </x:c>
      <x:c r="L713" s="5" t="n">
        <x:v>0</x:v>
      </x:c>
      <x:c r="M713" s="4" t="n">
        <x:f>ROUND(I713*J713*(1-L713),2)</x:f>
        <x:v>264.8</x:v>
      </x:c>
      <x:c r="N713" s="4" t="n">
        <x:f>ROUND(I713*K713,2)</x:f>
        <x:v>136</x:v>
      </x:c>
      <x:c r="O713" s="4" t="n">
        <x:f>ROUND(M713-N713,2)</x:f>
        <x:v>128.8</x:v>
      </x:c>
      <x:c r="P713" s="6" t="n">
        <x:v>3.2</x:v>
      </x:c>
      <x:c r="Q713" t="str">
        <x:v>Yes</x:v>
      </x:c>
    </x:row>
    <x:row r="714">
      <x:c r="A714" t="str">
        <x:v>ORD-01523</x:v>
      </x:c>
      <x:c r="B714" s="3" t="n">
        <x:v>45597.6499837963</x:v>
      </x:c>
      <x:c r="C714" t="str">
        <x:v>2024-11</x:v>
      </x:c>
      <x:c r="D714" t="str">
        <x:v>CUS-0149</x:v>
      </x:c>
      <x:c r="E714" t="str">
        <x:v>South West</x:v>
      </x:c>
      <x:c r="F714" t="str">
        <x:v>Online</x:v>
      </x:c>
      <x:c r="G714" t="str">
        <x:v>Sports</x:v>
      </x:c>
      <x:c r="H714" t="str">
        <x:v>Fitness Tracker</x:v>
      </x:c>
      <x:c r="I714" t="n">
        <x:v>3</x:v>
      </x:c>
      <x:c r="J714" s="4" t="n">
        <x:v>52.61</x:v>
      </x:c>
      <x:c r="K714" s="4" t="n">
        <x:v>27</x:v>
      </x:c>
      <x:c r="L714" s="5" t="n">
        <x:v>0</x:v>
      </x:c>
      <x:c r="M714" s="4" t="n">
        <x:f>ROUND(I714*J714*(1-L714),2)</x:f>
        <x:v>157.83</x:v>
      </x:c>
      <x:c r="N714" s="4" t="n">
        <x:f>ROUND(I714*K714,2)</x:f>
        <x:v>81</x:v>
      </x:c>
      <x:c r="O714" s="4" t="n">
        <x:f>ROUND(M714-N714,2)</x:f>
        <x:v>76.83</x:v>
      </x:c>
      <x:c r="P714" s="6" t="n">
        <x:v>4.6</x:v>
      </x:c>
      <x:c r="Q714" t="str">
        <x:v>No</x:v>
      </x:c>
    </x:row>
    <x:row r="715">
      <x:c r="A715" t="str">
        <x:v>ORD-01159</x:v>
      </x:c>
      <x:c r="B715" s="3" t="n">
        <x:v>45597.95821440972</x:v>
      </x:c>
      <x:c r="C715" t="str">
        <x:v>2024-11</x:v>
      </x:c>
      <x:c r="D715" t="str">
        <x:v>CUS-0173</x:v>
      </x:c>
      <x:c r="E715" t="str">
        <x:v>South West</x:v>
      </x:c>
      <x:c r="F715" t="str">
        <x:v>Online</x:v>
      </x:c>
      <x:c r="G715" t="str">
        <x:v>Home</x:v>
      </x:c>
      <x:c r="H715" t="str">
        <x:v>Desk Lamp</x:v>
      </x:c>
      <x:c r="I715" t="n">
        <x:v>5</x:v>
      </x:c>
      <x:c r="J715" s="4" t="n">
        <x:v>35.01</x:v>
      </x:c>
      <x:c r="K715" s="4" t="n">
        <x:v>17</x:v>
      </x:c>
      <x:c r="L715" s="5" t="n">
        <x:v>0.15</x:v>
      </x:c>
      <x:c r="M715" s="4" t="n">
        <x:f>ROUND(I715*J715*(1-L715),2)</x:f>
        <x:v>148.79</x:v>
      </x:c>
      <x:c r="N715" s="4" t="n">
        <x:f>ROUND(I715*K715,2)</x:f>
        <x:v>85</x:v>
      </x:c>
      <x:c r="O715" s="4" t="n">
        <x:f>ROUND(M715-N715,2)</x:f>
        <x:v>63.79</x:v>
      </x:c>
      <x:c r="P715" s="6" t="n">
        <x:v>5</x:v>
      </x:c>
      <x:c r="Q715" t="str">
        <x:v>No</x:v>
      </x:c>
    </x:row>
    <x:row r="716">
      <x:c r="A716" t="str">
        <x:v>ORD-00371</x:v>
      </x:c>
      <x:c r="B716" s="3" t="n">
        <x:v>45598.43871476852</x:v>
      </x:c>
      <x:c r="C716" t="str">
        <x:v>2024-11</x:v>
      </x:c>
      <x:c r="D716" t="str">
        <x:v>CUS-0472</x:v>
      </x:c>
      <x:c r="E716" t="str">
        <x:v>London</x:v>
      </x:c>
      <x:c r="F716" t="str">
        <x:v>Marketplace</x:v>
      </x:c>
      <x:c r="G716" t="str">
        <x:v>Books</x:v>
      </x:c>
      <x:c r="H716" t="str">
        <x:v>Business Intelligence Guide</x:v>
      </x:c>
      <x:c r="I716" t="n">
        <x:v>2</x:v>
      </x:c>
      <x:c r="J716" s="4" t="n">
        <x:v>36.59</x:v>
      </x:c>
      <x:c r="K716" s="4" t="n">
        <x:v>12</x:v>
      </x:c>
      <x:c r="L716" s="5" t="n">
        <x:v>0</x:v>
      </x:c>
      <x:c r="M716" s="4" t="n">
        <x:f>ROUND(I716*J716*(1-L716),2)</x:f>
        <x:v>73.18</x:v>
      </x:c>
      <x:c r="N716" s="4" t="n">
        <x:f>ROUND(I716*K716,2)</x:f>
        <x:v>24</x:v>
      </x:c>
      <x:c r="O716" s="4" t="n">
        <x:f>ROUND(M716-N716,2)</x:f>
        <x:v>49.18</x:v>
      </x:c>
      <x:c r="P716" s="6" t="n">
        <x:v>3.9</x:v>
      </x:c>
      <x:c r="Q716" t="str">
        <x:v>No</x:v>
      </x:c>
    </x:row>
    <x:row r="717">
      <x:c r="A717" t="str">
        <x:v>ORD-00665</x:v>
      </x:c>
      <x:c r="B717" s="3" t="n">
        <x:v>45599.04464555556</x:v>
      </x:c>
      <x:c r="C717" t="str">
        <x:v>2024-11</x:v>
      </x:c>
      <x:c r="D717" t="str">
        <x:v>CUS-0314</x:v>
      </x:c>
      <x:c r="E717" t="str">
        <x:v>London</x:v>
      </x:c>
      <x:c r="F717" t="str">
        <x:v>Store</x:v>
      </x:c>
      <x:c r="G717" t="str">
        <x:v>Fashion</x:v>
      </x:c>
      <x:c r="H717" t="str">
        <x:v>Winter Jacket</x:v>
      </x:c>
      <x:c r="I717" t="n">
        <x:v>4</x:v>
      </x:c>
      <x:c r="J717" s="4" t="n">
        <x:v>94.52</x:v>
      </x:c>
      <x:c r="K717" s="4" t="n">
        <x:v>46</x:v>
      </x:c>
      <x:c r="L717" s="5" t="n">
        <x:v>0.15</x:v>
      </x:c>
      <x:c r="M717" s="4" t="n">
        <x:f>ROUND(I717*J717*(1-L717),2)</x:f>
        <x:v>321.37</x:v>
      </x:c>
      <x:c r="N717" s="4" t="n">
        <x:f>ROUND(I717*K717,2)</x:f>
        <x:v>184</x:v>
      </x:c>
      <x:c r="O717" s="4" t="n">
        <x:f>ROUND(M717-N717,2)</x:f>
        <x:v>137.37</x:v>
      </x:c>
      <x:c r="P717" s="6" t="n">
        <x:v>3.7</x:v>
      </x:c>
      <x:c r="Q717" t="str">
        <x:v>No</x:v>
      </x:c>
    </x:row>
    <x:row r="718">
      <x:c r="A718" t="str">
        <x:v>ORD-01282</x:v>
      </x:c>
      <x:c r="B718" s="3" t="n">
        <x:v>45599.71681666667</x:v>
      </x:c>
      <x:c r="C718" t="str">
        <x:v>2024-11</x:v>
      </x:c>
      <x:c r="D718" t="str">
        <x:v>CUS-0365</x:v>
      </x:c>
      <x:c r="E718" t="str">
        <x:v>North West</x:v>
      </x:c>
      <x:c r="F718" t="str">
        <x:v>Store</x:v>
      </x:c>
      <x:c r="G718" t="str">
        <x:v>Home</x:v>
      </x:c>
      <x:c r="H718" t="str">
        <x:v>Air Fryer</x:v>
      </x:c>
      <x:c r="I718" t="n">
        <x:v>3</x:v>
      </x:c>
      <x:c r="J718" s="4" t="n">
        <x:v>116.19</x:v>
      </x:c>
      <x:c r="K718" s="4" t="n">
        <x:v>69</x:v>
      </x:c>
      <x:c r="L718" s="5" t="n">
        <x:v>0</x:v>
      </x:c>
      <x:c r="M718" s="4" t="n">
        <x:f>ROUND(I718*J718*(1-L718),2)</x:f>
        <x:v>348.57</x:v>
      </x:c>
      <x:c r="N718" s="4" t="n">
        <x:f>ROUND(I718*K718,2)</x:f>
        <x:v>207</x:v>
      </x:c>
      <x:c r="O718" s="4" t="n">
        <x:f>ROUND(M718-N718,2)</x:f>
        <x:v>141.57</x:v>
      </x:c>
      <x:c r="P718" s="6" t="n">
        <x:v>3.9</x:v>
      </x:c>
      <x:c r="Q718" t="str">
        <x:v>No</x:v>
      </x:c>
    </x:row>
    <x:row r="719">
      <x:c r="A719" t="str">
        <x:v>ORD-01356</x:v>
      </x:c>
      <x:c r="B719" s="3" t="n">
        <x:v>45599.82684405093</x:v>
      </x:c>
      <x:c r="C719" t="str">
        <x:v>2024-11</x:v>
      </x:c>
      <x:c r="D719" t="str">
        <x:v>CUS-0341</x:v>
      </x:c>
      <x:c r="E719" t="str">
        <x:v>Wales</x:v>
      </x:c>
      <x:c r="F719" t="str">
        <x:v>Online</x:v>
      </x:c>
      <x:c r="G719" t="str">
        <x:v>Electronics</x:v>
      </x:c>
      <x:c r="H719" t="str">
        <x:v>Bluetooth Speaker</x:v>
      </x:c>
      <x:c r="I719" t="n">
        <x:v>3</x:v>
      </x:c>
      <x:c r="J719" s="4" t="n">
        <x:v>65.99</x:v>
      </x:c>
      <x:c r="K719" s="4" t="n">
        <x:v>34</x:v>
      </x:c>
      <x:c r="L719" s="5" t="n">
        <x:v>0.1</x:v>
      </x:c>
      <x:c r="M719" s="4" t="n">
        <x:f>ROUND(I719*J719*(1-L719),2)</x:f>
        <x:v>178.17</x:v>
      </x:c>
      <x:c r="N719" s="4" t="n">
        <x:f>ROUND(I719*K719,2)</x:f>
        <x:v>102</x:v>
      </x:c>
      <x:c r="O719" s="4" t="n">
        <x:f>ROUND(M719-N719,2)</x:f>
        <x:v>76.17</x:v>
      </x:c>
      <x:c r="P719" s="6" t="n">
        <x:v>5</x:v>
      </x:c>
      <x:c r="Q719" t="str">
        <x:v>No</x:v>
      </x:c>
    </x:row>
    <x:row r="720">
      <x:c r="A720" t="str">
        <x:v>ORD-00399</x:v>
      </x:c>
      <x:c r="B720" s="3" t="n">
        <x:v>45600.19176559028</x:v>
      </x:c>
      <x:c r="C720" t="str">
        <x:v>2024-11</x:v>
      </x:c>
      <x:c r="D720" t="str">
        <x:v>CUS-0335</x:v>
      </x:c>
      <x:c r="E720" t="str">
        <x:v>London</x:v>
      </x:c>
      <x:c r="F720" t="str">
        <x:v>Marketplace</x:v>
      </x:c>
      <x:c r="G720" t="str">
        <x:v>Home</x:v>
      </x:c>
      <x:c r="H720" t="str">
        <x:v>Coffee Maker</x:v>
      </x:c>
      <x:c r="I720" t="n">
        <x:v>3</x:v>
      </x:c>
      <x:c r="J720" s="4" t="n">
        <x:v>75.78</x:v>
      </x:c>
      <x:c r="K720" s="4" t="n">
        <x:v>41</x:v>
      </x:c>
      <x:c r="L720" s="5" t="n">
        <x:v>0</x:v>
      </x:c>
      <x:c r="M720" s="4" t="n">
        <x:f>ROUND(I720*J720*(1-L720),2)</x:f>
        <x:v>227.34</x:v>
      </x:c>
      <x:c r="N720" s="4" t="n">
        <x:f>ROUND(I720*K720,2)</x:f>
        <x:v>123</x:v>
      </x:c>
      <x:c r="O720" s="4" t="n">
        <x:f>ROUND(M720-N720,2)</x:f>
        <x:v>104.34</x:v>
      </x:c>
      <x:c r="P720" s="6" t="n">
        <x:v>4.5</x:v>
      </x:c>
      <x:c r="Q720" t="str">
        <x:v>No</x:v>
      </x:c>
    </x:row>
    <x:row r="721">
      <x:c r="A721" t="str">
        <x:v>ORD-00308</x:v>
      </x:c>
      <x:c r="B721" s="3" t="n">
        <x:v>45600.39983739583</x:v>
      </x:c>
      <x:c r="C721" t="str">
        <x:v>2024-11</x:v>
      </x:c>
      <x:c r="D721" t="str">
        <x:v>CUS-0303</x:v>
      </x:c>
      <x:c r="E721" t="str">
        <x:v>Midlands</x:v>
      </x:c>
      <x:c r="F721" t="str">
        <x:v>Marketplace</x:v>
      </x:c>
      <x:c r="G721" t="str">
        <x:v>Fashion</x:v>
      </x:c>
      <x:c r="H721" t="str">
        <x:v>Backpack</x:v>
      </x:c>
      <x:c r="I721" t="n">
        <x:v>3</x:v>
      </x:c>
      <x:c r="J721" s="4" t="n">
        <x:v>51.58</x:v>
      </x:c>
      <x:c r="K721" s="4" t="n">
        <x:v>21</x:v>
      </x:c>
      <x:c r="L721" s="5" t="n">
        <x:v>0</x:v>
      </x:c>
      <x:c r="M721" s="4" t="n">
        <x:f>ROUND(I721*J721*(1-L721),2)</x:f>
        <x:v>154.74</x:v>
      </x:c>
      <x:c r="N721" s="4" t="n">
        <x:f>ROUND(I721*K721,2)</x:f>
        <x:v>63</x:v>
      </x:c>
      <x:c r="O721" s="4" t="n">
        <x:f>ROUND(M721-N721,2)</x:f>
        <x:v>91.74</x:v>
      </x:c>
      <x:c r="P721" s="6" t="n">
        <x:v>4.5</x:v>
      </x:c>
      <x:c r="Q721" t="str">
        <x:v>No</x:v>
      </x:c>
    </x:row>
    <x:row r="722">
      <x:c r="A722" t="str">
        <x:v>ORD-00102</x:v>
      </x:c>
      <x:c r="B722" s="3" t="n">
        <x:v>45601.62149651621</x:v>
      </x:c>
      <x:c r="C722" t="str">
        <x:v>2024-11</x:v>
      </x:c>
      <x:c r="D722" t="str">
        <x:v>CUS-0419</x:v>
      </x:c>
      <x:c r="E722" t="str">
        <x:v>North West</x:v>
      </x:c>
      <x:c r="F722" t="str">
        <x:v>Online</x:v>
      </x:c>
      <x:c r="G722" t="str">
        <x:v>Home</x:v>
      </x:c>
      <x:c r="H722" t="str">
        <x:v>Air Fryer</x:v>
      </x:c>
      <x:c r="I722" t="n">
        <x:v>3</x:v>
      </x:c>
      <x:c r="J722" s="4" t="n">
        <x:v>120.89</x:v>
      </x:c>
      <x:c r="K722" s="4" t="n">
        <x:v>69</x:v>
      </x:c>
      <x:c r="L722" s="5" t="n">
        <x:v>0.2</x:v>
      </x:c>
      <x:c r="M722" s="4" t="n">
        <x:f>ROUND(I722*J722*(1-L722),2)</x:f>
        <x:v>290.14</x:v>
      </x:c>
      <x:c r="N722" s="4" t="n">
        <x:f>ROUND(I722*K722,2)</x:f>
        <x:v>207</x:v>
      </x:c>
      <x:c r="O722" s="4" t="n">
        <x:f>ROUND(M722-N722,2)</x:f>
        <x:v>83.14</x:v>
      </x:c>
      <x:c r="P722" s="6" t="n">
        <x:v>3.6</x:v>
      </x:c>
      <x:c r="Q722" t="str">
        <x:v>No</x:v>
      </x:c>
    </x:row>
    <x:row r="723">
      <x:c r="A723" t="str">
        <x:v>ORD-00828</x:v>
      </x:c>
      <x:c r="B723" s="3" t="n">
        <x:v>45602.70407283565</x:v>
      </x:c>
      <x:c r="C723" t="str">
        <x:v>2024-11</x:v>
      </x:c>
      <x:c r="D723" t="str">
        <x:v>CUS-0610</x:v>
      </x:c>
      <x:c r="E723" t="str">
        <x:v>London</x:v>
      </x:c>
      <x:c r="F723" t="str">
        <x:v>Marketplace</x:v>
      </x:c>
      <x:c r="G723" t="str">
        <x:v>Fashion</x:v>
      </x:c>
      <x:c r="H723" t="str">
        <x:v>Classic Trainers</x:v>
      </x:c>
      <x:c r="I723" t="n">
        <x:v>1</x:v>
      </x:c>
      <x:c r="J723" s="4" t="n">
        <x:v>73.4</x:v>
      </x:c>
      <x:c r="K723" s="4" t="n">
        <x:v>32</x:v>
      </x:c>
      <x:c r="L723" s="5" t="n">
        <x:v>0.1</x:v>
      </x:c>
      <x:c r="M723" s="4" t="n">
        <x:f>ROUND(I723*J723*(1-L723),2)</x:f>
        <x:v>66.06</x:v>
      </x:c>
      <x:c r="N723" s="4" t="n">
        <x:f>ROUND(I723*K723,2)</x:f>
        <x:v>32</x:v>
      </x:c>
      <x:c r="O723" s="4" t="n">
        <x:f>ROUND(M723-N723,2)</x:f>
        <x:v>34.06</x:v>
      </x:c>
      <x:c r="P723" s="6" t="n">
        <x:v>3.3</x:v>
      </x:c>
      <x:c r="Q723" t="str">
        <x:v>No</x:v>
      </x:c>
    </x:row>
    <x:row r="724">
      <x:c r="A724" t="str">
        <x:v>ORD-01521</x:v>
      </x:c>
      <x:c r="B724" s="3" t="n">
        <x:v>45602.98178190972</x:v>
      </x:c>
      <x:c r="C724" t="str">
        <x:v>2024-11</x:v>
      </x:c>
      <x:c r="D724" t="str">
        <x:v>CUS-0606</x:v>
      </x:c>
      <x:c r="E724" t="str">
        <x:v>North East</x:v>
      </x:c>
      <x:c r="F724" t="str">
        <x:v>Store</x:v>
      </x:c>
      <x:c r="G724" t="str">
        <x:v>Books</x:v>
      </x:c>
      <x:c r="H724" t="str">
        <x:v>Business Intelligence Guide</x:v>
      </x:c>
      <x:c r="I724" t="n">
        <x:v>3</x:v>
      </x:c>
      <x:c r="J724" s="4" t="n">
        <x:v>34.11</x:v>
      </x:c>
      <x:c r="K724" s="4" t="n">
        <x:v>12</x:v>
      </x:c>
      <x:c r="L724" s="5" t="n">
        <x:v>0.1</x:v>
      </x:c>
      <x:c r="M724" s="4" t="n">
        <x:f>ROUND(I724*J724*(1-L724),2)</x:f>
        <x:v>92.1</x:v>
      </x:c>
      <x:c r="N724" s="4" t="n">
        <x:f>ROUND(I724*K724,2)</x:f>
        <x:v>36</x:v>
      </x:c>
      <x:c r="O724" s="4" t="n">
        <x:f>ROUND(M724-N724,2)</x:f>
        <x:v>56.1</x:v>
      </x:c>
      <x:c r="P724" s="6" t="n">
        <x:v>3.7</x:v>
      </x:c>
      <x:c r="Q724" t="str">
        <x:v>No</x:v>
      </x:c>
    </x:row>
    <x:row r="725">
      <x:c r="A725" t="str">
        <x:v>ORD-00126</x:v>
      </x:c>
      <x:c r="B725" s="3" t="n">
        <x:v>45603.08165991898</x:v>
      </x:c>
      <x:c r="C725" t="str">
        <x:v>2024-11</x:v>
      </x:c>
      <x:c r="D725" t="str">
        <x:v>CUS-0616</x:v>
      </x:c>
      <x:c r="E725" t="str">
        <x:v>Wales</x:v>
      </x:c>
      <x:c r="F725" t="str">
        <x:v>Marketplace</x:v>
      </x:c>
      <x:c r="G725" t="str">
        <x:v>Fashion</x:v>
      </x:c>
      <x:c r="H725" t="str">
        <x:v>Classic Trainers</x:v>
      </x:c>
      <x:c r="I725" t="n">
        <x:v>1</x:v>
      </x:c>
      <x:c r="J725" s="4" t="n">
        <x:v>68.77</x:v>
      </x:c>
      <x:c r="K725" s="4" t="n">
        <x:v>32</x:v>
      </x:c>
      <x:c r="L725" s="5" t="n">
        <x:v>0.05</x:v>
      </x:c>
      <x:c r="M725" s="4" t="n">
        <x:f>ROUND(I725*J725*(1-L725),2)</x:f>
        <x:v>65.33</x:v>
      </x:c>
      <x:c r="N725" s="4" t="n">
        <x:f>ROUND(I725*K725,2)</x:f>
        <x:v>32</x:v>
      </x:c>
      <x:c r="O725" s="4" t="n">
        <x:f>ROUND(M725-N725,2)</x:f>
        <x:v>33.33</x:v>
      </x:c>
      <x:c r="P725" s="6" t="n">
        <x:v>4.2</x:v>
      </x:c>
      <x:c r="Q725" t="str">
        <x:v>Yes</x:v>
      </x:c>
    </x:row>
    <x:row r="726">
      <x:c r="A726" t="str">
        <x:v>ORD-00695</x:v>
      </x:c>
      <x:c r="B726" s="3" t="n">
        <x:v>45603.661660300924</x:v>
      </x:c>
      <x:c r="C726" t="str">
        <x:v>2024-11</x:v>
      </x:c>
      <x:c r="D726" t="str">
        <x:v>CUS-0537</x:v>
      </x:c>
      <x:c r="E726" t="str">
        <x:v>South West</x:v>
      </x:c>
      <x:c r="F726" t="str">
        <x:v>Marketplace</x:v>
      </x:c>
      <x:c r="G726" t="str">
        <x:v>Home</x:v>
      </x:c>
      <x:c r="H726" t="str">
        <x:v>Coffee Maker</x:v>
      </x:c>
      <x:c r="I726" t="n">
        <x:v>3</x:v>
      </x:c>
      <x:c r="J726" s="4" t="n">
        <x:v>75.19</x:v>
      </x:c>
      <x:c r="K726" s="4" t="n">
        <x:v>41</x:v>
      </x:c>
      <x:c r="L726" s="5" t="n">
        <x:v>0.15</x:v>
      </x:c>
      <x:c r="M726" s="4" t="n">
        <x:f>ROUND(I726*J726*(1-L726),2)</x:f>
        <x:v>191.73</x:v>
      </x:c>
      <x:c r="N726" s="4" t="n">
        <x:f>ROUND(I726*K726,2)</x:f>
        <x:v>123</x:v>
      </x:c>
      <x:c r="O726" s="4" t="n">
        <x:f>ROUND(M726-N726,2)</x:f>
        <x:v>68.73</x:v>
      </x:c>
      <x:c r="P726" s="6" t="n">
        <x:v>5</x:v>
      </x:c>
      <x:c r="Q726" t="str">
        <x:v>No</x:v>
      </x:c>
    </x:row>
    <x:row r="727">
      <x:c r="A727" t="str">
        <x:v>ORD-00844</x:v>
      </x:c>
      <x:c r="B727" s="3" t="n">
        <x:v>45603.71693642361</x:v>
      </x:c>
      <x:c r="C727" t="str">
        <x:v>2024-11</x:v>
      </x:c>
      <x:c r="D727" t="str">
        <x:v>CUS-0537</x:v>
      </x:c>
      <x:c r="E727" t="str">
        <x:v>North West</x:v>
      </x:c>
      <x:c r="F727" t="str">
        <x:v>Online</x:v>
      </x:c>
      <x:c r="G727" t="str">
        <x:v>Home</x:v>
      </x:c>
      <x:c r="H727" t="str">
        <x:v>Coffee Maker</x:v>
      </x:c>
      <x:c r="I727" t="n">
        <x:v>5</x:v>
      </x:c>
      <x:c r="J727" s="4" t="n">
        <x:v>78.1</x:v>
      </x:c>
      <x:c r="K727" s="4" t="n">
        <x:v>41</x:v>
      </x:c>
      <x:c r="L727" s="5" t="n">
        <x:v>0</x:v>
      </x:c>
      <x:c r="M727" s="4" t="n">
        <x:f>ROUND(I727*J727*(1-L727),2)</x:f>
        <x:v>390.5</x:v>
      </x:c>
      <x:c r="N727" s="4" t="n">
        <x:f>ROUND(I727*K727,2)</x:f>
        <x:v>205</x:v>
      </x:c>
      <x:c r="O727" s="4" t="n">
        <x:f>ROUND(M727-N727,2)</x:f>
        <x:v>185.5</x:v>
      </x:c>
      <x:c r="P727" s="6" t="n">
        <x:v>4.7</x:v>
      </x:c>
      <x:c r="Q727" t="str">
        <x:v>Yes</x:v>
      </x:c>
    </x:row>
    <x:row r="728">
      <x:c r="A728" t="str">
        <x:v>ORD-00529</x:v>
      </x:c>
      <x:c r="B728" s="3" t="n">
        <x:v>45604.15129194444</x:v>
      </x:c>
      <x:c r="C728" t="str">
        <x:v>2024-11</x:v>
      </x:c>
      <x:c r="D728" t="str">
        <x:v>CUS-0237</x:v>
      </x:c>
      <x:c r="E728" t="str">
        <x:v>Wales</x:v>
      </x:c>
      <x:c r="F728" t="str">
        <x:v>Marketplace</x:v>
      </x:c>
      <x:c r="G728" t="str">
        <x:v>Fashion</x:v>
      </x:c>
      <x:c r="H728" t="str">
        <x:v>Backpack</x:v>
      </x:c>
      <x:c r="I728" t="n">
        <x:v>5</x:v>
      </x:c>
      <x:c r="J728" s="4" t="n">
        <x:v>50.71</x:v>
      </x:c>
      <x:c r="K728" s="4" t="n">
        <x:v>21</x:v>
      </x:c>
      <x:c r="L728" s="5" t="n">
        <x:v>0</x:v>
      </x:c>
      <x:c r="M728" s="4" t="n">
        <x:f>ROUND(I728*J728*(1-L728),2)</x:f>
        <x:v>253.55</x:v>
      </x:c>
      <x:c r="N728" s="4" t="n">
        <x:f>ROUND(I728*K728,2)</x:f>
        <x:v>105</x:v>
      </x:c>
      <x:c r="O728" s="4" t="n">
        <x:f>ROUND(M728-N728,2)</x:f>
        <x:v>148.55</x:v>
      </x:c>
      <x:c r="P728" s="6" t="n">
        <x:v>4.4</x:v>
      </x:c>
      <x:c r="Q728" t="str">
        <x:v>No</x:v>
      </x:c>
    </x:row>
    <x:row r="729">
      <x:c r="A729" t="str">
        <x:v>ORD-01043</x:v>
      </x:c>
      <x:c r="B729" s="3" t="n">
        <x:v>45604.789604722224</x:v>
      </x:c>
      <x:c r="C729" t="str">
        <x:v>2024-11</x:v>
      </x:c>
      <x:c r="D729" t="str">
        <x:v>CUS-0187</x:v>
      </x:c>
      <x:c r="E729" t="str">
        <x:v>Midlands</x:v>
      </x:c>
      <x:c r="F729" t="str">
        <x:v>Marketplace</x:v>
      </x:c>
      <x:c r="G729" t="str">
        <x:v>Electronics</x:v>
      </x:c>
      <x:c r="H729" t="str">
        <x:v>Smart Watch</x:v>
      </x:c>
      <x:c r="I729" t="n">
        <x:v>1</x:v>
      </x:c>
      <x:c r="J729" s="4" t="n">
        <x:v>159.92</x:v>
      </x:c>
      <x:c r="K729" s="4" t="n">
        <x:v>92</x:v>
      </x:c>
      <x:c r="L729" s="5" t="n">
        <x:v>0.05</x:v>
      </x:c>
      <x:c r="M729" s="4" t="n">
        <x:f>ROUND(I729*J729*(1-L729),2)</x:f>
        <x:v>151.92</x:v>
      </x:c>
      <x:c r="N729" s="4" t="n">
        <x:f>ROUND(I729*K729,2)</x:f>
        <x:v>92</x:v>
      </x:c>
      <x:c r="O729" s="4" t="n">
        <x:f>ROUND(M729-N729,2)</x:f>
        <x:v>59.92</x:v>
      </x:c>
      <x:c r="P729" s="6" t="n">
        <x:v>4.5</x:v>
      </x:c>
      <x:c r="Q729" t="str">
        <x:v>No</x:v>
      </x:c>
    </x:row>
    <x:row r="730">
      <x:c r="A730" t="str">
        <x:v>ORD-00138</x:v>
      </x:c>
      <x:c r="B730" s="3" t="n">
        <x:v>45605.52554652778</x:v>
      </x:c>
      <x:c r="C730" t="str">
        <x:v>2024-11</x:v>
      </x:c>
      <x:c r="D730" t="str">
        <x:v>CUS-0468</x:v>
      </x:c>
      <x:c r="E730" t="str">
        <x:v>Wales</x:v>
      </x:c>
      <x:c r="F730" t="str">
        <x:v>Marketplace</x:v>
      </x:c>
      <x:c r="G730" t="str">
        <x:v>Electronics</x:v>
      </x:c>
      <x:c r="H730" t="str">
        <x:v>Bluetooth Speaker</x:v>
      </x:c>
      <x:c r="I730" t="n">
        <x:v>4</x:v>
      </x:c>
      <x:c r="J730" s="4" t="n">
        <x:v>65.77</x:v>
      </x:c>
      <x:c r="K730" s="4" t="n">
        <x:v>34</x:v>
      </x:c>
      <x:c r="L730" s="5" t="n">
        <x:v>0.1</x:v>
      </x:c>
      <x:c r="M730" s="4" t="n">
        <x:f>ROUND(I730*J730*(1-L730),2)</x:f>
        <x:v>236.77</x:v>
      </x:c>
      <x:c r="N730" s="4" t="n">
        <x:f>ROUND(I730*K730,2)</x:f>
        <x:v>136</x:v>
      </x:c>
      <x:c r="O730" s="4" t="n">
        <x:f>ROUND(M730-N730,2)</x:f>
        <x:v>100.77</x:v>
      </x:c>
      <x:c r="P730" s="6" t="n">
        <x:v>3.6</x:v>
      </x:c>
      <x:c r="Q730" t="str">
        <x:v>No</x:v>
      </x:c>
    </x:row>
    <x:row r="731">
      <x:c r="A731" t="str">
        <x:v>ORD-00434</x:v>
      </x:c>
      <x:c r="B731" s="3" t="n">
        <x:v>45606.504479386575</x:v>
      </x:c>
      <x:c r="C731" t="str">
        <x:v>2024-11</x:v>
      </x:c>
      <x:c r="D731" t="str">
        <x:v>CUS-0529</x:v>
      </x:c>
      <x:c r="E731" t="str">
        <x:v>North West</x:v>
      </x:c>
      <x:c r="F731" t="str">
        <x:v>Online</x:v>
      </x:c>
      <x:c r="G731" t="str">
        <x:v>Home</x:v>
      </x:c>
      <x:c r="H731" t="str">
        <x:v>Air Fryer</x:v>
      </x:c>
      <x:c r="I731" t="n">
        <x:v>1</x:v>
      </x:c>
      <x:c r="J731" s="4" t="n">
        <x:v>124.76</x:v>
      </x:c>
      <x:c r="K731" s="4" t="n">
        <x:v>69</x:v>
      </x:c>
      <x:c r="L731" s="5" t="n">
        <x:v>0.05</x:v>
      </x:c>
      <x:c r="M731" s="4" t="n">
        <x:f>ROUND(I731*J731*(1-L731),2)</x:f>
        <x:v>118.52</x:v>
      </x:c>
      <x:c r="N731" s="4" t="n">
        <x:f>ROUND(I731*K731,2)</x:f>
        <x:v>69</x:v>
      </x:c>
      <x:c r="O731" s="4" t="n">
        <x:f>ROUND(M731-N731,2)</x:f>
        <x:v>49.52</x:v>
      </x:c>
      <x:c r="P731" s="6" t="n">
        <x:v>5</x:v>
      </x:c>
      <x:c r="Q731" t="str">
        <x:v>No</x:v>
      </x:c>
    </x:row>
    <x:row r="732">
      <x:c r="A732" t="str">
        <x:v>ORD-01498</x:v>
      </x:c>
      <x:c r="B732" s="3" t="n">
        <x:v>45606.57532953704</x:v>
      </x:c>
      <x:c r="C732" t="str">
        <x:v>2024-11</x:v>
      </x:c>
      <x:c r="D732" t="str">
        <x:v>CUS-0482</x:v>
      </x:c>
      <x:c r="E732" t="str">
        <x:v>South East</x:v>
      </x:c>
      <x:c r="F732" t="str">
        <x:v>Online</x:v>
      </x:c>
      <x:c r="G732" t="str">
        <x:v>Beauty</x:v>
      </x:c>
      <x:c r="H732" t="str">
        <x:v>Hair Dryer</x:v>
      </x:c>
      <x:c r="I732" t="n">
        <x:v>5</x:v>
      </x:c>
      <x:c r="J732" s="4" t="n">
        <x:v>57.56</x:v>
      </x:c>
      <x:c r="K732" s="4" t="n">
        <x:v>29</x:v>
      </x:c>
      <x:c r="L732" s="5" t="n">
        <x:v>0.15</x:v>
      </x:c>
      <x:c r="M732" s="4" t="n">
        <x:f>ROUND(I732*J732*(1-L732),2)</x:f>
        <x:v>244.63</x:v>
      </x:c>
      <x:c r="N732" s="4" t="n">
        <x:f>ROUND(I732*K732,2)</x:f>
        <x:v>145</x:v>
      </x:c>
      <x:c r="O732" s="4" t="n">
        <x:f>ROUND(M732-N732,2)</x:f>
        <x:v>99.63</x:v>
      </x:c>
      <x:c r="P732" s="6" t="n">
        <x:v>3.3</x:v>
      </x:c>
      <x:c r="Q732" t="str">
        <x:v>No</x:v>
      </x:c>
    </x:row>
    <x:row r="733">
      <x:c r="A733" t="str">
        <x:v>ORD-01244</x:v>
      </x:c>
      <x:c r="B733" s="3" t="n">
        <x:v>45606.75582090278</x:v>
      </x:c>
      <x:c r="C733" t="str">
        <x:v>2024-11</x:v>
      </x:c>
      <x:c r="D733" t="str">
        <x:v>CUS-0215</x:v>
      </x:c>
      <x:c r="E733" t="str">
        <x:v>London</x:v>
      </x:c>
      <x:c r="F733" t="str">
        <x:v>Marketplace</x:v>
      </x:c>
      <x:c r="G733" t="str">
        <x:v>Sports</x:v>
      </x:c>
      <x:c r="H733" t="str">
        <x:v>Running Shoes</x:v>
      </x:c>
      <x:c r="I733" t="n">
        <x:v>2</x:v>
      </x:c>
      <x:c r="J733" s="4" t="n">
        <x:v>81.29</x:v>
      </x:c>
      <x:c r="K733" s="4" t="n">
        <x:v>38</x:v>
      </x:c>
      <x:c r="L733" s="5" t="n">
        <x:v>0.2</x:v>
      </x:c>
      <x:c r="M733" s="4" t="n">
        <x:f>ROUND(I733*J733*(1-L733),2)</x:f>
        <x:v>130.06</x:v>
      </x:c>
      <x:c r="N733" s="4" t="n">
        <x:f>ROUND(I733*K733,2)</x:f>
        <x:v>76</x:v>
      </x:c>
      <x:c r="O733" s="4" t="n">
        <x:f>ROUND(M733-N733,2)</x:f>
        <x:v>54.06</x:v>
      </x:c>
      <x:c r="P733" s="6" t="n">
        <x:v>4.4</x:v>
      </x:c>
      <x:c r="Q733" t="str">
        <x:v>No</x:v>
      </x:c>
    </x:row>
    <x:row r="734">
      <x:c r="A734" t="str">
        <x:v>ORD-00013</x:v>
      </x:c>
      <x:c r="B734" s="3" t="n">
        <x:v>45607.131896990744</x:v>
      </x:c>
      <x:c r="C734" t="str">
        <x:v>2024-11</x:v>
      </x:c>
      <x:c r="D734" t="str">
        <x:v>CUS-0271</x:v>
      </x:c>
      <x:c r="E734" t="str">
        <x:v>Midlands</x:v>
      </x:c>
      <x:c r="F734" t="str">
        <x:v>Store</x:v>
      </x:c>
      <x:c r="G734" t="str">
        <x:v>Books</x:v>
      </x:c>
      <x:c r="H734" t="str">
        <x:v>Data Analytics Handbook</x:v>
      </x:c>
      <x:c r="I734" t="n">
        <x:v>1</x:v>
      </x:c>
      <x:c r="J734" s="4" t="n">
        <x:v>41.69</x:v>
      </x:c>
      <x:c r="K734" s="4" t="n">
        <x:v>14</x:v>
      </x:c>
      <x:c r="L734" s="5" t="n">
        <x:v>0.15</x:v>
      </x:c>
      <x:c r="M734" s="4" t="n">
        <x:f>ROUND(I734*J734*(1-L734),2)</x:f>
        <x:v>35.44</x:v>
      </x:c>
      <x:c r="N734" s="4" t="n">
        <x:f>ROUND(I734*K734,2)</x:f>
        <x:v>14</x:v>
      </x:c>
      <x:c r="O734" s="4" t="n">
        <x:f>ROUND(M734-N734,2)</x:f>
        <x:v>21.44</x:v>
      </x:c>
      <x:c r="P734" s="6" t="n">
        <x:v>3.5</x:v>
      </x:c>
      <x:c r="Q734" t="str">
        <x:v>No</x:v>
      </x:c>
    </x:row>
    <x:row r="735">
      <x:c r="A735" t="str">
        <x:v>ORD-00501</x:v>
      </x:c>
      <x:c r="B735" s="3" t="n">
        <x:v>45607.8050753125</x:v>
      </x:c>
      <x:c r="C735" t="str">
        <x:v>2024-11</x:v>
      </x:c>
      <x:c r="D735" t="str">
        <x:v>CUS-0524</x:v>
      </x:c>
      <x:c r="E735" t="str">
        <x:v>Scotland</x:v>
      </x:c>
      <x:c r="F735" t="str">
        <x:v>Online</x:v>
      </x:c>
      <x:c r="G735" t="str">
        <x:v>Books</x:v>
      </x:c>
      <x:c r="H735" t="str">
        <x:v>Data Analytics Handbook</x:v>
      </x:c>
      <x:c r="I735" t="n">
        <x:v>3</x:v>
      </x:c>
      <x:c r="J735" s="4" t="n">
        <x:v>38.06</x:v>
      </x:c>
      <x:c r="K735" s="4" t="n">
        <x:v>14</x:v>
      </x:c>
      <x:c r="L735" s="5" t="n">
        <x:v>0.1</x:v>
      </x:c>
      <x:c r="M735" s="4" t="n">
        <x:f>ROUND(I735*J735*(1-L735),2)</x:f>
        <x:v>102.76</x:v>
      </x:c>
      <x:c r="N735" s="4" t="n">
        <x:f>ROUND(I735*K735,2)</x:f>
        <x:v>42</x:v>
      </x:c>
      <x:c r="O735" s="4" t="n">
        <x:f>ROUND(M735-N735,2)</x:f>
        <x:v>60.76</x:v>
      </x:c>
      <x:c r="P735" s="6" t="n">
        <x:v>4.7</x:v>
      </x:c>
      <x:c r="Q735" t="str">
        <x:v>No</x:v>
      </x:c>
    </x:row>
    <x:row r="736">
      <x:c r="A736" t="str">
        <x:v>ORD-00645</x:v>
      </x:c>
      <x:c r="B736" s="3" t="n">
        <x:v>45608.29693350694</x:v>
      </x:c>
      <x:c r="C736" t="str">
        <x:v>2024-11</x:v>
      </x:c>
      <x:c r="D736" t="str">
        <x:v>CUS-0587</x:v>
      </x:c>
      <x:c r="E736" t="str">
        <x:v>South West</x:v>
      </x:c>
      <x:c r="F736" t="str">
        <x:v>Store</x:v>
      </x:c>
      <x:c r="G736" t="str">
        <x:v>Sports</x:v>
      </x:c>
      <x:c r="H736" t="str">
        <x:v>Running Shoes</x:v>
      </x:c>
      <x:c r="I736" t="n">
        <x:v>1</x:v>
      </x:c>
      <x:c r="J736" s="4" t="n">
        <x:v>76.38</x:v>
      </x:c>
      <x:c r="K736" s="4" t="n">
        <x:v>38</x:v>
      </x:c>
      <x:c r="L736" s="5" t="n">
        <x:v>0.15</x:v>
      </x:c>
      <x:c r="M736" s="4" t="n">
        <x:f>ROUND(I736*J736*(1-L736),2)</x:f>
        <x:v>64.92</x:v>
      </x:c>
      <x:c r="N736" s="4" t="n">
        <x:f>ROUND(I736*K736,2)</x:f>
        <x:v>38</x:v>
      </x:c>
      <x:c r="O736" s="4" t="n">
        <x:f>ROUND(M736-N736,2)</x:f>
        <x:v>26.92</x:v>
      </x:c>
      <x:c r="P736" s="6" t="n">
        <x:v>3.4</x:v>
      </x:c>
      <x:c r="Q736" t="str">
        <x:v>No</x:v>
      </x:c>
    </x:row>
    <x:row r="737">
      <x:c r="A737" t="str">
        <x:v>ORD-00560</x:v>
      </x:c>
      <x:c r="B737" s="3" t="n">
        <x:v>45609.15210876158</x:v>
      </x:c>
      <x:c r="C737" t="str">
        <x:v>2024-11</x:v>
      </x:c>
      <x:c r="D737" t="str">
        <x:v>CUS-0031</x:v>
      </x:c>
      <x:c r="E737" t="str">
        <x:v>South East</x:v>
      </x:c>
      <x:c r="F737" t="str">
        <x:v>Online</x:v>
      </x:c>
      <x:c r="G737" t="str">
        <x:v>Home</x:v>
      </x:c>
      <x:c r="H737" t="str">
        <x:v>Desk Lamp</x:v>
      </x:c>
      <x:c r="I737" t="n">
        <x:v>3</x:v>
      </x:c>
      <x:c r="J737" s="4" t="n">
        <x:v>35.34</x:v>
      </x:c>
      <x:c r="K737" s="4" t="n">
        <x:v>17</x:v>
      </x:c>
      <x:c r="L737" s="5" t="n">
        <x:v>0</x:v>
      </x:c>
      <x:c r="M737" s="4" t="n">
        <x:f>ROUND(I737*J737*(1-L737),2)</x:f>
        <x:v>106.02</x:v>
      </x:c>
      <x:c r="N737" s="4" t="n">
        <x:f>ROUND(I737*K737,2)</x:f>
        <x:v>51</x:v>
      </x:c>
      <x:c r="O737" s="4" t="n">
        <x:f>ROUND(M737-N737,2)</x:f>
        <x:v>55.02</x:v>
      </x:c>
      <x:c r="P737" s="6" t="n">
        <x:v>4.7</x:v>
      </x:c>
      <x:c r="Q737" t="str">
        <x:v>No</x:v>
      </x:c>
    </x:row>
    <x:row r="738">
      <x:c r="A738" t="str">
        <x:v>ORD-00504</x:v>
      </x:c>
      <x:c r="B738" s="3" t="n">
        <x:v>45609.34593297454</x:v>
      </x:c>
      <x:c r="C738" t="str">
        <x:v>2024-11</x:v>
      </x:c>
      <x:c r="D738" t="str">
        <x:v>CUS-0551</x:v>
      </x:c>
      <x:c r="E738" t="str">
        <x:v>North West</x:v>
      </x:c>
      <x:c r="F738" t="str">
        <x:v>Store</x:v>
      </x:c>
      <x:c r="G738" t="str">
        <x:v>Home</x:v>
      </x:c>
      <x:c r="H738" t="str">
        <x:v>Air Fryer</x:v>
      </x:c>
      <x:c r="I738" t="n">
        <x:v>1</x:v>
      </x:c>
      <x:c r="J738" s="4" t="n">
        <x:v>124.53</x:v>
      </x:c>
      <x:c r="K738" s="4" t="n">
        <x:v>69</x:v>
      </x:c>
      <x:c r="L738" s="5" t="n">
        <x:v>0</x:v>
      </x:c>
      <x:c r="M738" s="4" t="n">
        <x:f>ROUND(I738*J738*(1-L738),2)</x:f>
        <x:v>124.53</x:v>
      </x:c>
      <x:c r="N738" s="4" t="n">
        <x:f>ROUND(I738*K738,2)</x:f>
        <x:v>69</x:v>
      </x:c>
      <x:c r="O738" s="4" t="n">
        <x:f>ROUND(M738-N738,2)</x:f>
        <x:v>55.53</x:v>
      </x:c>
      <x:c r="P738" s="6" t="n">
        <x:v>4.3</x:v>
      </x:c>
      <x:c r="Q738" t="str">
        <x:v>No</x:v>
      </x:c>
    </x:row>
    <x:row r="739">
      <x:c r="A739" t="str">
        <x:v>ORD-01308</x:v>
      </x:c>
      <x:c r="B739" s="3" t="n">
        <x:v>45609.71983858796</x:v>
      </x:c>
      <x:c r="C739" t="str">
        <x:v>2024-11</x:v>
      </x:c>
      <x:c r="D739" t="str">
        <x:v>CUS-0394</x:v>
      </x:c>
      <x:c r="E739" t="str">
        <x:v>South West</x:v>
      </x:c>
      <x:c r="F739" t="str">
        <x:v>Marketplace</x:v>
      </x:c>
      <x:c r="G739" t="str">
        <x:v>Beauty</x:v>
      </x:c>
      <x:c r="H739" t="str">
        <x:v>Hair Dryer</x:v>
      </x:c>
      <x:c r="I739" t="n">
        <x:v>3</x:v>
      </x:c>
      <x:c r="J739" s="4" t="n">
        <x:v>59.64</x:v>
      </x:c>
      <x:c r="K739" s="4" t="n">
        <x:v>29</x:v>
      </x:c>
      <x:c r="L739" s="5" t="n">
        <x:v>0.05</x:v>
      </x:c>
      <x:c r="M739" s="4" t="n">
        <x:f>ROUND(I739*J739*(1-L739),2)</x:f>
        <x:v>169.97</x:v>
      </x:c>
      <x:c r="N739" s="4" t="n">
        <x:f>ROUND(I739*K739,2)</x:f>
        <x:v>87</x:v>
      </x:c>
      <x:c r="O739" s="4" t="n">
        <x:f>ROUND(M739-N739,2)</x:f>
        <x:v>82.97</x:v>
      </x:c>
      <x:c r="P739" s="6" t="n">
        <x:v>3.9</x:v>
      </x:c>
      <x:c r="Q739" t="str">
        <x:v>Yes</x:v>
      </x:c>
    </x:row>
    <x:row r="740">
      <x:c r="A740" t="str">
        <x:v>ORD-00298</x:v>
      </x:c>
      <x:c r="B740" s="3" t="n">
        <x:v>45609.73297834491</x:v>
      </x:c>
      <x:c r="C740" t="str">
        <x:v>2024-11</x:v>
      </x:c>
      <x:c r="D740" t="str">
        <x:v>CUS-0153</x:v>
      </x:c>
      <x:c r="E740" t="str">
        <x:v>South East</x:v>
      </x:c>
      <x:c r="F740" t="str">
        <x:v>Store</x:v>
      </x:c>
      <x:c r="G740" t="str">
        <x:v>Beauty</x:v>
      </x:c>
      <x:c r="H740" t="str">
        <x:v>Hair Dryer</x:v>
      </x:c>
      <x:c r="I740" t="n">
        <x:v>4</x:v>
      </x:c>
      <x:c r="J740" s="4" t="n">
        <x:v>57.61</x:v>
      </x:c>
      <x:c r="K740" s="4" t="n">
        <x:v>29</x:v>
      </x:c>
      <x:c r="L740" s="5" t="n">
        <x:v>0.2</x:v>
      </x:c>
      <x:c r="M740" s="4" t="n">
        <x:f>ROUND(I740*J740*(1-L740),2)</x:f>
        <x:v>184.35</x:v>
      </x:c>
      <x:c r="N740" s="4" t="n">
        <x:f>ROUND(I740*K740,2)</x:f>
        <x:v>116</x:v>
      </x:c>
      <x:c r="O740" s="4" t="n">
        <x:f>ROUND(M740-N740,2)</x:f>
        <x:v>68.35</x:v>
      </x:c>
      <x:c r="P740" s="6" t="n">
        <x:v>4.3</x:v>
      </x:c>
      <x:c r="Q740" t="str">
        <x:v>Yes</x:v>
      </x:c>
    </x:row>
    <x:row r="741">
      <x:c r="A741" t="str">
        <x:v>ORD-01253</x:v>
      </x:c>
      <x:c r="B741" s="3" t="n">
        <x:v>45609.98512107639</x:v>
      </x:c>
      <x:c r="C741" t="str">
        <x:v>2024-11</x:v>
      </x:c>
      <x:c r="D741" t="str">
        <x:v>CUS-0402</x:v>
      </x:c>
      <x:c r="E741" t="str">
        <x:v>South West</x:v>
      </x:c>
      <x:c r="F741" t="str">
        <x:v>Online</x:v>
      </x:c>
      <x:c r="G741" t="str">
        <x:v>Beauty</x:v>
      </x:c>
      <x:c r="H741" t="str">
        <x:v>Skin Care Set</x:v>
      </x:c>
      <x:c r="I741" t="n">
        <x:v>3</x:v>
      </x:c>
      <x:c r="J741" s="4" t="n">
        <x:v>44.37</x:v>
      </x:c>
      <x:c r="K741" s="4" t="n">
        <x:v>18</x:v>
      </x:c>
      <x:c r="L741" s="5" t="n">
        <x:v>0</x:v>
      </x:c>
      <x:c r="M741" s="4" t="n">
        <x:f>ROUND(I741*J741*(1-L741),2)</x:f>
        <x:v>133.11</x:v>
      </x:c>
      <x:c r="N741" s="4" t="n">
        <x:f>ROUND(I741*K741,2)</x:f>
        <x:v>54</x:v>
      </x:c>
      <x:c r="O741" s="4" t="n">
        <x:f>ROUND(M741-N741,2)</x:f>
        <x:v>79.11</x:v>
      </x:c>
      <x:c r="P741" s="6" t="n">
        <x:v>5</x:v>
      </x:c>
      <x:c r="Q741" t="str">
        <x:v>No</x:v>
      </x:c>
    </x:row>
    <x:row r="742">
      <x:c r="A742" t="str">
        <x:v>ORD-00107</x:v>
      </x:c>
      <x:c r="B742" s="3" t="n">
        <x:v>45609.986004224535</x:v>
      </x:c>
      <x:c r="C742" t="str">
        <x:v>2024-11</x:v>
      </x:c>
      <x:c r="D742" t="str">
        <x:v>CUS-0197</x:v>
      </x:c>
      <x:c r="E742" t="str">
        <x:v>North West</x:v>
      </x:c>
      <x:c r="F742" t="str">
        <x:v>Store</x:v>
      </x:c>
      <x:c r="G742" t="str">
        <x:v>Beauty</x:v>
      </x:c>
      <x:c r="H742" t="str">
        <x:v>Skin Care Set</x:v>
      </x:c>
      <x:c r="I742" t="n">
        <x:v>4</x:v>
      </x:c>
      <x:c r="J742" s="4" t="n">
        <x:v>45.89</x:v>
      </x:c>
      <x:c r="K742" s="4" t="n">
        <x:v>18</x:v>
      </x:c>
      <x:c r="L742" s="5" t="n">
        <x:v>0.15</x:v>
      </x:c>
      <x:c r="M742" s="4" t="n">
        <x:f>ROUND(I742*J742*(1-L742),2)</x:f>
        <x:v>156.03</x:v>
      </x:c>
      <x:c r="N742" s="4" t="n">
        <x:f>ROUND(I742*K742,2)</x:f>
        <x:v>72</x:v>
      </x:c>
      <x:c r="O742" s="4" t="n">
        <x:f>ROUND(M742-N742,2)</x:f>
        <x:v>84.03</x:v>
      </x:c>
      <x:c r="P742" s="6" t="n">
        <x:v>4.9</x:v>
      </x:c>
      <x:c r="Q742" t="str">
        <x:v>No</x:v>
      </x:c>
    </x:row>
    <x:row r="743">
      <x:c r="A743" t="str">
        <x:v>ORD-01219</x:v>
      </x:c>
      <x:c r="B743" s="3" t="n">
        <x:v>45610.001589467596</x:v>
      </x:c>
      <x:c r="C743" t="str">
        <x:v>2024-11</x:v>
      </x:c>
      <x:c r="D743" t="str">
        <x:v>CUS-0427</x:v>
      </x:c>
      <x:c r="E743" t="str">
        <x:v>South East</x:v>
      </x:c>
      <x:c r="F743" t="str">
        <x:v>Marketplace</x:v>
      </x:c>
      <x:c r="G743" t="str">
        <x:v>Home</x:v>
      </x:c>
      <x:c r="H743" t="str">
        <x:v>Air Fryer</x:v>
      </x:c>
      <x:c r="I743" t="n">
        <x:v>5</x:v>
      </x:c>
      <x:c r="J743" s="4" t="n">
        <x:v>125.42</x:v>
      </x:c>
      <x:c r="K743" s="4" t="n">
        <x:v>69</x:v>
      </x:c>
      <x:c r="L743" s="5" t="n">
        <x:v>0.15</x:v>
      </x:c>
      <x:c r="M743" s="4" t="n">
        <x:f>ROUND(I743*J743*(1-L743),2)</x:f>
        <x:v>533.04</x:v>
      </x:c>
      <x:c r="N743" s="4" t="n">
        <x:f>ROUND(I743*K743,2)</x:f>
        <x:v>345</x:v>
      </x:c>
      <x:c r="O743" s="4" t="n">
        <x:f>ROUND(M743-N743,2)</x:f>
        <x:v>188.04</x:v>
      </x:c>
      <x:c r="P743" s="6" t="n">
        <x:v>3.5</x:v>
      </x:c>
      <x:c r="Q743" t="str">
        <x:v>No</x:v>
      </x:c>
    </x:row>
    <x:row r="744">
      <x:c r="A744" t="str">
        <x:v>ORD-01422</x:v>
      </x:c>
      <x:c r="B744" s="3" t="n">
        <x:v>45611.698400104164</x:v>
      </x:c>
      <x:c r="C744" t="str">
        <x:v>2024-11</x:v>
      </x:c>
      <x:c r="D744" t="str">
        <x:v>CUS-0387</x:v>
      </x:c>
      <x:c r="E744" t="str">
        <x:v>South West</x:v>
      </x:c>
      <x:c r="F744" t="str">
        <x:v>Marketplace</x:v>
      </x:c>
      <x:c r="G744" t="str">
        <x:v>Home</x:v>
      </x:c>
      <x:c r="H744" t="str">
        <x:v>Desk Lamp</x:v>
      </x:c>
      <x:c r="I744" t="n">
        <x:v>5</x:v>
      </x:c>
      <x:c r="J744" s="4" t="n">
        <x:v>34.13</x:v>
      </x:c>
      <x:c r="K744" s="4" t="n">
        <x:v>17</x:v>
      </x:c>
      <x:c r="L744" s="5" t="n">
        <x:v>0.2</x:v>
      </x:c>
      <x:c r="M744" s="4" t="n">
        <x:f>ROUND(I744*J744*(1-L744),2)</x:f>
        <x:v>136.52</x:v>
      </x:c>
      <x:c r="N744" s="4" t="n">
        <x:f>ROUND(I744*K744,2)</x:f>
        <x:v>85</x:v>
      </x:c>
      <x:c r="O744" s="4" t="n">
        <x:f>ROUND(M744-N744,2)</x:f>
        <x:v>51.52</x:v>
      </x:c>
      <x:c r="P744" s="6" t="n">
        <x:v>4</x:v>
      </x:c>
      <x:c r="Q744" t="str">
        <x:v>No</x:v>
      </x:c>
    </x:row>
    <x:row r="745">
      <x:c r="A745" t="str">
        <x:v>ORD-01664</x:v>
      </x:c>
      <x:c r="B745" s="3" t="n">
        <x:v>45612.03580986111</x:v>
      </x:c>
      <x:c r="C745" t="str">
        <x:v>2024-11</x:v>
      </x:c>
      <x:c r="D745" t="str">
        <x:v>CUS-0233</x:v>
      </x:c>
      <x:c r="E745" t="str">
        <x:v>North East</x:v>
      </x:c>
      <x:c r="F745" t="str">
        <x:v>Store</x:v>
      </x:c>
      <x:c r="G745" t="str">
        <x:v>Fashion</x:v>
      </x:c>
      <x:c r="H745" t="str">
        <x:v>Backpack</x:v>
      </x:c>
      <x:c r="I745" t="n">
        <x:v>1</x:v>
      </x:c>
      <x:c r="J745" s="4" t="n">
        <x:v>50.07</x:v>
      </x:c>
      <x:c r="K745" s="4" t="n">
        <x:v>21</x:v>
      </x:c>
      <x:c r="L745" s="5" t="n">
        <x:v>0.1</x:v>
      </x:c>
      <x:c r="M745" s="4" t="n">
        <x:f>ROUND(I745*J745*(1-L745),2)</x:f>
        <x:v>45.06</x:v>
      </x:c>
      <x:c r="N745" s="4" t="n">
        <x:f>ROUND(I745*K745,2)</x:f>
        <x:v>21</x:v>
      </x:c>
      <x:c r="O745" s="4" t="n">
        <x:f>ROUND(M745-N745,2)</x:f>
        <x:v>24.06</x:v>
      </x:c>
      <x:c r="P745" s="6" t="n">
        <x:v>5</x:v>
      </x:c>
      <x:c r="Q745" t="str">
        <x:v>No</x:v>
      </x:c>
    </x:row>
    <x:row r="746">
      <x:c r="A746" t="str">
        <x:v>ORD-01015</x:v>
      </x:c>
      <x:c r="B746" s="3" t="n">
        <x:v>45612.38719527778</x:v>
      </x:c>
      <x:c r="C746" t="str">
        <x:v>2024-11</x:v>
      </x:c>
      <x:c r="D746" t="str">
        <x:v>CUS-0358</x:v>
      </x:c>
      <x:c r="E746" t="str">
        <x:v>Midlands</x:v>
      </x:c>
      <x:c r="F746" t="str">
        <x:v>Online</x:v>
      </x:c>
      <x:c r="G746" t="str">
        <x:v>Books</x:v>
      </x:c>
      <x:c r="H746" t="str">
        <x:v>Data Analytics Handbook</x:v>
      </x:c>
      <x:c r="I746" t="n">
        <x:v>3</x:v>
      </x:c>
      <x:c r="J746" s="4" t="n">
        <x:v>39.93</x:v>
      </x:c>
      <x:c r="K746" s="4" t="n">
        <x:v>14</x:v>
      </x:c>
      <x:c r="L746" s="5" t="n">
        <x:v>0</x:v>
      </x:c>
      <x:c r="M746" s="4" t="n">
        <x:f>ROUND(I746*J746*(1-L746),2)</x:f>
        <x:v>119.79</x:v>
      </x:c>
      <x:c r="N746" s="4" t="n">
        <x:f>ROUND(I746*K746,2)</x:f>
        <x:v>42</x:v>
      </x:c>
      <x:c r="O746" s="4" t="n">
        <x:f>ROUND(M746-N746,2)</x:f>
        <x:v>77.79</x:v>
      </x:c>
      <x:c r="P746" s="6" t="n">
        <x:v>3.7</x:v>
      </x:c>
      <x:c r="Q746" t="str">
        <x:v>No</x:v>
      </x:c>
    </x:row>
    <x:row r="747">
      <x:c r="A747" t="str">
        <x:v>ORD-01647</x:v>
      </x:c>
      <x:c r="B747" s="3" t="n">
        <x:v>45612.40731657408</x:v>
      </x:c>
      <x:c r="C747" t="str">
        <x:v>2024-11</x:v>
      </x:c>
      <x:c r="D747" t="str">
        <x:v>CUS-0288</x:v>
      </x:c>
      <x:c r="E747" t="str">
        <x:v>North East</x:v>
      </x:c>
      <x:c r="F747" t="str">
        <x:v>Marketplace</x:v>
      </x:c>
      <x:c r="G747" t="str">
        <x:v>Beauty</x:v>
      </x:c>
      <x:c r="H747" t="str">
        <x:v>Skin Care Set</x:v>
      </x:c>
      <x:c r="I747" t="n">
        <x:v>2</x:v>
      </x:c>
      <x:c r="J747" s="4" t="n">
        <x:v>45.58</x:v>
      </x:c>
      <x:c r="K747" s="4" t="n">
        <x:v>18</x:v>
      </x:c>
      <x:c r="L747" s="5" t="n">
        <x:v>0.15</x:v>
      </x:c>
      <x:c r="M747" s="4" t="n">
        <x:f>ROUND(I747*J747*(1-L747),2)</x:f>
        <x:v>77.49</x:v>
      </x:c>
      <x:c r="N747" s="4" t="n">
        <x:f>ROUND(I747*K747,2)</x:f>
        <x:v>36</x:v>
      </x:c>
      <x:c r="O747" s="4" t="n">
        <x:f>ROUND(M747-N747,2)</x:f>
        <x:v>41.49</x:v>
      </x:c>
      <x:c r="P747" s="6" t="n">
        <x:v>3.6</x:v>
      </x:c>
      <x:c r="Q747" t="str">
        <x:v>No</x:v>
      </x:c>
    </x:row>
    <x:row r="748">
      <x:c r="A748" t="str">
        <x:v>ORD-00315</x:v>
      </x:c>
      <x:c r="B748" s="3" t="n">
        <x:v>45612.962645659725</x:v>
      </x:c>
      <x:c r="C748" t="str">
        <x:v>2024-11</x:v>
      </x:c>
      <x:c r="D748" t="str">
        <x:v>CUS-0365</x:v>
      </x:c>
      <x:c r="E748" t="str">
        <x:v>Wales</x:v>
      </x:c>
      <x:c r="F748" t="str">
        <x:v>Marketplace</x:v>
      </x:c>
      <x:c r="G748" t="str">
        <x:v>Electronics</x:v>
      </x:c>
      <x:c r="H748" t="str">
        <x:v>Wireless Headphones</x:v>
      </x:c>
      <x:c r="I748" t="n">
        <x:v>4</x:v>
      </x:c>
      <x:c r="J748" s="4" t="n">
        <x:v>92.31</x:v>
      </x:c>
      <x:c r="K748" s="4" t="n">
        <x:v>48</x:v>
      </x:c>
      <x:c r="L748" s="5" t="n">
        <x:v>0.2</x:v>
      </x:c>
      <x:c r="M748" s="4" t="n">
        <x:f>ROUND(I748*J748*(1-L748),2)</x:f>
        <x:v>295.39</x:v>
      </x:c>
      <x:c r="N748" s="4" t="n">
        <x:f>ROUND(I748*K748,2)</x:f>
        <x:v>192</x:v>
      </x:c>
      <x:c r="O748" s="4" t="n">
        <x:f>ROUND(M748-N748,2)</x:f>
        <x:v>103.39</x:v>
      </x:c>
      <x:c r="P748" s="6" t="n">
        <x:v>4</x:v>
      </x:c>
      <x:c r="Q748" t="str">
        <x:v>No</x:v>
      </x:c>
    </x:row>
    <x:row r="749">
      <x:c r="A749" t="str">
        <x:v>ORD-00884</x:v>
      </x:c>
      <x:c r="B749" s="3" t="n">
        <x:v>45613.90840550926</x:v>
      </x:c>
      <x:c r="C749" t="str">
        <x:v>2024-11</x:v>
      </x:c>
      <x:c r="D749" t="str">
        <x:v>CUS-0288</x:v>
      </x:c>
      <x:c r="E749" t="str">
        <x:v>Wales</x:v>
      </x:c>
      <x:c r="F749" t="str">
        <x:v>Online</x:v>
      </x:c>
      <x:c r="G749" t="str">
        <x:v>Sports</x:v>
      </x:c>
      <x:c r="H749" t="str">
        <x:v>Fitness Tracker</x:v>
      </x:c>
      <x:c r="I749" t="n">
        <x:v>1</x:v>
      </x:c>
      <x:c r="J749" s="4" t="n">
        <x:v>54.46</x:v>
      </x:c>
      <x:c r="K749" s="4" t="n">
        <x:v>27</x:v>
      </x:c>
      <x:c r="L749" s="5" t="n">
        <x:v>0.05</x:v>
      </x:c>
      <x:c r="M749" s="4" t="n">
        <x:f>ROUND(I749*J749*(1-L749),2)</x:f>
        <x:v>51.74</x:v>
      </x:c>
      <x:c r="N749" s="4" t="n">
        <x:f>ROUND(I749*K749,2)</x:f>
        <x:v>27</x:v>
      </x:c>
      <x:c r="O749" s="4" t="n">
        <x:f>ROUND(M749-N749,2)</x:f>
        <x:v>24.74</x:v>
      </x:c>
      <x:c r="P749" s="6" t="n">
        <x:v>3.7</x:v>
      </x:c>
      <x:c r="Q749" t="str">
        <x:v>No</x:v>
      </x:c>
    </x:row>
    <x:row r="750">
      <x:c r="A750" t="str">
        <x:v>ORD-01590</x:v>
      </x:c>
      <x:c r="B750" s="3" t="n">
        <x:v>45613.910315243054</x:v>
      </x:c>
      <x:c r="C750" t="str">
        <x:v>2024-11</x:v>
      </x:c>
      <x:c r="D750" t="str">
        <x:v>CUS-0370</x:v>
      </x:c>
      <x:c r="E750" t="str">
        <x:v>South West</x:v>
      </x:c>
      <x:c r="F750" t="str">
        <x:v>Online</x:v>
      </x:c>
      <x:c r="G750" t="str">
        <x:v>Books</x:v>
      </x:c>
      <x:c r="H750" t="str">
        <x:v>Data Analytics Handbook</x:v>
      </x:c>
      <x:c r="I750" t="n">
        <x:v>2</x:v>
      </x:c>
      <x:c r="J750" s="4" t="n">
        <x:v>39.26</x:v>
      </x:c>
      <x:c r="K750" s="4" t="n">
        <x:v>14</x:v>
      </x:c>
      <x:c r="L750" s="5" t="n">
        <x:v>0.2</x:v>
      </x:c>
      <x:c r="M750" s="4" t="n">
        <x:f>ROUND(I750*J750*(1-L750),2)</x:f>
        <x:v>62.82</x:v>
      </x:c>
      <x:c r="N750" s="4" t="n">
        <x:f>ROUND(I750*K750,2)</x:f>
        <x:v>28</x:v>
      </x:c>
      <x:c r="O750" s="4" t="n">
        <x:f>ROUND(M750-N750,2)</x:f>
        <x:v>34.82</x:v>
      </x:c>
      <x:c r="P750" s="6" t="n">
        <x:v>4.5</x:v>
      </x:c>
      <x:c r="Q750" t="str">
        <x:v>Yes</x:v>
      </x:c>
    </x:row>
    <x:row r="751">
      <x:c r="A751" t="str">
        <x:v>ORD-00594</x:v>
      </x:c>
      <x:c r="B751" s="3" t="n">
        <x:v>45614.68641568287</x:v>
      </x:c>
      <x:c r="C751" t="str">
        <x:v>2024-11</x:v>
      </x:c>
      <x:c r="D751" t="str">
        <x:v>CUS-0554</x:v>
      </x:c>
      <x:c r="E751" t="str">
        <x:v>London</x:v>
      </x:c>
      <x:c r="F751" t="str">
        <x:v>Online</x:v>
      </x:c>
      <x:c r="G751" t="str">
        <x:v>Sports</x:v>
      </x:c>
      <x:c r="H751" t="str">
        <x:v>Fitness Tracker</x:v>
      </x:c>
      <x:c r="I751" t="n">
        <x:v>5</x:v>
      </x:c>
      <x:c r="J751" s="4" t="n">
        <x:v>54.71</x:v>
      </x:c>
      <x:c r="K751" s="4" t="n">
        <x:v>27</x:v>
      </x:c>
      <x:c r="L751" s="5" t="n">
        <x:v>0.15</x:v>
      </x:c>
      <x:c r="M751" s="4" t="n">
        <x:f>ROUND(I751*J751*(1-L751),2)</x:f>
        <x:v>232.52</x:v>
      </x:c>
      <x:c r="N751" s="4" t="n">
        <x:f>ROUND(I751*K751,2)</x:f>
        <x:v>135</x:v>
      </x:c>
      <x:c r="O751" s="4" t="n">
        <x:f>ROUND(M751-N751,2)</x:f>
        <x:v>97.52</x:v>
      </x:c>
      <x:c r="P751" s="6" t="n">
        <x:v>5</x:v>
      </x:c>
      <x:c r="Q751" t="str">
        <x:v>No</x:v>
      </x:c>
    </x:row>
    <x:row r="752">
      <x:c r="A752" t="str">
        <x:v>ORD-00356</x:v>
      </x:c>
      <x:c r="B752" s="3" t="n">
        <x:v>45614.693954710645</x:v>
      </x:c>
      <x:c r="C752" t="str">
        <x:v>2024-11</x:v>
      </x:c>
      <x:c r="D752" t="str">
        <x:v>CUS-0603</x:v>
      </x:c>
      <x:c r="E752" t="str">
        <x:v>Midlands</x:v>
      </x:c>
      <x:c r="F752" t="str">
        <x:v>Marketplace</x:v>
      </x:c>
      <x:c r="G752" t="str">
        <x:v>Fashion</x:v>
      </x:c>
      <x:c r="H752" t="str">
        <x:v>Classic Trainers</x:v>
      </x:c>
      <x:c r="I752" t="n">
        <x:v>1</x:v>
      </x:c>
      <x:c r="J752" s="4" t="n">
        <x:v>68.92</x:v>
      </x:c>
      <x:c r="K752" s="4" t="n">
        <x:v>32</x:v>
      </x:c>
      <x:c r="L752" s="5" t="n">
        <x:v>0.1</x:v>
      </x:c>
      <x:c r="M752" s="4" t="n">
        <x:f>ROUND(I752*J752*(1-L752),2)</x:f>
        <x:v>62.03</x:v>
      </x:c>
      <x:c r="N752" s="4" t="n">
        <x:f>ROUND(I752*K752,2)</x:f>
        <x:v>32</x:v>
      </x:c>
      <x:c r="O752" s="4" t="n">
        <x:f>ROUND(M752-N752,2)</x:f>
        <x:v>30.03</x:v>
      </x:c>
      <x:c r="P752" s="6" t="n">
        <x:v>4.5</x:v>
      </x:c>
      <x:c r="Q752" t="str">
        <x:v>No</x:v>
      </x:c>
    </x:row>
    <x:row r="753">
      <x:c r="A753" t="str">
        <x:v>ORD-00369</x:v>
      </x:c>
      <x:c r="B753" s="3" t="n">
        <x:v>45614.97417385416</x:v>
      </x:c>
      <x:c r="C753" t="str">
        <x:v>2024-11</x:v>
      </x:c>
      <x:c r="D753" t="str">
        <x:v>CUS-0322</x:v>
      </x:c>
      <x:c r="E753" t="str">
        <x:v>Wales</x:v>
      </x:c>
      <x:c r="F753" t="str">
        <x:v>Online</x:v>
      </x:c>
      <x:c r="G753" t="str">
        <x:v>Fashion</x:v>
      </x:c>
      <x:c r="H753" t="str">
        <x:v>Backpack</x:v>
      </x:c>
      <x:c r="I753" t="n">
        <x:v>1</x:v>
      </x:c>
      <x:c r="J753" s="4" t="n">
        <x:v>48.82</x:v>
      </x:c>
      <x:c r="K753" s="4" t="n">
        <x:v>21</x:v>
      </x:c>
      <x:c r="L753" s="5" t="n">
        <x:v>0.05</x:v>
      </x:c>
      <x:c r="M753" s="4" t="n">
        <x:f>ROUND(I753*J753*(1-L753),2)</x:f>
        <x:v>46.38</x:v>
      </x:c>
      <x:c r="N753" s="4" t="n">
        <x:f>ROUND(I753*K753,2)</x:f>
        <x:v>21</x:v>
      </x:c>
      <x:c r="O753" s="4" t="n">
        <x:f>ROUND(M753-N753,2)</x:f>
        <x:v>25.38</x:v>
      </x:c>
      <x:c r="P753" s="6" t="n">
        <x:v>3.7</x:v>
      </x:c>
      <x:c r="Q753" t="str">
        <x:v>No</x:v>
      </x:c>
    </x:row>
    <x:row r="754">
      <x:c r="A754" t="str">
        <x:v>ORD-01769</x:v>
      </x:c>
      <x:c r="B754" s="3" t="n">
        <x:v>45615.006347800925</x:v>
      </x:c>
      <x:c r="C754" t="str">
        <x:v>2024-11</x:v>
      </x:c>
      <x:c r="D754" t="str">
        <x:v>CUS-0066</x:v>
      </x:c>
      <x:c r="E754" t="str">
        <x:v>Scotland</x:v>
      </x:c>
      <x:c r="F754" t="str">
        <x:v>Marketplace</x:v>
      </x:c>
      <x:c r="G754" t="str">
        <x:v>Electronics</x:v>
      </x:c>
      <x:c r="H754" t="str">
        <x:v>Wireless Headphones</x:v>
      </x:c>
      <x:c r="I754" t="n">
        <x:v>5</x:v>
      </x:c>
      <x:c r="J754" s="4" t="n">
        <x:v>88.34</x:v>
      </x:c>
      <x:c r="K754" s="4" t="n">
        <x:v>48</x:v>
      </x:c>
      <x:c r="L754" s="5" t="n">
        <x:v>0.2</x:v>
      </x:c>
      <x:c r="M754" s="4" t="n">
        <x:f>ROUND(I754*J754*(1-L754),2)</x:f>
        <x:v>353.36</x:v>
      </x:c>
      <x:c r="N754" s="4" t="n">
        <x:f>ROUND(I754*K754,2)</x:f>
        <x:v>240</x:v>
      </x:c>
      <x:c r="O754" s="4" t="n">
        <x:f>ROUND(M754-N754,2)</x:f>
        <x:v>113.36</x:v>
      </x:c>
      <x:c r="P754" s="6" t="n">
        <x:v>4.5</x:v>
      </x:c>
      <x:c r="Q754" t="str">
        <x:v>Yes</x:v>
      </x:c>
    </x:row>
    <x:row r="755">
      <x:c r="A755" t="str">
        <x:v>ORD-00196</x:v>
      </x:c>
      <x:c r="B755" s="3" t="n">
        <x:v>45615.78638431713</x:v>
      </x:c>
      <x:c r="C755" t="str">
        <x:v>2024-11</x:v>
      </x:c>
      <x:c r="D755" t="str">
        <x:v>CUS-0222</x:v>
      </x:c>
      <x:c r="E755" t="str">
        <x:v>Wales</x:v>
      </x:c>
      <x:c r="F755" t="str">
        <x:v>Marketplace</x:v>
      </x:c>
      <x:c r="G755" t="str">
        <x:v>Fashion</x:v>
      </x:c>
      <x:c r="H755" t="str">
        <x:v>Backpack</x:v>
      </x:c>
      <x:c r="I755" t="n">
        <x:v>5</x:v>
      </x:c>
      <x:c r="J755" s="4" t="n">
        <x:v>50.85</x:v>
      </x:c>
      <x:c r="K755" s="4" t="n">
        <x:v>21</x:v>
      </x:c>
      <x:c r="L755" s="5" t="n">
        <x:v>0</x:v>
      </x:c>
      <x:c r="M755" s="4" t="n">
        <x:f>ROUND(I755*J755*(1-L755),2)</x:f>
        <x:v>254.25</x:v>
      </x:c>
      <x:c r="N755" s="4" t="n">
        <x:f>ROUND(I755*K755,2)</x:f>
        <x:v>105</x:v>
      </x:c>
      <x:c r="O755" s="4" t="n">
        <x:f>ROUND(M755-N755,2)</x:f>
        <x:v>149.25</x:v>
      </x:c>
      <x:c r="P755" s="6" t="n">
        <x:v>5</x:v>
      </x:c>
      <x:c r="Q755" t="str">
        <x:v>No</x:v>
      </x:c>
    </x:row>
    <x:row r="756">
      <x:c r="A756" t="str">
        <x:v>ORD-00319</x:v>
      </x:c>
      <x:c r="B756" s="3" t="n">
        <x:v>45615.94334045139</x:v>
      </x:c>
      <x:c r="C756" t="str">
        <x:v>2024-11</x:v>
      </x:c>
      <x:c r="D756" t="str">
        <x:v>CUS-0143</x:v>
      </x:c>
      <x:c r="E756" t="str">
        <x:v>Scotland</x:v>
      </x:c>
      <x:c r="F756" t="str">
        <x:v>Marketplace</x:v>
      </x:c>
      <x:c r="G756" t="str">
        <x:v>Sports</x:v>
      </x:c>
      <x:c r="H756" t="str">
        <x:v>Fitness Tracker</x:v>
      </x:c>
      <x:c r="I756" t="n">
        <x:v>4</x:v>
      </x:c>
      <x:c r="J756" s="4" t="n">
        <x:v>55.45</x:v>
      </x:c>
      <x:c r="K756" s="4" t="n">
        <x:v>27</x:v>
      </x:c>
      <x:c r="L756" s="5" t="n">
        <x:v>0.2</x:v>
      </x:c>
      <x:c r="M756" s="4" t="n">
        <x:f>ROUND(I756*J756*(1-L756),2)</x:f>
        <x:v>177.44</x:v>
      </x:c>
      <x:c r="N756" s="4" t="n">
        <x:f>ROUND(I756*K756,2)</x:f>
        <x:v>108</x:v>
      </x:c>
      <x:c r="O756" s="4" t="n">
        <x:f>ROUND(M756-N756,2)</x:f>
        <x:v>69.44</x:v>
      </x:c>
      <x:c r="P756" s="6" t="n">
        <x:v>4.9</x:v>
      </x:c>
      <x:c r="Q756" t="str">
        <x:v>No</x:v>
      </x:c>
    </x:row>
    <x:row r="757">
      <x:c r="A757" t="str">
        <x:v>ORD-00930</x:v>
      </x:c>
      <x:c r="B757" s="3" t="n">
        <x:v>45616.51035335648</x:v>
      </x:c>
      <x:c r="C757" t="str">
        <x:v>2024-11</x:v>
      </x:c>
      <x:c r="D757" t="str">
        <x:v>CUS-0435</x:v>
      </x:c>
      <x:c r="E757" t="str">
        <x:v>South West</x:v>
      </x:c>
      <x:c r="F757" t="str">
        <x:v>Marketplace</x:v>
      </x:c>
      <x:c r="G757" t="str">
        <x:v>Sports</x:v>
      </x:c>
      <x:c r="H757" t="str">
        <x:v>Running Shoes</x:v>
      </x:c>
      <x:c r="I757" t="n">
        <x:v>1</x:v>
      </x:c>
      <x:c r="J757" s="4" t="n">
        <x:v>78.31</x:v>
      </x:c>
      <x:c r="K757" s="4" t="n">
        <x:v>38</x:v>
      </x:c>
      <x:c r="L757" s="5" t="n">
        <x:v>0</x:v>
      </x:c>
      <x:c r="M757" s="4" t="n">
        <x:f>ROUND(I757*J757*(1-L757),2)</x:f>
        <x:v>78.31</x:v>
      </x:c>
      <x:c r="N757" s="4" t="n">
        <x:f>ROUND(I757*K757,2)</x:f>
        <x:v>38</x:v>
      </x:c>
      <x:c r="O757" s="4" t="n">
        <x:f>ROUND(M757-N757,2)</x:f>
        <x:v>40.31</x:v>
      </x:c>
      <x:c r="P757" s="6" t="n">
        <x:v>3.7</x:v>
      </x:c>
      <x:c r="Q757" t="str">
        <x:v>No</x:v>
      </x:c>
    </x:row>
    <x:row r="758">
      <x:c r="A758" t="str">
        <x:v>ORD-01231</x:v>
      </x:c>
      <x:c r="B758" s="3" t="n">
        <x:v>45617.14356408565</x:v>
      </x:c>
      <x:c r="C758" t="str">
        <x:v>2024-11</x:v>
      </x:c>
      <x:c r="D758" t="str">
        <x:v>CUS-0466</x:v>
      </x:c>
      <x:c r="E758" t="str">
        <x:v>North West</x:v>
      </x:c>
      <x:c r="F758" t="str">
        <x:v>Marketplace</x:v>
      </x:c>
      <x:c r="G758" t="str">
        <x:v>Home</x:v>
      </x:c>
      <x:c r="H758" t="str">
        <x:v>Coffee Maker</x:v>
      </x:c>
      <x:c r="I758" t="n">
        <x:v>3</x:v>
      </x:c>
      <x:c r="J758" s="4" t="n">
        <x:v>78.61</x:v>
      </x:c>
      <x:c r="K758" s="4" t="n">
        <x:v>41</x:v>
      </x:c>
      <x:c r="L758" s="5" t="n">
        <x:v>0</x:v>
      </x:c>
      <x:c r="M758" s="4" t="n">
        <x:f>ROUND(I758*J758*(1-L758),2)</x:f>
        <x:v>235.83</x:v>
      </x:c>
      <x:c r="N758" s="4" t="n">
        <x:f>ROUND(I758*K758,2)</x:f>
        <x:v>123</x:v>
      </x:c>
      <x:c r="O758" s="4" t="n">
        <x:f>ROUND(M758-N758,2)</x:f>
        <x:v>112.83</x:v>
      </x:c>
      <x:c r="P758" s="6" t="n">
        <x:v>3.8</x:v>
      </x:c>
      <x:c r="Q758" t="str">
        <x:v>No</x:v>
      </x:c>
    </x:row>
    <x:row r="759">
      <x:c r="A759" t="str">
        <x:v>ORD-00457</x:v>
      </x:c>
      <x:c r="B759" s="3" t="n">
        <x:v>45617.42139315972</x:v>
      </x:c>
      <x:c r="C759" t="str">
        <x:v>2024-11</x:v>
      </x:c>
      <x:c r="D759" t="str">
        <x:v>CUS-0035</x:v>
      </x:c>
      <x:c r="E759" t="str">
        <x:v>South West</x:v>
      </x:c>
      <x:c r="F759" t="str">
        <x:v>Marketplace</x:v>
      </x:c>
      <x:c r="G759" t="str">
        <x:v>Fashion</x:v>
      </x:c>
      <x:c r="H759" t="str">
        <x:v>Classic Trainers</x:v>
      </x:c>
      <x:c r="I759" t="n">
        <x:v>1</x:v>
      </x:c>
      <x:c r="J759" s="4" t="n">
        <x:v>69.14</x:v>
      </x:c>
      <x:c r="K759" s="4" t="n">
        <x:v>32</x:v>
      </x:c>
      <x:c r="L759" s="5" t="n">
        <x:v>0.05</x:v>
      </x:c>
      <x:c r="M759" s="4" t="n">
        <x:f>ROUND(I759*J759*(1-L759),2)</x:f>
        <x:v>65.68</x:v>
      </x:c>
      <x:c r="N759" s="4" t="n">
        <x:f>ROUND(I759*K759,2)</x:f>
        <x:v>32</x:v>
      </x:c>
      <x:c r="O759" s="4" t="n">
        <x:f>ROUND(M759-N759,2)</x:f>
        <x:v>33.68</x:v>
      </x:c>
      <x:c r="P759" s="6" t="n">
        <x:v>3.3</x:v>
      </x:c>
      <x:c r="Q759" t="str">
        <x:v>No</x:v>
      </x:c>
    </x:row>
    <x:row r="760">
      <x:c r="A760" t="str">
        <x:v>ORD-01057</x:v>
      </x:c>
      <x:c r="B760" s="3" t="n">
        <x:v>45617.42327230324</x:v>
      </x:c>
      <x:c r="C760" t="str">
        <x:v>2024-11</x:v>
      </x:c>
      <x:c r="D760" t="str">
        <x:v>CUS-0373</x:v>
      </x:c>
      <x:c r="E760" t="str">
        <x:v>South West</x:v>
      </x:c>
      <x:c r="F760" t="str">
        <x:v>Online</x:v>
      </x:c>
      <x:c r="G760" t="str">
        <x:v>Electronics</x:v>
      </x:c>
      <x:c r="H760" t="str">
        <x:v>Wireless Headphones</x:v>
      </x:c>
      <x:c r="I760" t="n">
        <x:v>5</x:v>
      </x:c>
      <x:c r="J760" s="4" t="n">
        <x:v>91.18</x:v>
      </x:c>
      <x:c r="K760" s="4" t="n">
        <x:v>48</x:v>
      </x:c>
      <x:c r="L760" s="5" t="n">
        <x:v>0.05</x:v>
      </x:c>
      <x:c r="M760" s="4" t="n">
        <x:f>ROUND(I760*J760*(1-L760),2)</x:f>
        <x:v>433.11</x:v>
      </x:c>
      <x:c r="N760" s="4" t="n">
        <x:f>ROUND(I760*K760,2)</x:f>
        <x:v>240</x:v>
      </x:c>
      <x:c r="O760" s="4" t="n">
        <x:f>ROUND(M760-N760,2)</x:f>
        <x:v>193.11</x:v>
      </x:c>
      <x:c r="P760" s="6" t="n">
        <x:v>4.2</x:v>
      </x:c>
      <x:c r="Q760" t="str">
        <x:v>No</x:v>
      </x:c>
    </x:row>
    <x:row r="761">
      <x:c r="A761" t="str">
        <x:v>ORD-00458</x:v>
      </x:c>
      <x:c r="B761" s="3" t="n">
        <x:v>45617.54106478009</x:v>
      </x:c>
      <x:c r="C761" t="str">
        <x:v>2024-11</x:v>
      </x:c>
      <x:c r="D761" t="str">
        <x:v>CUS-0571</x:v>
      </x:c>
      <x:c r="E761" t="str">
        <x:v>Wales</x:v>
      </x:c>
      <x:c r="F761" t="str">
        <x:v>Online</x:v>
      </x:c>
      <x:c r="G761" t="str">
        <x:v>Fashion</x:v>
      </x:c>
      <x:c r="H761" t="str">
        <x:v>Winter Jacket</x:v>
      </x:c>
      <x:c r="I761" t="n">
        <x:v>4</x:v>
      </x:c>
      <x:c r="J761" s="4" t="n">
        <x:v>92.45</x:v>
      </x:c>
      <x:c r="K761" s="4" t="n">
        <x:v>46</x:v>
      </x:c>
      <x:c r="L761" s="5" t="n">
        <x:v>0.1</x:v>
      </x:c>
      <x:c r="M761" s="4" t="n">
        <x:f>ROUND(I761*J761*(1-L761),2)</x:f>
        <x:v>332.82</x:v>
      </x:c>
      <x:c r="N761" s="4" t="n">
        <x:f>ROUND(I761*K761,2)</x:f>
        <x:v>184</x:v>
      </x:c>
      <x:c r="O761" s="4" t="n">
        <x:f>ROUND(M761-N761,2)</x:f>
        <x:v>148.82</x:v>
      </x:c>
      <x:c r="P761" s="6" t="n">
        <x:v>3.7</x:v>
      </x:c>
      <x:c r="Q761" t="str">
        <x:v>No</x:v>
      </x:c>
    </x:row>
    <x:row r="762">
      <x:c r="A762" t="str">
        <x:v>ORD-00744</x:v>
      </x:c>
      <x:c r="B762" s="3" t="n">
        <x:v>45617.71229773148</x:v>
      </x:c>
      <x:c r="C762" t="str">
        <x:v>2024-11</x:v>
      </x:c>
      <x:c r="D762" t="str">
        <x:v>CUS-0025</x:v>
      </x:c>
      <x:c r="E762" t="str">
        <x:v>Scotland</x:v>
      </x:c>
      <x:c r="F762" t="str">
        <x:v>Online</x:v>
      </x:c>
      <x:c r="G762" t="str">
        <x:v>Electronics</x:v>
      </x:c>
      <x:c r="H762" t="str">
        <x:v>Wireless Headphones</x:v>
      </x:c>
      <x:c r="I762" t="n">
        <x:v>2</x:v>
      </x:c>
      <x:c r="J762" s="4" t="n">
        <x:v>89.49</x:v>
      </x:c>
      <x:c r="K762" s="4" t="n">
        <x:v>48</x:v>
      </x:c>
      <x:c r="L762" s="5" t="n">
        <x:v>0</x:v>
      </x:c>
      <x:c r="M762" s="4" t="n">
        <x:f>ROUND(I762*J762*(1-L762),2)</x:f>
        <x:v>178.98</x:v>
      </x:c>
      <x:c r="N762" s="4" t="n">
        <x:f>ROUND(I762*K762,2)</x:f>
        <x:v>96</x:v>
      </x:c>
      <x:c r="O762" s="4" t="n">
        <x:f>ROUND(M762-N762,2)</x:f>
        <x:v>82.98</x:v>
      </x:c>
      <x:c r="P762" s="6" t="n">
        <x:v>3.3</x:v>
      </x:c>
      <x:c r="Q762" t="str">
        <x:v>No</x:v>
      </x:c>
    </x:row>
    <x:row r="763">
      <x:c r="A763" t="str">
        <x:v>ORD-00629</x:v>
      </x:c>
      <x:c r="B763" s="3" t="n">
        <x:v>45617.81030204861</x:v>
      </x:c>
      <x:c r="C763" t="str">
        <x:v>2024-11</x:v>
      </x:c>
      <x:c r="D763" t="str">
        <x:v>CUS-0188</x:v>
      </x:c>
      <x:c r="E763" t="str">
        <x:v>Scotland</x:v>
      </x:c>
      <x:c r="F763" t="str">
        <x:v>Store</x:v>
      </x:c>
      <x:c r="G763" t="str">
        <x:v>Sports</x:v>
      </x:c>
      <x:c r="H763" t="str">
        <x:v>Fitness Tracker</x:v>
      </x:c>
      <x:c r="I763" t="n">
        <x:v>1</x:v>
      </x:c>
      <x:c r="J763" s="4" t="n">
        <x:v>54.72</x:v>
      </x:c>
      <x:c r="K763" s="4" t="n">
        <x:v>27</x:v>
      </x:c>
      <x:c r="L763" s="5" t="n">
        <x:v>0</x:v>
      </x:c>
      <x:c r="M763" s="4" t="n">
        <x:f>ROUND(I763*J763*(1-L763),2)</x:f>
        <x:v>54.72</x:v>
      </x:c>
      <x:c r="N763" s="4" t="n">
        <x:f>ROUND(I763*K763,2)</x:f>
        <x:v>27</x:v>
      </x:c>
      <x:c r="O763" s="4" t="n">
        <x:f>ROUND(M763-N763,2)</x:f>
        <x:v>27.72</x:v>
      </x:c>
      <x:c r="P763" s="6" t="n">
        <x:v>3.5</x:v>
      </x:c>
      <x:c r="Q763" t="str">
        <x:v>No</x:v>
      </x:c>
    </x:row>
    <x:row r="764">
      <x:c r="A764" t="str">
        <x:v>ORD-01380</x:v>
      </x:c>
      <x:c r="B764" s="3" t="n">
        <x:v>45617.94129682871</x:v>
      </x:c>
      <x:c r="C764" t="str">
        <x:v>2024-11</x:v>
      </x:c>
      <x:c r="D764" t="str">
        <x:v>CUS-0530</x:v>
      </x:c>
      <x:c r="E764" t="str">
        <x:v>North East</x:v>
      </x:c>
      <x:c r="F764" t="str">
        <x:v>Online</x:v>
      </x:c>
      <x:c r="G764" t="str">
        <x:v>Home</x:v>
      </x:c>
      <x:c r="H764" t="str">
        <x:v>Coffee Maker</x:v>
      </x:c>
      <x:c r="I764" t="n">
        <x:v>2</x:v>
      </x:c>
      <x:c r="J764" s="4" t="n">
        <x:v>73.75</x:v>
      </x:c>
      <x:c r="K764" s="4" t="n">
        <x:v>41</x:v>
      </x:c>
      <x:c r="L764" s="5" t="n">
        <x:v>0.05</x:v>
      </x:c>
      <x:c r="M764" s="4" t="n">
        <x:f>ROUND(I764*J764*(1-L764),2)</x:f>
        <x:v>140.13</x:v>
      </x:c>
      <x:c r="N764" s="4" t="n">
        <x:f>ROUND(I764*K764,2)</x:f>
        <x:v>82</x:v>
      </x:c>
      <x:c r="O764" s="4" t="n">
        <x:f>ROUND(M764-N764,2)</x:f>
        <x:v>58.13</x:v>
      </x:c>
      <x:c r="P764" s="6" t="n">
        <x:v>3.9</x:v>
      </x:c>
      <x:c r="Q764" t="str">
        <x:v>No</x:v>
      </x:c>
    </x:row>
    <x:row r="765">
      <x:c r="A765" t="str">
        <x:v>ORD-01780</x:v>
      </x:c>
      <x:c r="B765" s="3" t="n">
        <x:v>45618.66015394676</x:v>
      </x:c>
      <x:c r="C765" t="str">
        <x:v>2024-11</x:v>
      </x:c>
      <x:c r="D765" t="str">
        <x:v>CUS-0203</x:v>
      </x:c>
      <x:c r="E765" t="str">
        <x:v>Wales</x:v>
      </x:c>
      <x:c r="F765" t="str">
        <x:v>Online</x:v>
      </x:c>
      <x:c r="G765" t="str">
        <x:v>Home</x:v>
      </x:c>
      <x:c r="H765" t="str">
        <x:v>Desk Lamp</x:v>
      </x:c>
      <x:c r="I765" t="n">
        <x:v>3</x:v>
      </x:c>
      <x:c r="J765" s="4" t="n">
        <x:v>35.51</x:v>
      </x:c>
      <x:c r="K765" s="4" t="n">
        <x:v>17</x:v>
      </x:c>
      <x:c r="L765" s="5" t="n">
        <x:v>0</x:v>
      </x:c>
      <x:c r="M765" s="4" t="n">
        <x:f>ROUND(I765*J765*(1-L765),2)</x:f>
        <x:v>106.53</x:v>
      </x:c>
      <x:c r="N765" s="4" t="n">
        <x:f>ROUND(I765*K765,2)</x:f>
        <x:v>51</x:v>
      </x:c>
      <x:c r="O765" s="4" t="n">
        <x:f>ROUND(M765-N765,2)</x:f>
        <x:v>55.53</x:v>
      </x:c>
      <x:c r="P765" s="6" t="n">
        <x:v>3.4</x:v>
      </x:c>
      <x:c r="Q765" t="str">
        <x:v>No</x:v>
      </x:c>
    </x:row>
    <x:row r="766">
      <x:c r="A766" t="str">
        <x:v>ORD-00874</x:v>
      </x:c>
      <x:c r="B766" s="3" t="n">
        <x:v>45619.590418645836</x:v>
      </x:c>
      <x:c r="C766" t="str">
        <x:v>2024-11</x:v>
      </x:c>
      <x:c r="D766" t="str">
        <x:v>CUS-0175</x:v>
      </x:c>
      <x:c r="E766" t="str">
        <x:v>Scotland</x:v>
      </x:c>
      <x:c r="F766" t="str">
        <x:v>Marketplace</x:v>
      </x:c>
      <x:c r="G766" t="str">
        <x:v>Sports</x:v>
      </x:c>
      <x:c r="H766" t="str">
        <x:v>Yoga Mat</x:v>
      </x:c>
      <x:c r="I766" t="n">
        <x:v>5</x:v>
      </x:c>
      <x:c r="J766" s="4" t="n">
        <x:v>30.47</x:v>
      </x:c>
      <x:c r="K766" s="4" t="n">
        <x:v>12</x:v>
      </x:c>
      <x:c r="L766" s="5" t="n">
        <x:v>0.1</x:v>
      </x:c>
      <x:c r="M766" s="4" t="n">
        <x:f>ROUND(I766*J766*(1-L766),2)</x:f>
        <x:v>137.12</x:v>
      </x:c>
      <x:c r="N766" s="4" t="n">
        <x:f>ROUND(I766*K766,2)</x:f>
        <x:v>60</x:v>
      </x:c>
      <x:c r="O766" s="4" t="n">
        <x:f>ROUND(M766-N766,2)</x:f>
        <x:v>77.12</x:v>
      </x:c>
      <x:c r="P766" s="6" t="n">
        <x:v>4.9</x:v>
      </x:c>
      <x:c r="Q766" t="str">
        <x:v>No</x:v>
      </x:c>
    </x:row>
    <x:row r="767">
      <x:c r="A767" t="str">
        <x:v>ORD-00302</x:v>
      </x:c>
      <x:c r="B767" s="3" t="n">
        <x:v>45619.634497037034</x:v>
      </x:c>
      <x:c r="C767" t="str">
        <x:v>2024-11</x:v>
      </x:c>
      <x:c r="D767" t="str">
        <x:v>CUS-0435</x:v>
      </x:c>
      <x:c r="E767" t="str">
        <x:v>Midlands</x:v>
      </x:c>
      <x:c r="F767" t="str">
        <x:v>Online</x:v>
      </x:c>
      <x:c r="G767" t="str">
        <x:v>Books</x:v>
      </x:c>
      <x:c r="H767" t="str">
        <x:v>Business Intelligence Guide</x:v>
      </x:c>
      <x:c r="I767" t="n">
        <x:v>4</x:v>
      </x:c>
      <x:c r="J767" s="4" t="n">
        <x:v>34.41</x:v>
      </x:c>
      <x:c r="K767" s="4" t="n">
        <x:v>12</x:v>
      </x:c>
      <x:c r="L767" s="5" t="n">
        <x:v>0</x:v>
      </x:c>
      <x:c r="M767" s="4" t="n">
        <x:f>ROUND(I767*J767*(1-L767),2)</x:f>
        <x:v>137.64</x:v>
      </x:c>
      <x:c r="N767" s="4" t="n">
        <x:f>ROUND(I767*K767,2)</x:f>
        <x:v>48</x:v>
      </x:c>
      <x:c r="O767" s="4" t="n">
        <x:f>ROUND(M767-N767,2)</x:f>
        <x:v>89.64</x:v>
      </x:c>
      <x:c r="P767" s="6" t="n">
        <x:v>4.3</x:v>
      </x:c>
      <x:c r="Q767" t="str">
        <x:v>No</x:v>
      </x:c>
    </x:row>
    <x:row r="768">
      <x:c r="A768" t="str">
        <x:v>ORD-00042</x:v>
      </x:c>
      <x:c r="B768" s="3" t="n">
        <x:v>45619.671589143516</x:v>
      </x:c>
      <x:c r="C768" t="str">
        <x:v>2024-11</x:v>
      </x:c>
      <x:c r="D768" t="str">
        <x:v>CUS-0481</x:v>
      </x:c>
      <x:c r="E768" t="str">
        <x:v>North East</x:v>
      </x:c>
      <x:c r="F768" t="str">
        <x:v>Online</x:v>
      </x:c>
      <x:c r="G768" t="str">
        <x:v>Fashion</x:v>
      </x:c>
      <x:c r="H768" t="str">
        <x:v>Winter Jacket</x:v>
      </x:c>
      <x:c r="I768" t="n">
        <x:v>1</x:v>
      </x:c>
      <x:c r="J768" s="4" t="n">
        <x:v>94.9</x:v>
      </x:c>
      <x:c r="K768" s="4" t="n">
        <x:v>46</x:v>
      </x:c>
      <x:c r="L768" s="5" t="n">
        <x:v>0.05</x:v>
      </x:c>
      <x:c r="M768" s="4" t="n">
        <x:f>ROUND(I768*J768*(1-L768),2)</x:f>
        <x:v>90.16</x:v>
      </x:c>
      <x:c r="N768" s="4" t="n">
        <x:f>ROUND(I768*K768,2)</x:f>
        <x:v>46</x:v>
      </x:c>
      <x:c r="O768" s="4" t="n">
        <x:f>ROUND(M768-N768,2)</x:f>
        <x:v>44.16</x:v>
      </x:c>
      <x:c r="P768" s="6" t="n">
        <x:v>4.8</x:v>
      </x:c>
      <x:c r="Q768" t="str">
        <x:v>No</x:v>
      </x:c>
    </x:row>
    <x:row r="769">
      <x:c r="A769" t="str">
        <x:v>ORD-01232</x:v>
      </x:c>
      <x:c r="B769" s="3" t="n">
        <x:v>45619.77625239583</x:v>
      </x:c>
      <x:c r="C769" t="str">
        <x:v>2024-11</x:v>
      </x:c>
      <x:c r="D769" t="str">
        <x:v>CUS-0128</x:v>
      </x:c>
      <x:c r="E769" t="str">
        <x:v>North East</x:v>
      </x:c>
      <x:c r="F769" t="str">
        <x:v>Marketplace</x:v>
      </x:c>
      <x:c r="G769" t="str">
        <x:v>Home</x:v>
      </x:c>
      <x:c r="H769" t="str">
        <x:v>Coffee Maker</x:v>
      </x:c>
      <x:c r="I769" t="n">
        <x:v>3</x:v>
      </x:c>
      <x:c r="J769" s="4" t="n">
        <x:v>76.67</x:v>
      </x:c>
      <x:c r="K769" s="4" t="n">
        <x:v>41</x:v>
      </x:c>
      <x:c r="L769" s="5" t="n">
        <x:v>0.1</x:v>
      </x:c>
      <x:c r="M769" s="4" t="n">
        <x:f>ROUND(I769*J769*(1-L769),2)</x:f>
        <x:v>207.01</x:v>
      </x:c>
      <x:c r="N769" s="4" t="n">
        <x:f>ROUND(I769*K769,2)</x:f>
        <x:v>123</x:v>
      </x:c>
      <x:c r="O769" s="4" t="n">
        <x:f>ROUND(M769-N769,2)</x:f>
        <x:v>84.01</x:v>
      </x:c>
      <x:c r="P769" s="6" t="n">
        <x:v>4.7</x:v>
      </x:c>
      <x:c r="Q769" t="str">
        <x:v>No</x:v>
      </x:c>
    </x:row>
    <x:row r="770">
      <x:c r="A770" t="str">
        <x:v>ORD-00757</x:v>
      </x:c>
      <x:c r="B770" s="3" t="n">
        <x:v>45619.84006490741</x:v>
      </x:c>
      <x:c r="C770" t="str">
        <x:v>2024-11</x:v>
      </x:c>
      <x:c r="D770" t="str">
        <x:v>CUS-0380</x:v>
      </x:c>
      <x:c r="E770" t="str">
        <x:v>South East</x:v>
      </x:c>
      <x:c r="F770" t="str">
        <x:v>Marketplace</x:v>
      </x:c>
      <x:c r="G770" t="str">
        <x:v>Fashion</x:v>
      </x:c>
      <x:c r="H770" t="str">
        <x:v>Classic Trainers</x:v>
      </x:c>
      <x:c r="I770" t="n">
        <x:v>3</x:v>
      </x:c>
      <x:c r="J770" s="4" t="n">
        <x:v>68.05</x:v>
      </x:c>
      <x:c r="K770" s="4" t="n">
        <x:v>32</x:v>
      </x:c>
      <x:c r="L770" s="5" t="n">
        <x:v>0.15</x:v>
      </x:c>
      <x:c r="M770" s="4" t="n">
        <x:f>ROUND(I770*J770*(1-L770),2)</x:f>
        <x:v>173.53</x:v>
      </x:c>
      <x:c r="N770" s="4" t="n">
        <x:f>ROUND(I770*K770,2)</x:f>
        <x:v>96</x:v>
      </x:c>
      <x:c r="O770" s="4" t="n">
        <x:f>ROUND(M770-N770,2)</x:f>
        <x:v>77.53</x:v>
      </x:c>
      <x:c r="P770" s="6" t="n">
        <x:v>3.5</x:v>
      </x:c>
      <x:c r="Q770" t="str">
        <x:v>No</x:v>
      </x:c>
    </x:row>
    <x:row r="771">
      <x:c r="A771" t="str">
        <x:v>ORD-00404</x:v>
      </x:c>
      <x:c r="B771" s="3" t="n">
        <x:v>45620.085989583335</x:v>
      </x:c>
      <x:c r="C771" t="str">
        <x:v>2024-11</x:v>
      </x:c>
      <x:c r="D771" t="str">
        <x:v>CUS-0593</x:v>
      </x:c>
      <x:c r="E771" t="str">
        <x:v>North West</x:v>
      </x:c>
      <x:c r="F771" t="str">
        <x:v>Marketplace</x:v>
      </x:c>
      <x:c r="G771" t="str">
        <x:v>Sports</x:v>
      </x:c>
      <x:c r="H771" t="str">
        <x:v>Yoga Mat</x:v>
      </x:c>
      <x:c r="I771" t="n">
        <x:v>5</x:v>
      </x:c>
      <x:c r="J771" s="4" t="n">
        <x:v>29.32</x:v>
      </x:c>
      <x:c r="K771" s="4" t="n">
        <x:v>12</x:v>
      </x:c>
      <x:c r="L771" s="5" t="n">
        <x:v>0.1</x:v>
      </x:c>
      <x:c r="M771" s="4" t="n">
        <x:f>ROUND(I771*J771*(1-L771),2)</x:f>
        <x:v>131.94</x:v>
      </x:c>
      <x:c r="N771" s="4" t="n">
        <x:f>ROUND(I771*K771,2)</x:f>
        <x:v>60</x:v>
      </x:c>
      <x:c r="O771" s="4" t="n">
        <x:f>ROUND(M771-N771,2)</x:f>
        <x:v>71.94</x:v>
      </x:c>
      <x:c r="P771" s="6" t="n">
        <x:v>4.3</x:v>
      </x:c>
      <x:c r="Q771" t="str">
        <x:v>No</x:v>
      </x:c>
    </x:row>
    <x:row r="772">
      <x:c r="A772" t="str">
        <x:v>ORD-00020</x:v>
      </x:c>
      <x:c r="B772" s="3" t="n">
        <x:v>45620.6894490625</x:v>
      </x:c>
      <x:c r="C772" t="str">
        <x:v>2024-11</x:v>
      </x:c>
      <x:c r="D772" t="str">
        <x:v>CUS-0262</x:v>
      </x:c>
      <x:c r="E772" t="str">
        <x:v>North East</x:v>
      </x:c>
      <x:c r="F772" t="str">
        <x:v>Store</x:v>
      </x:c>
      <x:c r="G772" t="str">
        <x:v>Sports</x:v>
      </x:c>
      <x:c r="H772" t="str">
        <x:v>Yoga Mat</x:v>
      </x:c>
      <x:c r="I772" t="n">
        <x:v>2</x:v>
      </x:c>
      <x:c r="J772" s="4" t="n">
        <x:v>30.14</x:v>
      </x:c>
      <x:c r="K772" s="4" t="n">
        <x:v>12</x:v>
      </x:c>
      <x:c r="L772" s="5" t="n">
        <x:v>0.1</x:v>
      </x:c>
      <x:c r="M772" s="4" t="n">
        <x:f>ROUND(I772*J772*(1-L772),2)</x:f>
        <x:v>54.25</x:v>
      </x:c>
      <x:c r="N772" s="4" t="n">
        <x:f>ROUND(I772*K772,2)</x:f>
        <x:v>24</x:v>
      </x:c>
      <x:c r="O772" s="4" t="n">
        <x:f>ROUND(M772-N772,2)</x:f>
        <x:v>30.25</x:v>
      </x:c>
      <x:c r="P772" s="6" t="n">
        <x:v>5</x:v>
      </x:c>
      <x:c r="Q772" t="str">
        <x:v>No</x:v>
      </x:c>
    </x:row>
    <x:row r="773">
      <x:c r="A773" t="str">
        <x:v>ORD-00316</x:v>
      </x:c>
      <x:c r="B773" s="3" t="n">
        <x:v>45620.96336686343</x:v>
      </x:c>
      <x:c r="C773" t="str">
        <x:v>2024-11</x:v>
      </x:c>
      <x:c r="D773" t="str">
        <x:v>CUS-0436</x:v>
      </x:c>
      <x:c r="E773" t="str">
        <x:v>Midlands</x:v>
      </x:c>
      <x:c r="F773" t="str">
        <x:v>Marketplace</x:v>
      </x:c>
      <x:c r="G773" t="str">
        <x:v>Electronics</x:v>
      </x:c>
      <x:c r="H773" t="str">
        <x:v>Wireless Headphones</x:v>
      </x:c>
      <x:c r="I773" t="n">
        <x:v>3</x:v>
      </x:c>
      <x:c r="J773" s="4" t="n">
        <x:v>86.63</x:v>
      </x:c>
      <x:c r="K773" s="4" t="n">
        <x:v>48</x:v>
      </x:c>
      <x:c r="L773" s="5" t="n">
        <x:v>0.05</x:v>
      </x:c>
      <x:c r="M773" s="4" t="n">
        <x:f>ROUND(I773*J773*(1-L773),2)</x:f>
        <x:v>246.9</x:v>
      </x:c>
      <x:c r="N773" s="4" t="n">
        <x:f>ROUND(I773*K773,2)</x:f>
        <x:v>144</x:v>
      </x:c>
      <x:c r="O773" s="4" t="n">
        <x:f>ROUND(M773-N773,2)</x:f>
        <x:v>102.9</x:v>
      </x:c>
      <x:c r="P773" s="6" t="n">
        <x:v>3.2</x:v>
      </x:c>
      <x:c r="Q773" t="str">
        <x:v>No</x:v>
      </x:c>
    </x:row>
    <x:row r="774">
      <x:c r="A774" t="str">
        <x:v>ORD-01657</x:v>
      </x:c>
      <x:c r="B774" s="3" t="n">
        <x:v>45621.22439203704</x:v>
      </x:c>
      <x:c r="C774" t="str">
        <x:v>2024-11</x:v>
      </x:c>
      <x:c r="D774" t="str">
        <x:v>CUS-0063</x:v>
      </x:c>
      <x:c r="E774" t="str">
        <x:v>South East</x:v>
      </x:c>
      <x:c r="F774" t="str">
        <x:v>Online</x:v>
      </x:c>
      <x:c r="G774" t="str">
        <x:v>Home</x:v>
      </x:c>
      <x:c r="H774" t="str">
        <x:v>Coffee Maker</x:v>
      </x:c>
      <x:c r="I774" t="n">
        <x:v>3</x:v>
      </x:c>
      <x:c r="J774" s="4" t="n">
        <x:v>77.71</x:v>
      </x:c>
      <x:c r="K774" s="4" t="n">
        <x:v>41</x:v>
      </x:c>
      <x:c r="L774" s="5" t="n">
        <x:v>0.05</x:v>
      </x:c>
      <x:c r="M774" s="4" t="n">
        <x:f>ROUND(I774*J774*(1-L774),2)</x:f>
        <x:v>221.47</x:v>
      </x:c>
      <x:c r="N774" s="4" t="n">
        <x:f>ROUND(I774*K774,2)</x:f>
        <x:v>123</x:v>
      </x:c>
      <x:c r="O774" s="4" t="n">
        <x:f>ROUND(M774-N774,2)</x:f>
        <x:v>98.47</x:v>
      </x:c>
      <x:c r="P774" s="6" t="n">
        <x:v>5</x:v>
      </x:c>
      <x:c r="Q774" t="str">
        <x:v>No</x:v>
      </x:c>
    </x:row>
    <x:row r="775">
      <x:c r="A775" t="str">
        <x:v>ORD-00412</x:v>
      </x:c>
      <x:c r="B775" s="3" t="n">
        <x:v>45621.41191491898</x:v>
      </x:c>
      <x:c r="C775" t="str">
        <x:v>2024-11</x:v>
      </x:c>
      <x:c r="D775" t="str">
        <x:v>CUS-0417</x:v>
      </x:c>
      <x:c r="E775" t="str">
        <x:v>South West</x:v>
      </x:c>
      <x:c r="F775" t="str">
        <x:v>Store</x:v>
      </x:c>
      <x:c r="G775" t="str">
        <x:v>Beauty</x:v>
      </x:c>
      <x:c r="H775" t="str">
        <x:v>Skin Care Set</x:v>
      </x:c>
      <x:c r="I775" t="n">
        <x:v>3</x:v>
      </x:c>
      <x:c r="J775" s="4" t="n">
        <x:v>46.33</x:v>
      </x:c>
      <x:c r="K775" s="4" t="n">
        <x:v>18</x:v>
      </x:c>
      <x:c r="L775" s="5" t="n">
        <x:v>0</x:v>
      </x:c>
      <x:c r="M775" s="4" t="n">
        <x:f>ROUND(I775*J775*(1-L775),2)</x:f>
        <x:v>138.99</x:v>
      </x:c>
      <x:c r="N775" s="4" t="n">
        <x:f>ROUND(I775*K775,2)</x:f>
        <x:v>54</x:v>
      </x:c>
      <x:c r="O775" s="4" t="n">
        <x:f>ROUND(M775-N775,2)</x:f>
        <x:v>84.99</x:v>
      </x:c>
      <x:c r="P775" s="6" t="n">
        <x:v>3.4</x:v>
      </x:c>
      <x:c r="Q775" t="str">
        <x:v>No</x:v>
      </x:c>
    </x:row>
    <x:row r="776">
      <x:c r="A776" t="str">
        <x:v>ORD-00201</x:v>
      </x:c>
      <x:c r="B776" s="3" t="n">
        <x:v>45621.780103206016</x:v>
      </x:c>
      <x:c r="C776" t="str">
        <x:v>2024-11</x:v>
      </x:c>
      <x:c r="D776" t="str">
        <x:v>CUS-0122</x:v>
      </x:c>
      <x:c r="E776" t="str">
        <x:v>South West</x:v>
      </x:c>
      <x:c r="F776" t="str">
        <x:v>Store</x:v>
      </x:c>
      <x:c r="G776" t="str">
        <x:v>Home</x:v>
      </x:c>
      <x:c r="H776" t="str">
        <x:v>Desk Lamp</x:v>
      </x:c>
      <x:c r="I776" t="n">
        <x:v>4</x:v>
      </x:c>
      <x:c r="J776" s="4" t="n">
        <x:v>33.95</x:v>
      </x:c>
      <x:c r="K776" s="4" t="n">
        <x:v>17</x:v>
      </x:c>
      <x:c r="L776" s="5" t="n">
        <x:v>0.15</x:v>
      </x:c>
      <x:c r="M776" s="4" t="n">
        <x:f>ROUND(I776*J776*(1-L776),2)</x:f>
        <x:v>115.43</x:v>
      </x:c>
      <x:c r="N776" s="4" t="n">
        <x:f>ROUND(I776*K776,2)</x:f>
        <x:v>68</x:v>
      </x:c>
      <x:c r="O776" s="4" t="n">
        <x:f>ROUND(M776-N776,2)</x:f>
        <x:v>47.43</x:v>
      </x:c>
      <x:c r="P776" s="6" t="n">
        <x:v>3.8</x:v>
      </x:c>
      <x:c r="Q776" t="str">
        <x:v>Yes</x:v>
      </x:c>
    </x:row>
    <x:row r="777">
      <x:c r="A777" t="str">
        <x:v>ORD-00631</x:v>
      </x:c>
      <x:c r="B777" s="3" t="n">
        <x:v>45621.84852962963</x:v>
      </x:c>
      <x:c r="C777" t="str">
        <x:v>2024-11</x:v>
      </x:c>
      <x:c r="D777" t="str">
        <x:v>CUS-0330</x:v>
      </x:c>
      <x:c r="E777" t="str">
        <x:v>Wales</x:v>
      </x:c>
      <x:c r="F777" t="str">
        <x:v>Online</x:v>
      </x:c>
      <x:c r="G777" t="str">
        <x:v>Home</x:v>
      </x:c>
      <x:c r="H777" t="str">
        <x:v>Desk Lamp</x:v>
      </x:c>
      <x:c r="I777" t="n">
        <x:v>5</x:v>
      </x:c>
      <x:c r="J777" s="4" t="n">
        <x:v>35.16</x:v>
      </x:c>
      <x:c r="K777" s="4" t="n">
        <x:v>17</x:v>
      </x:c>
      <x:c r="L777" s="5" t="n">
        <x:v>0</x:v>
      </x:c>
      <x:c r="M777" s="4" t="n">
        <x:f>ROUND(I777*J777*(1-L777),2)</x:f>
        <x:v>175.8</x:v>
      </x:c>
      <x:c r="N777" s="4" t="n">
        <x:f>ROUND(I777*K777,2)</x:f>
        <x:v>85</x:v>
      </x:c>
      <x:c r="O777" s="4" t="n">
        <x:f>ROUND(M777-N777,2)</x:f>
        <x:v>90.8</x:v>
      </x:c>
      <x:c r="P777" s="6" t="n">
        <x:v>4.5</x:v>
      </x:c>
      <x:c r="Q777" t="str">
        <x:v>No</x:v>
      </x:c>
    </x:row>
    <x:row r="778">
      <x:c r="A778" t="str">
        <x:v>ORD-00355</x:v>
      </x:c>
      <x:c r="B778" s="3" t="n">
        <x:v>45622.03001971065</x:v>
      </x:c>
      <x:c r="C778" t="str">
        <x:v>2024-11</x:v>
      </x:c>
      <x:c r="D778" t="str">
        <x:v>CUS-0543</x:v>
      </x:c>
      <x:c r="E778" t="str">
        <x:v>Scotland</x:v>
      </x:c>
      <x:c r="F778" t="str">
        <x:v>Online</x:v>
      </x:c>
      <x:c r="G778" t="str">
        <x:v>Home</x:v>
      </x:c>
      <x:c r="H778" t="str">
        <x:v>Coffee Maker</x:v>
      </x:c>
      <x:c r="I778" t="n">
        <x:v>3</x:v>
      </x:c>
      <x:c r="J778" s="4" t="n">
        <x:v>75.92</x:v>
      </x:c>
      <x:c r="K778" s="4" t="n">
        <x:v>41</x:v>
      </x:c>
      <x:c r="L778" s="5" t="n">
        <x:v>0.1</x:v>
      </x:c>
      <x:c r="M778" s="4" t="n">
        <x:f>ROUND(I778*J778*(1-L778),2)</x:f>
        <x:v>204.98</x:v>
      </x:c>
      <x:c r="N778" s="4" t="n">
        <x:f>ROUND(I778*K778,2)</x:f>
        <x:v>123</x:v>
      </x:c>
      <x:c r="O778" s="4" t="n">
        <x:f>ROUND(M778-N778,2)</x:f>
        <x:v>81.98</x:v>
      </x:c>
      <x:c r="P778" s="6" t="n">
        <x:v>3.8</x:v>
      </x:c>
      <x:c r="Q778" t="str">
        <x:v>No</x:v>
      </x:c>
    </x:row>
    <x:row r="779">
      <x:c r="A779" t="str">
        <x:v>ORD-00192</x:v>
      </x:c>
      <x:c r="B779" s="3" t="n">
        <x:v>45622.06207435185</x:v>
      </x:c>
      <x:c r="C779" t="str">
        <x:v>2024-11</x:v>
      </x:c>
      <x:c r="D779" t="str">
        <x:v>CUS-0542</x:v>
      </x:c>
      <x:c r="E779" t="str">
        <x:v>Scotland</x:v>
      </x:c>
      <x:c r="F779" t="str">
        <x:v>Marketplace</x:v>
      </x:c>
      <x:c r="G779" t="str">
        <x:v>Home</x:v>
      </x:c>
      <x:c r="H779" t="str">
        <x:v>Air Fryer</x:v>
      </x:c>
      <x:c r="I779" t="n">
        <x:v>4</x:v>
      </x:c>
      <x:c r="J779" s="4" t="n">
        <x:v>122.25</x:v>
      </x:c>
      <x:c r="K779" s="4" t="n">
        <x:v>69</x:v>
      </x:c>
      <x:c r="L779" s="5" t="n">
        <x:v>0.05</x:v>
      </x:c>
      <x:c r="M779" s="4" t="n">
        <x:f>ROUND(I779*J779*(1-L779),2)</x:f>
        <x:v>464.55</x:v>
      </x:c>
      <x:c r="N779" s="4" t="n">
        <x:f>ROUND(I779*K779,2)</x:f>
        <x:v>276</x:v>
      </x:c>
      <x:c r="O779" s="4" t="n">
        <x:f>ROUND(M779-N779,2)</x:f>
        <x:v>188.55</x:v>
      </x:c>
      <x:c r="P779" s="6" t="n">
        <x:v>4.9</x:v>
      </x:c>
      <x:c r="Q779" t="str">
        <x:v>No</x:v>
      </x:c>
    </x:row>
    <x:row r="780">
      <x:c r="A780" t="str">
        <x:v>ORD-01303</x:v>
      </x:c>
      <x:c r="B780" s="3" t="n">
        <x:v>45623.17054708333</x:v>
      </x:c>
      <x:c r="C780" t="str">
        <x:v>2024-11</x:v>
      </x:c>
      <x:c r="D780" t="str">
        <x:v>CUS-0525</x:v>
      </x:c>
      <x:c r="E780" t="str">
        <x:v>North East</x:v>
      </x:c>
      <x:c r="F780" t="str">
        <x:v>Store</x:v>
      </x:c>
      <x:c r="G780" t="str">
        <x:v>Beauty</x:v>
      </x:c>
      <x:c r="H780" t="str">
        <x:v>Skin Care Set</x:v>
      </x:c>
      <x:c r="I780" t="n">
        <x:v>1</x:v>
      </x:c>
      <x:c r="J780" s="4" t="n">
        <x:v>47.19</x:v>
      </x:c>
      <x:c r="K780" s="4" t="n">
        <x:v>18</x:v>
      </x:c>
      <x:c r="L780" s="5" t="n">
        <x:v>0.15</x:v>
      </x:c>
      <x:c r="M780" s="4" t="n">
        <x:f>ROUND(I780*J780*(1-L780),2)</x:f>
        <x:v>40.11</x:v>
      </x:c>
      <x:c r="N780" s="4" t="n">
        <x:f>ROUND(I780*K780,2)</x:f>
        <x:v>18</x:v>
      </x:c>
      <x:c r="O780" s="4" t="n">
        <x:f>ROUND(M780-N780,2)</x:f>
        <x:v>22.11</x:v>
      </x:c>
      <x:c r="P780" s="6" t="n">
        <x:v>4.9</x:v>
      </x:c>
      <x:c r="Q780" t="str">
        <x:v>No</x:v>
      </x:c>
    </x:row>
    <x:row r="781">
      <x:c r="A781" t="str">
        <x:v>ORD-00722</x:v>
      </x:c>
      <x:c r="B781" s="3" t="n">
        <x:v>45624.06681884259</x:v>
      </x:c>
      <x:c r="C781" t="str">
        <x:v>2024-11</x:v>
      </x:c>
      <x:c r="D781" t="str">
        <x:v>CUS-0159</x:v>
      </x:c>
      <x:c r="E781" t="str">
        <x:v>London</x:v>
      </x:c>
      <x:c r="F781" t="str">
        <x:v>Online</x:v>
      </x:c>
      <x:c r="G781" t="str">
        <x:v>Sports</x:v>
      </x:c>
      <x:c r="H781" t="str">
        <x:v>Yoga Mat</x:v>
      </x:c>
      <x:c r="I781" t="n">
        <x:v>5</x:v>
      </x:c>
      <x:c r="J781" s="4" t="n">
        <x:v>30.89</x:v>
      </x:c>
      <x:c r="K781" s="4" t="n">
        <x:v>12</x:v>
      </x:c>
      <x:c r="L781" s="5" t="n">
        <x:v>0</x:v>
      </x:c>
      <x:c r="M781" s="4" t="n">
        <x:f>ROUND(I781*J781*(1-L781),2)</x:f>
        <x:v>154.45</x:v>
      </x:c>
      <x:c r="N781" s="4" t="n">
        <x:f>ROUND(I781*K781,2)</x:f>
        <x:v>60</x:v>
      </x:c>
      <x:c r="O781" s="4" t="n">
        <x:f>ROUND(M781-N781,2)</x:f>
        <x:v>94.45</x:v>
      </x:c>
      <x:c r="P781" s="6" t="n">
        <x:v>4.6</x:v>
      </x:c>
      <x:c r="Q781" t="str">
        <x:v>No</x:v>
      </x:c>
    </x:row>
    <x:row r="782">
      <x:c r="A782" t="str">
        <x:v>ORD-01758</x:v>
      </x:c>
      <x:c r="B782" s="3" t="n">
        <x:v>45624.1222346875</x:v>
      </x:c>
      <x:c r="C782" t="str">
        <x:v>2024-11</x:v>
      </x:c>
      <x:c r="D782" t="str">
        <x:v>CUS-0353</x:v>
      </x:c>
      <x:c r="E782" t="str">
        <x:v>Scotland</x:v>
      </x:c>
      <x:c r="F782" t="str">
        <x:v>Marketplace</x:v>
      </x:c>
      <x:c r="G782" t="str">
        <x:v>Beauty</x:v>
      </x:c>
      <x:c r="H782" t="str">
        <x:v>Skin Care Set</x:v>
      </x:c>
      <x:c r="I782" t="n">
        <x:v>5</x:v>
      </x:c>
      <x:c r="J782" s="4" t="n">
        <x:v>45.51</x:v>
      </x:c>
      <x:c r="K782" s="4" t="n">
        <x:v>18</x:v>
      </x:c>
      <x:c r="L782" s="5" t="n">
        <x:v>0</x:v>
      </x:c>
      <x:c r="M782" s="4" t="n">
        <x:f>ROUND(I782*J782*(1-L782),2)</x:f>
        <x:v>227.55</x:v>
      </x:c>
      <x:c r="N782" s="4" t="n">
        <x:f>ROUND(I782*K782,2)</x:f>
        <x:v>90</x:v>
      </x:c>
      <x:c r="O782" s="4" t="n">
        <x:f>ROUND(M782-N782,2)</x:f>
        <x:v>137.55</x:v>
      </x:c>
      <x:c r="P782" s="6" t="n">
        <x:v>3.9</x:v>
      </x:c>
      <x:c r="Q782" t="str">
        <x:v>No</x:v>
      </x:c>
    </x:row>
    <x:row r="783">
      <x:c r="A783" t="str">
        <x:v>ORD-01458</x:v>
      </x:c>
      <x:c r="B783" s="3" t="n">
        <x:v>45624.24912069445</x:v>
      </x:c>
      <x:c r="C783" t="str">
        <x:v>2024-11</x:v>
      </x:c>
      <x:c r="D783" t="str">
        <x:v>CUS-0144</x:v>
      </x:c>
      <x:c r="E783" t="str">
        <x:v>North East</x:v>
      </x:c>
      <x:c r="F783" t="str">
        <x:v>Marketplace</x:v>
      </x:c>
      <x:c r="G783" t="str">
        <x:v>Electronics</x:v>
      </x:c>
      <x:c r="H783" t="str">
        <x:v>Smart Watch</x:v>
      </x:c>
      <x:c r="I783" t="n">
        <x:v>3</x:v>
      </x:c>
      <x:c r="J783" s="4" t="n">
        <x:v>162.63</x:v>
      </x:c>
      <x:c r="K783" s="4" t="n">
        <x:v>92</x:v>
      </x:c>
      <x:c r="L783" s="5" t="n">
        <x:v>0.1</x:v>
      </x:c>
      <x:c r="M783" s="4" t="n">
        <x:f>ROUND(I783*J783*(1-L783),2)</x:f>
        <x:v>439.1</x:v>
      </x:c>
      <x:c r="N783" s="4" t="n">
        <x:f>ROUND(I783*K783,2)</x:f>
        <x:v>276</x:v>
      </x:c>
      <x:c r="O783" s="4" t="n">
        <x:f>ROUND(M783-N783,2)</x:f>
        <x:v>163.1</x:v>
      </x:c>
      <x:c r="P783" s="6" t="n">
        <x:v>4</x:v>
      </x:c>
      <x:c r="Q783" t="str">
        <x:v>No</x:v>
      </x:c>
    </x:row>
    <x:row r="784">
      <x:c r="A784" t="str">
        <x:v>ORD-00123</x:v>
      </x:c>
      <x:c r="B784" s="3" t="n">
        <x:v>45624.800637430555</x:v>
      </x:c>
      <x:c r="C784" t="str">
        <x:v>2024-11</x:v>
      </x:c>
      <x:c r="D784" t="str">
        <x:v>CUS-0121</x:v>
      </x:c>
      <x:c r="E784" t="str">
        <x:v>London</x:v>
      </x:c>
      <x:c r="F784" t="str">
        <x:v>Online</x:v>
      </x:c>
      <x:c r="G784" t="str">
        <x:v>Fashion</x:v>
      </x:c>
      <x:c r="H784" t="str">
        <x:v>Backpack</x:v>
      </x:c>
      <x:c r="I784" t="n">
        <x:v>2</x:v>
      </x:c>
      <x:c r="J784" s="4" t="n">
        <x:v>50.07</x:v>
      </x:c>
      <x:c r="K784" s="4" t="n">
        <x:v>21</x:v>
      </x:c>
      <x:c r="L784" s="5" t="n">
        <x:v>0.15</x:v>
      </x:c>
      <x:c r="M784" s="4" t="n">
        <x:f>ROUND(I784*J784*(1-L784),2)</x:f>
        <x:v>85.12</x:v>
      </x:c>
      <x:c r="N784" s="4" t="n">
        <x:f>ROUND(I784*K784,2)</x:f>
        <x:v>42</x:v>
      </x:c>
      <x:c r="O784" s="4" t="n">
        <x:f>ROUND(M784-N784,2)</x:f>
        <x:v>43.12</x:v>
      </x:c>
      <x:c r="P784" s="6" t="n">
        <x:v>4.8</x:v>
      </x:c>
      <x:c r="Q784" t="str">
        <x:v>Yes</x:v>
      </x:c>
    </x:row>
    <x:row r="785">
      <x:c r="A785" t="str">
        <x:v>ORD-00254</x:v>
      </x:c>
      <x:c r="B785" s="3" t="n">
        <x:v>45625.37067438658</x:v>
      </x:c>
      <x:c r="C785" t="str">
        <x:v>2024-11</x:v>
      </x:c>
      <x:c r="D785" t="str">
        <x:v>CUS-0419</x:v>
      </x:c>
      <x:c r="E785" t="str">
        <x:v>London</x:v>
      </x:c>
      <x:c r="F785" t="str">
        <x:v>Online</x:v>
      </x:c>
      <x:c r="G785" t="str">
        <x:v>Sports</x:v>
      </x:c>
      <x:c r="H785" t="str">
        <x:v>Yoga Mat</x:v>
      </x:c>
      <x:c r="I785" t="n">
        <x:v>4</x:v>
      </x:c>
      <x:c r="J785" s="4" t="n">
        <x:v>30.94</x:v>
      </x:c>
      <x:c r="K785" s="4" t="n">
        <x:v>12</x:v>
      </x:c>
      <x:c r="L785" s="5" t="n">
        <x:v>0.05</x:v>
      </x:c>
      <x:c r="M785" s="4" t="n">
        <x:f>ROUND(I785*J785*(1-L785),2)</x:f>
        <x:v>117.57</x:v>
      </x:c>
      <x:c r="N785" s="4" t="n">
        <x:f>ROUND(I785*K785,2)</x:f>
        <x:v>48</x:v>
      </x:c>
      <x:c r="O785" s="4" t="n">
        <x:f>ROUND(M785-N785,2)</x:f>
        <x:v>69.57</x:v>
      </x:c>
      <x:c r="P785" s="6" t="n">
        <x:v>5</x:v>
      </x:c>
      <x:c r="Q785" t="str">
        <x:v>No</x:v>
      </x:c>
    </x:row>
    <x:row r="786">
      <x:c r="A786" t="str">
        <x:v>ORD-01772</x:v>
      </x:c>
      <x:c r="B786" s="3" t="n">
        <x:v>45627.138041122686</x:v>
      </x:c>
      <x:c r="C786" t="str">
        <x:v>2024-12</x:v>
      </x:c>
      <x:c r="D786" t="str">
        <x:v>CUS-0522</x:v>
      </x:c>
      <x:c r="E786" t="str">
        <x:v>North West</x:v>
      </x:c>
      <x:c r="F786" t="str">
        <x:v>Online</x:v>
      </x:c>
      <x:c r="G786" t="str">
        <x:v>Home</x:v>
      </x:c>
      <x:c r="H786" t="str">
        <x:v>Desk Lamp</x:v>
      </x:c>
      <x:c r="I786" t="n">
        <x:v>3</x:v>
      </x:c>
      <x:c r="J786" s="4" t="n">
        <x:v>34.22</x:v>
      </x:c>
      <x:c r="K786" s="4" t="n">
        <x:v>17</x:v>
      </x:c>
      <x:c r="L786" s="5" t="n">
        <x:v>0</x:v>
      </x:c>
      <x:c r="M786" s="4" t="n">
        <x:f>ROUND(I786*J786*(1-L786),2)</x:f>
        <x:v>102.66</x:v>
      </x:c>
      <x:c r="N786" s="4" t="n">
        <x:f>ROUND(I786*K786,2)</x:f>
        <x:v>51</x:v>
      </x:c>
      <x:c r="O786" s="4" t="n">
        <x:f>ROUND(M786-N786,2)</x:f>
        <x:v>51.66</x:v>
      </x:c>
      <x:c r="P786" s="6" t="n">
        <x:v>4</x:v>
      </x:c>
      <x:c r="Q786" t="str">
        <x:v>Yes</x:v>
      </x:c>
    </x:row>
    <x:row r="787">
      <x:c r="A787" t="str">
        <x:v>ORD-01666</x:v>
      </x:c>
      <x:c r="B787" s="3" t="n">
        <x:v>45627.21753847222</x:v>
      </x:c>
      <x:c r="C787" t="str">
        <x:v>2024-12</x:v>
      </x:c>
      <x:c r="D787" t="str">
        <x:v>CUS-0128</x:v>
      </x:c>
      <x:c r="E787" t="str">
        <x:v>Wales</x:v>
      </x:c>
      <x:c r="F787" t="str">
        <x:v>Store</x:v>
      </x:c>
      <x:c r="G787" t="str">
        <x:v>Fashion</x:v>
      </x:c>
      <x:c r="H787" t="str">
        <x:v>Winter Jacket</x:v>
      </x:c>
      <x:c r="I787" t="n">
        <x:v>5</x:v>
      </x:c>
      <x:c r="J787" s="4" t="n">
        <x:v>97.11</x:v>
      </x:c>
      <x:c r="K787" s="4" t="n">
        <x:v>46</x:v>
      </x:c>
      <x:c r="L787" s="5" t="n">
        <x:v>0.2</x:v>
      </x:c>
      <x:c r="M787" s="4" t="n">
        <x:f>ROUND(I787*J787*(1-L787),2)</x:f>
        <x:v>388.44</x:v>
      </x:c>
      <x:c r="N787" s="4" t="n">
        <x:f>ROUND(I787*K787,2)</x:f>
        <x:v>230</x:v>
      </x:c>
      <x:c r="O787" s="4" t="n">
        <x:f>ROUND(M787-N787,2)</x:f>
        <x:v>158.44</x:v>
      </x:c>
      <x:c r="P787" s="6" t="n">
        <x:v>4.5</x:v>
      </x:c>
      <x:c r="Q787" t="str">
        <x:v>No</x:v>
      </x:c>
    </x:row>
    <x:row r="788">
      <x:c r="A788" t="str">
        <x:v>ORD-01391</x:v>
      </x:c>
      <x:c r="B788" s="3" t="n">
        <x:v>45627.41622269676</x:v>
      </x:c>
      <x:c r="C788" t="str">
        <x:v>2024-12</x:v>
      </x:c>
      <x:c r="D788" t="str">
        <x:v>CUS-0073</x:v>
      </x:c>
      <x:c r="E788" t="str">
        <x:v>Wales</x:v>
      </x:c>
      <x:c r="F788" t="str">
        <x:v>Online</x:v>
      </x:c>
      <x:c r="G788" t="str">
        <x:v>Fashion</x:v>
      </x:c>
      <x:c r="H788" t="str">
        <x:v>Backpack</x:v>
      </x:c>
      <x:c r="I788" t="n">
        <x:v>1</x:v>
      </x:c>
      <x:c r="J788" s="4" t="n">
        <x:v>49.73</x:v>
      </x:c>
      <x:c r="K788" s="4" t="n">
        <x:v>21</x:v>
      </x:c>
      <x:c r="L788" s="5" t="n">
        <x:v>0.15</x:v>
      </x:c>
      <x:c r="M788" s="4" t="n">
        <x:f>ROUND(I788*J788*(1-L788),2)</x:f>
        <x:v>42.27</x:v>
      </x:c>
      <x:c r="N788" s="4" t="n">
        <x:f>ROUND(I788*K788,2)</x:f>
        <x:v>21</x:v>
      </x:c>
      <x:c r="O788" s="4" t="n">
        <x:f>ROUND(M788-N788,2)</x:f>
        <x:v>21.27</x:v>
      </x:c>
      <x:c r="P788" s="6" t="n">
        <x:v>4</x:v>
      </x:c>
      <x:c r="Q788" t="str">
        <x:v>No</x:v>
      </x:c>
    </x:row>
    <x:row r="789">
      <x:c r="A789" t="str">
        <x:v>ORD-00040</x:v>
      </x:c>
      <x:c r="B789" s="3" t="n">
        <x:v>45627.55503118056</x:v>
      </x:c>
      <x:c r="C789" t="str">
        <x:v>2024-12</x:v>
      </x:c>
      <x:c r="D789" t="str">
        <x:v>CUS-0188</x:v>
      </x:c>
      <x:c r="E789" t="str">
        <x:v>London</x:v>
      </x:c>
      <x:c r="F789" t="str">
        <x:v>Store</x:v>
      </x:c>
      <x:c r="G789" t="str">
        <x:v>Electronics</x:v>
      </x:c>
      <x:c r="H789" t="str">
        <x:v>Bluetooth Speaker</x:v>
      </x:c>
      <x:c r="I789" t="n">
        <x:v>2</x:v>
      </x:c>
      <x:c r="J789" s="4" t="n">
        <x:v>62.05</x:v>
      </x:c>
      <x:c r="K789" s="4" t="n">
        <x:v>34</x:v>
      </x:c>
      <x:c r="L789" s="5" t="n">
        <x:v>0.15</x:v>
      </x:c>
      <x:c r="M789" s="4" t="n">
        <x:f>ROUND(I789*J789*(1-L789),2)</x:f>
        <x:v>105.49</x:v>
      </x:c>
      <x:c r="N789" s="4" t="n">
        <x:f>ROUND(I789*K789,2)</x:f>
        <x:v>68</x:v>
      </x:c>
      <x:c r="O789" s="4" t="n">
        <x:f>ROUND(M789-N789,2)</x:f>
        <x:v>37.49</x:v>
      </x:c>
      <x:c r="P789" s="6" t="n">
        <x:v>4</x:v>
      </x:c>
      <x:c r="Q789" t="str">
        <x:v>No</x:v>
      </x:c>
    </x:row>
    <x:row r="790">
      <x:c r="A790" t="str">
        <x:v>ORD-00022</x:v>
      </x:c>
      <x:c r="B790" s="3" t="n">
        <x:v>45627.584890185186</x:v>
      </x:c>
      <x:c r="C790" t="str">
        <x:v>2024-12</x:v>
      </x:c>
      <x:c r="D790" t="str">
        <x:v>CUS-0103</x:v>
      </x:c>
      <x:c r="E790" t="str">
        <x:v>London</x:v>
      </x:c>
      <x:c r="F790" t="str">
        <x:v>Store</x:v>
      </x:c>
      <x:c r="G790" t="str">
        <x:v>Home</x:v>
      </x:c>
      <x:c r="H790" t="str">
        <x:v>Coffee Maker</x:v>
      </x:c>
      <x:c r="I790" t="n">
        <x:v>4</x:v>
      </x:c>
      <x:c r="J790" s="4" t="n">
        <x:v>78.25</x:v>
      </x:c>
      <x:c r="K790" s="4" t="n">
        <x:v>41</x:v>
      </x:c>
      <x:c r="L790" s="5" t="n">
        <x:v>0.05</x:v>
      </x:c>
      <x:c r="M790" s="4" t="n">
        <x:f>ROUND(I790*J790*(1-L790),2)</x:f>
        <x:v>297.35</x:v>
      </x:c>
      <x:c r="N790" s="4" t="n">
        <x:f>ROUND(I790*K790,2)</x:f>
        <x:v>164</x:v>
      </x:c>
      <x:c r="O790" s="4" t="n">
        <x:f>ROUND(M790-N790,2)</x:f>
        <x:v>133.35</x:v>
      </x:c>
      <x:c r="P790" s="6" t="n">
        <x:v>4.2</x:v>
      </x:c>
      <x:c r="Q790" t="str">
        <x:v>No</x:v>
      </x:c>
    </x:row>
    <x:row r="791">
      <x:c r="A791" t="str">
        <x:v>ORD-01381</x:v>
      </x:c>
      <x:c r="B791" s="3" t="n">
        <x:v>45627.67063040509</x:v>
      </x:c>
      <x:c r="C791" t="str">
        <x:v>2024-12</x:v>
      </x:c>
      <x:c r="D791" t="str">
        <x:v>CUS-0323</x:v>
      </x:c>
      <x:c r="E791" t="str">
        <x:v>South East</x:v>
      </x:c>
      <x:c r="F791" t="str">
        <x:v>Marketplace</x:v>
      </x:c>
      <x:c r="G791" t="str">
        <x:v>Beauty</x:v>
      </x:c>
      <x:c r="H791" t="str">
        <x:v>Skin Care Set</x:v>
      </x:c>
      <x:c r="I791" t="n">
        <x:v>3</x:v>
      </x:c>
      <x:c r="J791" s="4" t="n">
        <x:v>47.19</x:v>
      </x:c>
      <x:c r="K791" s="4" t="n">
        <x:v>18</x:v>
      </x:c>
      <x:c r="L791" s="5" t="n">
        <x:v>0</x:v>
      </x:c>
      <x:c r="M791" s="4" t="n">
        <x:f>ROUND(I791*J791*(1-L791),2)</x:f>
        <x:v>141.57</x:v>
      </x:c>
      <x:c r="N791" s="4" t="n">
        <x:f>ROUND(I791*K791,2)</x:f>
        <x:v>54</x:v>
      </x:c>
      <x:c r="O791" s="4" t="n">
        <x:f>ROUND(M791-N791,2)</x:f>
        <x:v>87.57</x:v>
      </x:c>
      <x:c r="P791" s="6" t="n">
        <x:v>3.4</x:v>
      </x:c>
      <x:c r="Q791" t="str">
        <x:v>No</x:v>
      </x:c>
    </x:row>
    <x:row r="792">
      <x:c r="A792" t="str">
        <x:v>ORD-01155</x:v>
      </x:c>
      <x:c r="B792" s="3" t="n">
        <x:v>45627.715751041665</x:v>
      </x:c>
      <x:c r="C792" t="str">
        <x:v>2024-12</x:v>
      </x:c>
      <x:c r="D792" t="str">
        <x:v>CUS-0037</x:v>
      </x:c>
      <x:c r="E792" t="str">
        <x:v>Wales</x:v>
      </x:c>
      <x:c r="F792" t="str">
        <x:v>Store</x:v>
      </x:c>
      <x:c r="G792" t="str">
        <x:v>Fashion</x:v>
      </x:c>
      <x:c r="H792" t="str">
        <x:v>Backpack</x:v>
      </x:c>
      <x:c r="I792" t="n">
        <x:v>3</x:v>
      </x:c>
      <x:c r="J792" s="4" t="n">
        <x:v>50.74</x:v>
      </x:c>
      <x:c r="K792" s="4" t="n">
        <x:v>21</x:v>
      </x:c>
      <x:c r="L792" s="5" t="n">
        <x:v>0.05</x:v>
      </x:c>
      <x:c r="M792" s="4" t="n">
        <x:f>ROUND(I792*J792*(1-L792),2)</x:f>
        <x:v>144.61</x:v>
      </x:c>
      <x:c r="N792" s="4" t="n">
        <x:f>ROUND(I792*K792,2)</x:f>
        <x:v>63</x:v>
      </x:c>
      <x:c r="O792" s="4" t="n">
        <x:f>ROUND(M792-N792,2)</x:f>
        <x:v>81.61</x:v>
      </x:c>
      <x:c r="P792" s="6" t="n">
        <x:v>4.3</x:v>
      </x:c>
      <x:c r="Q792" t="str">
        <x:v>No</x:v>
      </x:c>
    </x:row>
    <x:row r="793">
      <x:c r="A793" t="str">
        <x:v>ORD-00441</x:v>
      </x:c>
      <x:c r="B793" s="3" t="n">
        <x:v>45628.88737885417</x:v>
      </x:c>
      <x:c r="C793" t="str">
        <x:v>2024-12</x:v>
      </x:c>
      <x:c r="D793" t="str">
        <x:v>CUS-0115</x:v>
      </x:c>
      <x:c r="E793" t="str">
        <x:v>South West</x:v>
      </x:c>
      <x:c r="F793" t="str">
        <x:v>Store</x:v>
      </x:c>
      <x:c r="G793" t="str">
        <x:v>Electronics</x:v>
      </x:c>
      <x:c r="H793" t="str">
        <x:v>Bluetooth Speaker</x:v>
      </x:c>
      <x:c r="I793" t="n">
        <x:v>1</x:v>
      </x:c>
      <x:c r="J793" s="4" t="n">
        <x:v>63.49</x:v>
      </x:c>
      <x:c r="K793" s="4" t="n">
        <x:v>34</x:v>
      </x:c>
      <x:c r="L793" s="5" t="n">
        <x:v>0.1</x:v>
      </x:c>
      <x:c r="M793" s="4" t="n">
        <x:f>ROUND(I793*J793*(1-L793),2)</x:f>
        <x:v>57.14</x:v>
      </x:c>
      <x:c r="N793" s="4" t="n">
        <x:f>ROUND(I793*K793,2)</x:f>
        <x:v>34</x:v>
      </x:c>
      <x:c r="O793" s="4" t="n">
        <x:f>ROUND(M793-N793,2)</x:f>
        <x:v>23.14</x:v>
      </x:c>
      <x:c r="P793" s="6" t="n">
        <x:v>3.3</x:v>
      </x:c>
      <x:c r="Q793" t="str">
        <x:v>No</x:v>
      </x:c>
    </x:row>
    <x:row r="794">
      <x:c r="A794" t="str">
        <x:v>ORD-01182</x:v>
      </x:c>
      <x:c r="B794" s="3" t="n">
        <x:v>45629.284926458335</x:v>
      </x:c>
      <x:c r="C794" t="str">
        <x:v>2024-12</x:v>
      </x:c>
      <x:c r="D794" t="str">
        <x:v>CUS-0199</x:v>
      </x:c>
      <x:c r="E794" t="str">
        <x:v>Midlands</x:v>
      </x:c>
      <x:c r="F794" t="str">
        <x:v>Online</x:v>
      </x:c>
      <x:c r="G794" t="str">
        <x:v>Fashion</x:v>
      </x:c>
      <x:c r="H794" t="str">
        <x:v>Winter Jacket</x:v>
      </x:c>
      <x:c r="I794" t="n">
        <x:v>1</x:v>
      </x:c>
      <x:c r="J794" s="4" t="n">
        <x:v>97.21</x:v>
      </x:c>
      <x:c r="K794" s="4" t="n">
        <x:v>46</x:v>
      </x:c>
      <x:c r="L794" s="5" t="n">
        <x:v>0</x:v>
      </x:c>
      <x:c r="M794" s="4" t="n">
        <x:f>ROUND(I794*J794*(1-L794),2)</x:f>
        <x:v>97.21</x:v>
      </x:c>
      <x:c r="N794" s="4" t="n">
        <x:f>ROUND(I794*K794,2)</x:f>
        <x:v>46</x:v>
      </x:c>
      <x:c r="O794" s="4" t="n">
        <x:f>ROUND(M794-N794,2)</x:f>
        <x:v>51.21</x:v>
      </x:c>
      <x:c r="P794" s="6" t="n">
        <x:v>5</x:v>
      </x:c>
      <x:c r="Q794" t="str">
        <x:v>No</x:v>
      </x:c>
    </x:row>
    <x:row r="795">
      <x:c r="A795" t="str">
        <x:v>ORD-01709</x:v>
      </x:c>
      <x:c r="B795" s="3" t="n">
        <x:v>45629.5518916088</x:v>
      </x:c>
      <x:c r="C795" t="str">
        <x:v>2024-12</x:v>
      </x:c>
      <x:c r="D795" t="str">
        <x:v>CUS-0373</x:v>
      </x:c>
      <x:c r="E795" t="str">
        <x:v>Midlands</x:v>
      </x:c>
      <x:c r="F795" t="str">
        <x:v>Marketplace</x:v>
      </x:c>
      <x:c r="G795" t="str">
        <x:v>Home</x:v>
      </x:c>
      <x:c r="H795" t="str">
        <x:v>Desk Lamp</x:v>
      </x:c>
      <x:c r="I795" t="n">
        <x:v>1</x:v>
      </x:c>
      <x:c r="J795" s="4" t="n">
        <x:v>33.65</x:v>
      </x:c>
      <x:c r="K795" s="4" t="n">
        <x:v>17</x:v>
      </x:c>
      <x:c r="L795" s="5" t="n">
        <x:v>0</x:v>
      </x:c>
      <x:c r="M795" s="4" t="n">
        <x:f>ROUND(I795*J795*(1-L795),2)</x:f>
        <x:v>33.65</x:v>
      </x:c>
      <x:c r="N795" s="4" t="n">
        <x:f>ROUND(I795*K795,2)</x:f>
        <x:v>17</x:v>
      </x:c>
      <x:c r="O795" s="4" t="n">
        <x:f>ROUND(M795-N795,2)</x:f>
        <x:v>16.65</x:v>
      </x:c>
      <x:c r="P795" s="6" t="n">
        <x:v>4.3</x:v>
      </x:c>
      <x:c r="Q795" t="str">
        <x:v>No</x:v>
      </x:c>
    </x:row>
    <x:row r="796">
      <x:c r="A796" t="str">
        <x:v>ORD-01205</x:v>
      </x:c>
      <x:c r="B796" s="3" t="n">
        <x:v>45629.723394479166</x:v>
      </x:c>
      <x:c r="C796" t="str">
        <x:v>2024-12</x:v>
      </x:c>
      <x:c r="D796" t="str">
        <x:v>CUS-0129</x:v>
      </x:c>
      <x:c r="E796" t="str">
        <x:v>Midlands</x:v>
      </x:c>
      <x:c r="F796" t="str">
        <x:v>Marketplace</x:v>
      </x:c>
      <x:c r="G796" t="str">
        <x:v>Sports</x:v>
      </x:c>
      <x:c r="H796" t="str">
        <x:v>Running Shoes</x:v>
      </x:c>
      <x:c r="I796" t="n">
        <x:v>4</x:v>
      </x:c>
      <x:c r="J796" s="4" t="n">
        <x:v>76.89</x:v>
      </x:c>
      <x:c r="K796" s="4" t="n">
        <x:v>38</x:v>
      </x:c>
      <x:c r="L796" s="5" t="n">
        <x:v>0</x:v>
      </x:c>
      <x:c r="M796" s="4" t="n">
        <x:f>ROUND(I796*J796*(1-L796),2)</x:f>
        <x:v>307.56</x:v>
      </x:c>
      <x:c r="N796" s="4" t="n">
        <x:f>ROUND(I796*K796,2)</x:f>
        <x:v>152</x:v>
      </x:c>
      <x:c r="O796" s="4" t="n">
        <x:f>ROUND(M796-N796,2)</x:f>
        <x:v>155.56</x:v>
      </x:c>
      <x:c r="P796" s="6" t="n">
        <x:v>4.5</x:v>
      </x:c>
      <x:c r="Q796" t="str">
        <x:v>No</x:v>
      </x:c>
    </x:row>
    <x:row r="797">
      <x:c r="A797" t="str">
        <x:v>ORD-01072</x:v>
      </x:c>
      <x:c r="B797" s="3" t="n">
        <x:v>45629.92914590278</x:v>
      </x:c>
      <x:c r="C797" t="str">
        <x:v>2024-12</x:v>
      </x:c>
      <x:c r="D797" t="str">
        <x:v>CUS-0397</x:v>
      </x:c>
      <x:c r="E797" t="str">
        <x:v>Scotland</x:v>
      </x:c>
      <x:c r="F797" t="str">
        <x:v>Marketplace</x:v>
      </x:c>
      <x:c r="G797" t="str">
        <x:v>Sports</x:v>
      </x:c>
      <x:c r="H797" t="str">
        <x:v>Fitness Tracker</x:v>
      </x:c>
      <x:c r="I797" t="n">
        <x:v>3</x:v>
      </x:c>
      <x:c r="J797" s="4" t="n">
        <x:v>57.62</x:v>
      </x:c>
      <x:c r="K797" s="4" t="n">
        <x:v>27</x:v>
      </x:c>
      <x:c r="L797" s="5" t="n">
        <x:v>0.05</x:v>
      </x:c>
      <x:c r="M797" s="4" t="n">
        <x:f>ROUND(I797*J797*(1-L797),2)</x:f>
        <x:v>164.22</x:v>
      </x:c>
      <x:c r="N797" s="4" t="n">
        <x:f>ROUND(I797*K797,2)</x:f>
        <x:v>81</x:v>
      </x:c>
      <x:c r="O797" s="4" t="n">
        <x:f>ROUND(M797-N797,2)</x:f>
        <x:v>83.22</x:v>
      </x:c>
      <x:c r="P797" s="6" t="n">
        <x:v>3.3</x:v>
      </x:c>
      <x:c r="Q797" t="str">
        <x:v>Yes</x:v>
      </x:c>
    </x:row>
    <x:row r="798">
      <x:c r="A798" t="str">
        <x:v>ORD-01134</x:v>
      </x:c>
      <x:c r="B798" s="3" t="n">
        <x:v>45630.180548599536</x:v>
      </x:c>
      <x:c r="C798" t="str">
        <x:v>2024-12</x:v>
      </x:c>
      <x:c r="D798" t="str">
        <x:v>CUS-0191</x:v>
      </x:c>
      <x:c r="E798" t="str">
        <x:v>North West</x:v>
      </x:c>
      <x:c r="F798" t="str">
        <x:v>Store</x:v>
      </x:c>
      <x:c r="G798" t="str">
        <x:v>Beauty</x:v>
      </x:c>
      <x:c r="H798" t="str">
        <x:v>Skin Care Set</x:v>
      </x:c>
      <x:c r="I798" t="n">
        <x:v>2</x:v>
      </x:c>
      <x:c r="J798" s="4" t="n">
        <x:v>43.05</x:v>
      </x:c>
      <x:c r="K798" s="4" t="n">
        <x:v>18</x:v>
      </x:c>
      <x:c r="L798" s="5" t="n">
        <x:v>0</x:v>
      </x:c>
      <x:c r="M798" s="4" t="n">
        <x:f>ROUND(I798*J798*(1-L798),2)</x:f>
        <x:v>86.1</x:v>
      </x:c>
      <x:c r="N798" s="4" t="n">
        <x:f>ROUND(I798*K798,2)</x:f>
        <x:v>36</x:v>
      </x:c>
      <x:c r="O798" s="4" t="n">
        <x:f>ROUND(M798-N798,2)</x:f>
        <x:v>50.1</x:v>
      </x:c>
      <x:c r="P798" s="6" t="n">
        <x:v>4.4</x:v>
      </x:c>
      <x:c r="Q798" t="str">
        <x:v>No</x:v>
      </x:c>
    </x:row>
    <x:row r="799">
      <x:c r="A799" t="str">
        <x:v>ORD-00456</x:v>
      </x:c>
      <x:c r="B799" s="3" t="n">
        <x:v>45630.418744236114</x:v>
      </x:c>
      <x:c r="C799" t="str">
        <x:v>2024-12</x:v>
      </x:c>
      <x:c r="D799" t="str">
        <x:v>CUS-0418</x:v>
      </x:c>
      <x:c r="E799" t="str">
        <x:v>London</x:v>
      </x:c>
      <x:c r="F799" t="str">
        <x:v>Online</x:v>
      </x:c>
      <x:c r="G799" t="str">
        <x:v>Books</x:v>
      </x:c>
      <x:c r="H799" t="str">
        <x:v>Data Analytics Handbook</x:v>
      </x:c>
      <x:c r="I799" t="n">
        <x:v>1</x:v>
      </x:c>
      <x:c r="J799" s="4" t="n">
        <x:v>41.35</x:v>
      </x:c>
      <x:c r="K799" s="4" t="n">
        <x:v>14</x:v>
      </x:c>
      <x:c r="L799" s="5" t="n">
        <x:v>0.15</x:v>
      </x:c>
      <x:c r="M799" s="4" t="n">
        <x:f>ROUND(I799*J799*(1-L799),2)</x:f>
        <x:v>35.15</x:v>
      </x:c>
      <x:c r="N799" s="4" t="n">
        <x:f>ROUND(I799*K799,2)</x:f>
        <x:v>14</x:v>
      </x:c>
      <x:c r="O799" s="4" t="n">
        <x:f>ROUND(M799-N799,2)</x:f>
        <x:v>21.15</x:v>
      </x:c>
      <x:c r="P799" s="6" t="n">
        <x:v>3.4</x:v>
      </x:c>
      <x:c r="Q799" t="str">
        <x:v>Yes</x:v>
      </x:c>
    </x:row>
    <x:row r="800">
      <x:c r="A800" t="str">
        <x:v>ORD-01368</x:v>
      </x:c>
      <x:c r="B800" s="3" t="n">
        <x:v>45630.512081608795</x:v>
      </x:c>
      <x:c r="C800" t="str">
        <x:v>2024-12</x:v>
      </x:c>
      <x:c r="D800" t="str">
        <x:v>CUS-0324</x:v>
      </x:c>
      <x:c r="E800" t="str">
        <x:v>South West</x:v>
      </x:c>
      <x:c r="F800" t="str">
        <x:v>Online</x:v>
      </x:c>
      <x:c r="G800" t="str">
        <x:v>Fashion</x:v>
      </x:c>
      <x:c r="H800" t="str">
        <x:v>Classic Trainers</x:v>
      </x:c>
      <x:c r="I800" t="n">
        <x:v>2</x:v>
      </x:c>
      <x:c r="J800" s="4" t="n">
        <x:v>69.65</x:v>
      </x:c>
      <x:c r="K800" s="4" t="n">
        <x:v>32</x:v>
      </x:c>
      <x:c r="L800" s="5" t="n">
        <x:v>0.1</x:v>
      </x:c>
      <x:c r="M800" s="4" t="n">
        <x:f>ROUND(I800*J800*(1-L800),2)</x:f>
        <x:v>125.37</x:v>
      </x:c>
      <x:c r="N800" s="4" t="n">
        <x:f>ROUND(I800*K800,2)</x:f>
        <x:v>64</x:v>
      </x:c>
      <x:c r="O800" s="4" t="n">
        <x:f>ROUND(M800-N800,2)</x:f>
        <x:v>61.37</x:v>
      </x:c>
      <x:c r="P800" s="6" t="n">
        <x:v>3.9</x:v>
      </x:c>
      <x:c r="Q800" t="str">
        <x:v>No</x:v>
      </x:c>
    </x:row>
    <x:row r="801">
      <x:c r="A801" t="str">
        <x:v>ORD-00305</x:v>
      </x:c>
      <x:c r="B801" s="3" t="n">
        <x:v>45631.01645375</x:v>
      </x:c>
      <x:c r="C801" t="str">
        <x:v>2024-12</x:v>
      </x:c>
      <x:c r="D801" t="str">
        <x:v>CUS-0097</x:v>
      </x:c>
      <x:c r="E801" t="str">
        <x:v>North East</x:v>
      </x:c>
      <x:c r="F801" t="str">
        <x:v>Online</x:v>
      </x:c>
      <x:c r="G801" t="str">
        <x:v>Beauty</x:v>
      </x:c>
      <x:c r="H801" t="str">
        <x:v>Skin Care Set</x:v>
      </x:c>
      <x:c r="I801" t="n">
        <x:v>1</x:v>
      </x:c>
      <x:c r="J801" s="4" t="n">
        <x:v>46.57</x:v>
      </x:c>
      <x:c r="K801" s="4" t="n">
        <x:v>18</x:v>
      </x:c>
      <x:c r="L801" s="5" t="n">
        <x:v>0</x:v>
      </x:c>
      <x:c r="M801" s="4" t="n">
        <x:f>ROUND(I801*J801*(1-L801),2)</x:f>
        <x:v>46.57</x:v>
      </x:c>
      <x:c r="N801" s="4" t="n">
        <x:f>ROUND(I801*K801,2)</x:f>
        <x:v>18</x:v>
      </x:c>
      <x:c r="O801" s="4" t="n">
        <x:f>ROUND(M801-N801,2)</x:f>
        <x:v>28.57</x:v>
      </x:c>
      <x:c r="P801" s="6" t="n">
        <x:v>5</x:v>
      </x:c>
      <x:c r="Q801" t="str">
        <x:v>No</x:v>
      </x:c>
    </x:row>
    <x:row r="802">
      <x:c r="A802" t="str">
        <x:v>ORD-01771</x:v>
      </x:c>
      <x:c r="B802" s="3" t="n">
        <x:v>45631.04503869213</x:v>
      </x:c>
      <x:c r="C802" t="str">
        <x:v>2024-12</x:v>
      </x:c>
      <x:c r="D802" t="str">
        <x:v>CUS-0598</x:v>
      </x:c>
      <x:c r="E802" t="str">
        <x:v>South West</x:v>
      </x:c>
      <x:c r="F802" t="str">
        <x:v>Marketplace</x:v>
      </x:c>
      <x:c r="G802" t="str">
        <x:v>Books</x:v>
      </x:c>
      <x:c r="H802" t="str">
        <x:v>Business Intelligence Guide</x:v>
      </x:c>
      <x:c r="I802" t="n">
        <x:v>4</x:v>
      </x:c>
      <x:c r="J802" s="4" t="n">
        <x:v>34.16</x:v>
      </x:c>
      <x:c r="K802" s="4" t="n">
        <x:v>12</x:v>
      </x:c>
      <x:c r="L802" s="5" t="n">
        <x:v>0</x:v>
      </x:c>
      <x:c r="M802" s="4" t="n">
        <x:f>ROUND(I802*J802*(1-L802),2)</x:f>
        <x:v>136.64</x:v>
      </x:c>
      <x:c r="N802" s="4" t="n">
        <x:f>ROUND(I802*K802,2)</x:f>
        <x:v>48</x:v>
      </x:c>
      <x:c r="O802" s="4" t="n">
        <x:f>ROUND(M802-N802,2)</x:f>
        <x:v>88.64</x:v>
      </x:c>
      <x:c r="P802" s="6" t="n">
        <x:v>3.8</x:v>
      </x:c>
      <x:c r="Q802" t="str">
        <x:v>No</x:v>
      </x:c>
    </x:row>
    <x:row r="803">
      <x:c r="A803" t="str">
        <x:v>ORD-00978</x:v>
      </x:c>
      <x:c r="B803" s="3" t="n">
        <x:v>45631.376819502315</x:v>
      </x:c>
      <x:c r="C803" t="str">
        <x:v>2024-12</x:v>
      </x:c>
      <x:c r="D803" t="str">
        <x:v>CUS-0391</x:v>
      </x:c>
      <x:c r="E803" t="str">
        <x:v>North East</x:v>
      </x:c>
      <x:c r="F803" t="str">
        <x:v>Online</x:v>
      </x:c>
      <x:c r="G803" t="str">
        <x:v>Sports</x:v>
      </x:c>
      <x:c r="H803" t="str">
        <x:v>Yoga Mat</x:v>
      </x:c>
      <x:c r="I803" t="n">
        <x:v>5</x:v>
      </x:c>
      <x:c r="J803" s="4" t="n">
        <x:v>30.34</x:v>
      </x:c>
      <x:c r="K803" s="4" t="n">
        <x:v>12</x:v>
      </x:c>
      <x:c r="L803" s="5" t="n">
        <x:v>0.2</x:v>
      </x:c>
      <x:c r="M803" s="4" t="n">
        <x:f>ROUND(I803*J803*(1-L803),2)</x:f>
        <x:v>121.36</x:v>
      </x:c>
      <x:c r="N803" s="4" t="n">
        <x:f>ROUND(I803*K803,2)</x:f>
        <x:v>60</x:v>
      </x:c>
      <x:c r="O803" s="4" t="n">
        <x:f>ROUND(M803-N803,2)</x:f>
        <x:v>61.36</x:v>
      </x:c>
      <x:c r="P803" s="6" t="n">
        <x:v>4.7</x:v>
      </x:c>
      <x:c r="Q803" t="str">
        <x:v>No</x:v>
      </x:c>
    </x:row>
    <x:row r="804">
      <x:c r="A804" t="str">
        <x:v>ORD-01509</x:v>
      </x:c>
      <x:c r="B804" s="3" t="n">
        <x:v>45631.67755085648</x:v>
      </x:c>
      <x:c r="C804" t="str">
        <x:v>2024-12</x:v>
      </x:c>
      <x:c r="D804" t="str">
        <x:v>CUS-0281</x:v>
      </x:c>
      <x:c r="E804" t="str">
        <x:v>South West</x:v>
      </x:c>
      <x:c r="F804" t="str">
        <x:v>Store</x:v>
      </x:c>
      <x:c r="G804" t="str">
        <x:v>Home</x:v>
      </x:c>
      <x:c r="H804" t="str">
        <x:v>Coffee Maker</x:v>
      </x:c>
      <x:c r="I804" t="n">
        <x:v>2</x:v>
      </x:c>
      <x:c r="J804" s="4" t="n">
        <x:v>77.39</x:v>
      </x:c>
      <x:c r="K804" s="4" t="n">
        <x:v>41</x:v>
      </x:c>
      <x:c r="L804" s="5" t="n">
        <x:v>0</x:v>
      </x:c>
      <x:c r="M804" s="4" t="n">
        <x:f>ROUND(I804*J804*(1-L804),2)</x:f>
        <x:v>154.78</x:v>
      </x:c>
      <x:c r="N804" s="4" t="n">
        <x:f>ROUND(I804*K804,2)</x:f>
        <x:v>82</x:v>
      </x:c>
      <x:c r="O804" s="4" t="n">
        <x:f>ROUND(M804-N804,2)</x:f>
        <x:v>72.78</x:v>
      </x:c>
      <x:c r="P804" s="6" t="n">
        <x:v>3.5</x:v>
      </x:c>
      <x:c r="Q804" t="str">
        <x:v>No</x:v>
      </x:c>
    </x:row>
    <x:row r="805">
      <x:c r="A805" t="str">
        <x:v>ORD-00400</x:v>
      </x:c>
      <x:c r="B805" s="3" t="n">
        <x:v>45632.35145766204</x:v>
      </x:c>
      <x:c r="C805" t="str">
        <x:v>2024-12</x:v>
      </x:c>
      <x:c r="D805" t="str">
        <x:v>CUS-0177</x:v>
      </x:c>
      <x:c r="E805" t="str">
        <x:v>North West</x:v>
      </x:c>
      <x:c r="F805" t="str">
        <x:v>Store</x:v>
      </x:c>
      <x:c r="G805" t="str">
        <x:v>Beauty</x:v>
      </x:c>
      <x:c r="H805" t="str">
        <x:v>Hair Dryer</x:v>
      </x:c>
      <x:c r="I805" t="n">
        <x:v>3</x:v>
      </x:c>
      <x:c r="J805" s="4" t="n">
        <x:v>60.37</x:v>
      </x:c>
      <x:c r="K805" s="4" t="n">
        <x:v>29</x:v>
      </x:c>
      <x:c r="L805" s="5" t="n">
        <x:v>0.1</x:v>
      </x:c>
      <x:c r="M805" s="4" t="n">
        <x:f>ROUND(I805*J805*(1-L805),2)</x:f>
        <x:v>163</x:v>
      </x:c>
      <x:c r="N805" s="4" t="n">
        <x:f>ROUND(I805*K805,2)</x:f>
        <x:v>87</x:v>
      </x:c>
      <x:c r="O805" s="4" t="n">
        <x:f>ROUND(M805-N805,2)</x:f>
        <x:v>76</x:v>
      </x:c>
      <x:c r="P805" s="6" t="n">
        <x:v>3.6</x:v>
      </x:c>
      <x:c r="Q805" t="str">
        <x:v>No</x:v>
      </x:c>
    </x:row>
    <x:row r="806">
      <x:c r="A806" t="str">
        <x:v>ORD-00195</x:v>
      </x:c>
      <x:c r="B806" s="3" t="n">
        <x:v>45632.77753989583</x:v>
      </x:c>
      <x:c r="C806" t="str">
        <x:v>2024-12</x:v>
      </x:c>
      <x:c r="D806" t="str">
        <x:v>CUS-0398</x:v>
      </x:c>
      <x:c r="E806" t="str">
        <x:v>North West</x:v>
      </x:c>
      <x:c r="F806" t="str">
        <x:v>Online</x:v>
      </x:c>
      <x:c r="G806" t="str">
        <x:v>Sports</x:v>
      </x:c>
      <x:c r="H806" t="str">
        <x:v>Running Shoes</x:v>
      </x:c>
      <x:c r="I806" t="n">
        <x:v>2</x:v>
      </x:c>
      <x:c r="J806" s="4" t="n">
        <x:v>79.87</x:v>
      </x:c>
      <x:c r="K806" s="4" t="n">
        <x:v>38</x:v>
      </x:c>
      <x:c r="L806" s="5" t="n">
        <x:v>0.15</x:v>
      </x:c>
      <x:c r="M806" s="4" t="n">
        <x:f>ROUND(I806*J806*(1-L806),2)</x:f>
        <x:v>135.78</x:v>
      </x:c>
      <x:c r="N806" s="4" t="n">
        <x:f>ROUND(I806*K806,2)</x:f>
        <x:v>76</x:v>
      </x:c>
      <x:c r="O806" s="4" t="n">
        <x:f>ROUND(M806-N806,2)</x:f>
        <x:v>59.78</x:v>
      </x:c>
      <x:c r="P806" s="6" t="n">
        <x:v>3.5</x:v>
      </x:c>
      <x:c r="Q806" t="str">
        <x:v>No</x:v>
      </x:c>
    </x:row>
    <x:row r="807">
      <x:c r="A807" t="str">
        <x:v>ORD-01720</x:v>
      </x:c>
      <x:c r="B807" s="3" t="n">
        <x:v>45632.9758162037</x:v>
      </x:c>
      <x:c r="C807" t="str">
        <x:v>2024-12</x:v>
      </x:c>
      <x:c r="D807" t="str">
        <x:v>CUS-0040</x:v>
      </x:c>
      <x:c r="E807" t="str">
        <x:v>Midlands</x:v>
      </x:c>
      <x:c r="F807" t="str">
        <x:v>Marketplace</x:v>
      </x:c>
      <x:c r="G807" t="str">
        <x:v>Sports</x:v>
      </x:c>
      <x:c r="H807" t="str">
        <x:v>Yoga Mat</x:v>
      </x:c>
      <x:c r="I807" t="n">
        <x:v>5</x:v>
      </x:c>
      <x:c r="J807" s="4" t="n">
        <x:v>29.6</x:v>
      </x:c>
      <x:c r="K807" s="4" t="n">
        <x:v>12</x:v>
      </x:c>
      <x:c r="L807" s="5" t="n">
        <x:v>0</x:v>
      </x:c>
      <x:c r="M807" s="4" t="n">
        <x:f>ROUND(I807*J807*(1-L807),2)</x:f>
        <x:v>148</x:v>
      </x:c>
      <x:c r="N807" s="4" t="n">
        <x:f>ROUND(I807*K807,2)</x:f>
        <x:v>60</x:v>
      </x:c>
      <x:c r="O807" s="4" t="n">
        <x:f>ROUND(M807-N807,2)</x:f>
        <x:v>88</x:v>
      </x:c>
      <x:c r="P807" s="6" t="n">
        <x:v>3.9</x:v>
      </x:c>
      <x:c r="Q807" t="str">
        <x:v>No</x:v>
      </x:c>
    </x:row>
    <x:row r="808">
      <x:c r="A808" t="str">
        <x:v>ORD-00213</x:v>
      </x:c>
      <x:c r="B808" s="3" t="n">
        <x:v>45633.48165821759</x:v>
      </x:c>
      <x:c r="C808" t="str">
        <x:v>2024-12</x:v>
      </x:c>
      <x:c r="D808" t="str">
        <x:v>CUS-0191</x:v>
      </x:c>
      <x:c r="E808" t="str">
        <x:v>South West</x:v>
      </x:c>
      <x:c r="F808" t="str">
        <x:v>Online</x:v>
      </x:c>
      <x:c r="G808" t="str">
        <x:v>Books</x:v>
      </x:c>
      <x:c r="H808" t="str">
        <x:v>Data Analytics Handbook</x:v>
      </x:c>
      <x:c r="I808" t="n">
        <x:v>5</x:v>
      </x:c>
      <x:c r="J808" s="4" t="n">
        <x:v>41.54</x:v>
      </x:c>
      <x:c r="K808" s="4" t="n">
        <x:v>14</x:v>
      </x:c>
      <x:c r="L808" s="5" t="n">
        <x:v>0</x:v>
      </x:c>
      <x:c r="M808" s="4" t="n">
        <x:f>ROUND(I808*J808*(1-L808),2)</x:f>
        <x:v>207.7</x:v>
      </x:c>
      <x:c r="N808" s="4" t="n">
        <x:f>ROUND(I808*K808,2)</x:f>
        <x:v>70</x:v>
      </x:c>
      <x:c r="O808" s="4" t="n">
        <x:f>ROUND(M808-N808,2)</x:f>
        <x:v>137.7</x:v>
      </x:c>
      <x:c r="P808" s="6" t="n">
        <x:v>4.4</x:v>
      </x:c>
      <x:c r="Q808" t="str">
        <x:v>No</x:v>
      </x:c>
    </x:row>
    <x:row r="809">
      <x:c r="A809" t="str">
        <x:v>ORD-00332</x:v>
      </x:c>
      <x:c r="B809" s="3" t="n">
        <x:v>45633.983981921294</x:v>
      </x:c>
      <x:c r="C809" t="str">
        <x:v>2024-12</x:v>
      </x:c>
      <x:c r="D809" t="str">
        <x:v>CUS-0052</x:v>
      </x:c>
      <x:c r="E809" t="str">
        <x:v>South East</x:v>
      </x:c>
      <x:c r="F809" t="str">
        <x:v>Online</x:v>
      </x:c>
      <x:c r="G809" t="str">
        <x:v>Home</x:v>
      </x:c>
      <x:c r="H809" t="str">
        <x:v>Air Fryer</x:v>
      </x:c>
      <x:c r="I809" t="n">
        <x:v>4</x:v>
      </x:c>
      <x:c r="J809" s="4" t="n">
        <x:v>115.98</x:v>
      </x:c>
      <x:c r="K809" s="4" t="n">
        <x:v>69</x:v>
      </x:c>
      <x:c r="L809" s="5" t="n">
        <x:v>0.1</x:v>
      </x:c>
      <x:c r="M809" s="4" t="n">
        <x:f>ROUND(I809*J809*(1-L809),2)</x:f>
        <x:v>417.53</x:v>
      </x:c>
      <x:c r="N809" s="4" t="n">
        <x:f>ROUND(I809*K809,2)</x:f>
        <x:v>276</x:v>
      </x:c>
      <x:c r="O809" s="4" t="n">
        <x:f>ROUND(M809-N809,2)</x:f>
        <x:v>141.53</x:v>
      </x:c>
      <x:c r="P809" s="6" t="n">
        <x:v>5</x:v>
      </x:c>
      <x:c r="Q809" t="str">
        <x:v>No</x:v>
      </x:c>
    </x:row>
    <x:row r="810">
      <x:c r="A810" t="str">
        <x:v>ORD-01398</x:v>
      </x:c>
      <x:c r="B810" s="3" t="n">
        <x:v>45636.04188373843</x:v>
      </x:c>
      <x:c r="C810" t="str">
        <x:v>2024-12</x:v>
      </x:c>
      <x:c r="D810" t="str">
        <x:v>CUS-0099</x:v>
      </x:c>
      <x:c r="E810" t="str">
        <x:v>Wales</x:v>
      </x:c>
      <x:c r="F810" t="str">
        <x:v>Online</x:v>
      </x:c>
      <x:c r="G810" t="str">
        <x:v>Fashion</x:v>
      </x:c>
      <x:c r="H810" t="str">
        <x:v>Backpack</x:v>
      </x:c>
      <x:c r="I810" t="n">
        <x:v>4</x:v>
      </x:c>
      <x:c r="J810" s="4" t="n">
        <x:v>48.59</x:v>
      </x:c>
      <x:c r="K810" s="4" t="n">
        <x:v>21</x:v>
      </x:c>
      <x:c r="L810" s="5" t="n">
        <x:v>0.2</x:v>
      </x:c>
      <x:c r="M810" s="4" t="n">
        <x:f>ROUND(I810*J810*(1-L810),2)</x:f>
        <x:v>155.49</x:v>
      </x:c>
      <x:c r="N810" s="4" t="n">
        <x:f>ROUND(I810*K810,2)</x:f>
        <x:v>84</x:v>
      </x:c>
      <x:c r="O810" s="4" t="n">
        <x:f>ROUND(M810-N810,2)</x:f>
        <x:v>71.49</x:v>
      </x:c>
      <x:c r="P810" s="6" t="n">
        <x:v>4.1</x:v>
      </x:c>
      <x:c r="Q810" t="str">
        <x:v>No</x:v>
      </x:c>
    </x:row>
    <x:row r="811">
      <x:c r="A811" t="str">
        <x:v>ORD-01064</x:v>
      </x:c>
      <x:c r="B811" s="3" t="n">
        <x:v>45636.20474755787</x:v>
      </x:c>
      <x:c r="C811" t="str">
        <x:v>2024-12</x:v>
      </x:c>
      <x:c r="D811" t="str">
        <x:v>CUS-0010</x:v>
      </x:c>
      <x:c r="E811" t="str">
        <x:v>South East</x:v>
      </x:c>
      <x:c r="F811" t="str">
        <x:v>Online</x:v>
      </x:c>
      <x:c r="G811" t="str">
        <x:v>Books</x:v>
      </x:c>
      <x:c r="H811" t="str">
        <x:v>Business Intelligence Guide</x:v>
      </x:c>
      <x:c r="I811" t="n">
        <x:v>1</x:v>
      </x:c>
      <x:c r="J811" s="4" t="n">
        <x:v>35.85</x:v>
      </x:c>
      <x:c r="K811" s="4" t="n">
        <x:v>12</x:v>
      </x:c>
      <x:c r="L811" s="5" t="n">
        <x:v>0.1</x:v>
      </x:c>
      <x:c r="M811" s="4" t="n">
        <x:f>ROUND(I811*J811*(1-L811),2)</x:f>
        <x:v>32.27</x:v>
      </x:c>
      <x:c r="N811" s="4" t="n">
        <x:f>ROUND(I811*K811,2)</x:f>
        <x:v>12</x:v>
      </x:c>
      <x:c r="O811" s="4" t="n">
        <x:f>ROUND(M811-N811,2)</x:f>
        <x:v>20.27</x:v>
      </x:c>
      <x:c r="P811" s="6" t="n">
        <x:v>4</x:v>
      </x:c>
      <x:c r="Q811" t="str">
        <x:v>No</x:v>
      </x:c>
    </x:row>
    <x:row r="812">
      <x:c r="A812" t="str">
        <x:v>ORD-00872</x:v>
      </x:c>
      <x:c r="B812" s="3" t="n">
        <x:v>45636.34844392361</x:v>
      </x:c>
      <x:c r="C812" t="str">
        <x:v>2024-12</x:v>
      </x:c>
      <x:c r="D812" t="str">
        <x:v>CUS-0598</x:v>
      </x:c>
      <x:c r="E812" t="str">
        <x:v>Scotland</x:v>
      </x:c>
      <x:c r="F812" t="str">
        <x:v>Store</x:v>
      </x:c>
      <x:c r="G812" t="str">
        <x:v>Fashion</x:v>
      </x:c>
      <x:c r="H812" t="str">
        <x:v>Backpack</x:v>
      </x:c>
      <x:c r="I812" t="n">
        <x:v>4</x:v>
      </x:c>
      <x:c r="J812" s="4" t="n">
        <x:v>51.8</x:v>
      </x:c>
      <x:c r="K812" s="4" t="n">
        <x:v>21</x:v>
      </x:c>
      <x:c r="L812" s="5" t="n">
        <x:v>0</x:v>
      </x:c>
      <x:c r="M812" s="4" t="n">
        <x:f>ROUND(I812*J812*(1-L812),2)</x:f>
        <x:v>207.2</x:v>
      </x:c>
      <x:c r="N812" s="4" t="n">
        <x:f>ROUND(I812*K812,2)</x:f>
        <x:v>84</x:v>
      </x:c>
      <x:c r="O812" s="4" t="n">
        <x:f>ROUND(M812-N812,2)</x:f>
        <x:v>123.2</x:v>
      </x:c>
      <x:c r="P812" s="6" t="n">
        <x:v>4.5</x:v>
      </x:c>
      <x:c r="Q812" t="str">
        <x:v>No</x:v>
      </x:c>
    </x:row>
    <x:row r="813">
      <x:c r="A813" t="str">
        <x:v>ORD-01287</x:v>
      </x:c>
      <x:c r="B813" s="3" t="n">
        <x:v>45636.387866261575</x:v>
      </x:c>
      <x:c r="C813" t="str">
        <x:v>2024-12</x:v>
      </x:c>
      <x:c r="D813" t="str">
        <x:v>CUS-0345</x:v>
      </x:c>
      <x:c r="E813" t="str">
        <x:v>Midlands</x:v>
      </x:c>
      <x:c r="F813" t="str">
        <x:v>Marketplace</x:v>
      </x:c>
      <x:c r="G813" t="str">
        <x:v>Sports</x:v>
      </x:c>
      <x:c r="H813" t="str">
        <x:v>Fitness Tracker</x:v>
      </x:c>
      <x:c r="I813" t="n">
        <x:v>4</x:v>
      </x:c>
      <x:c r="J813" s="4" t="n">
        <x:v>55.06</x:v>
      </x:c>
      <x:c r="K813" s="4" t="n">
        <x:v>27</x:v>
      </x:c>
      <x:c r="L813" s="5" t="n">
        <x:v>0</x:v>
      </x:c>
      <x:c r="M813" s="4" t="n">
        <x:f>ROUND(I813*J813*(1-L813),2)</x:f>
        <x:v>220.24</x:v>
      </x:c>
      <x:c r="N813" s="4" t="n">
        <x:f>ROUND(I813*K813,2)</x:f>
        <x:v>108</x:v>
      </x:c>
      <x:c r="O813" s="4" t="n">
        <x:f>ROUND(M813-N813,2)</x:f>
        <x:v>112.24</x:v>
      </x:c>
      <x:c r="P813" s="6" t="n">
        <x:v>3.5</x:v>
      </x:c>
      <x:c r="Q813" t="str">
        <x:v>No</x:v>
      </x:c>
    </x:row>
    <x:row r="814">
      <x:c r="A814" t="str">
        <x:v>ORD-00578</x:v>
      </x:c>
      <x:c r="B814" s="3" t="n">
        <x:v>45636.637210671295</x:v>
      </x:c>
      <x:c r="C814" t="str">
        <x:v>2024-12</x:v>
      </x:c>
      <x:c r="D814" t="str">
        <x:v>CUS-0227</x:v>
      </x:c>
      <x:c r="E814" t="str">
        <x:v>Wales</x:v>
      </x:c>
      <x:c r="F814" t="str">
        <x:v>Online</x:v>
      </x:c>
      <x:c r="G814" t="str">
        <x:v>Electronics</x:v>
      </x:c>
      <x:c r="H814" t="str">
        <x:v>Smart Watch</x:v>
      </x:c>
      <x:c r="I814" t="n">
        <x:v>1</x:v>
      </x:c>
      <x:c r="J814" s="4" t="n">
        <x:v>157.35</x:v>
      </x:c>
      <x:c r="K814" s="4" t="n">
        <x:v>92</x:v>
      </x:c>
      <x:c r="L814" s="5" t="n">
        <x:v>0</x:v>
      </x:c>
      <x:c r="M814" s="4" t="n">
        <x:f>ROUND(I814*J814*(1-L814),2)</x:f>
        <x:v>157.35</x:v>
      </x:c>
      <x:c r="N814" s="4" t="n">
        <x:f>ROUND(I814*K814,2)</x:f>
        <x:v>92</x:v>
      </x:c>
      <x:c r="O814" s="4" t="n">
        <x:f>ROUND(M814-N814,2)</x:f>
        <x:v>65.35</x:v>
      </x:c>
      <x:c r="P814" s="6" t="n">
        <x:v>4.9</x:v>
      </x:c>
      <x:c r="Q814" t="str">
        <x:v>No</x:v>
      </x:c>
    </x:row>
    <x:row r="815">
      <x:c r="A815" t="str">
        <x:v>ORD-01740</x:v>
      </x:c>
      <x:c r="B815" s="3" t="n">
        <x:v>45637.0316502662</x:v>
      </x:c>
      <x:c r="C815" t="str">
        <x:v>2024-12</x:v>
      </x:c>
      <x:c r="D815" t="str">
        <x:v>CUS-0346</x:v>
      </x:c>
      <x:c r="E815" t="str">
        <x:v>South West</x:v>
      </x:c>
      <x:c r="F815" t="str">
        <x:v>Online</x:v>
      </x:c>
      <x:c r="G815" t="str">
        <x:v>Sports</x:v>
      </x:c>
      <x:c r="H815" t="str">
        <x:v>Yoga Mat</x:v>
      </x:c>
      <x:c r="I815" t="n">
        <x:v>3</x:v>
      </x:c>
      <x:c r="J815" s="4" t="n">
        <x:v>31.25</x:v>
      </x:c>
      <x:c r="K815" s="4" t="n">
        <x:v>12</x:v>
      </x:c>
      <x:c r="L815" s="5" t="n">
        <x:v>0</x:v>
      </x:c>
      <x:c r="M815" s="4" t="n">
        <x:f>ROUND(I815*J815*(1-L815),2)</x:f>
        <x:v>93.75</x:v>
      </x:c>
      <x:c r="N815" s="4" t="n">
        <x:f>ROUND(I815*K815,2)</x:f>
        <x:v>36</x:v>
      </x:c>
      <x:c r="O815" s="4" t="n">
        <x:f>ROUND(M815-N815,2)</x:f>
        <x:v>57.75</x:v>
      </x:c>
      <x:c r="P815" s="6" t="n">
        <x:v>4.7</x:v>
      </x:c>
      <x:c r="Q815" t="str">
        <x:v>No</x:v>
      </x:c>
    </x:row>
    <x:row r="816">
      <x:c r="A816" t="str">
        <x:v>ORD-01601</x:v>
      </x:c>
      <x:c r="B816" s="3" t="n">
        <x:v>45637.19529422453</x:v>
      </x:c>
      <x:c r="C816" t="str">
        <x:v>2024-12</x:v>
      </x:c>
      <x:c r="D816" t="str">
        <x:v>CUS-0542</x:v>
      </x:c>
      <x:c r="E816" t="str">
        <x:v>South East</x:v>
      </x:c>
      <x:c r="F816" t="str">
        <x:v>Online</x:v>
      </x:c>
      <x:c r="G816" t="str">
        <x:v>Fashion</x:v>
      </x:c>
      <x:c r="H816" t="str">
        <x:v>Winter Jacket</x:v>
      </x:c>
      <x:c r="I816" t="n">
        <x:v>2</x:v>
      </x:c>
      <x:c r="J816" s="4" t="n">
        <x:v>93.57</x:v>
      </x:c>
      <x:c r="K816" s="4" t="n">
        <x:v>46</x:v>
      </x:c>
      <x:c r="L816" s="5" t="n">
        <x:v>0.1</x:v>
      </x:c>
      <x:c r="M816" s="4" t="n">
        <x:f>ROUND(I816*J816*(1-L816),2)</x:f>
        <x:v>168.43</x:v>
      </x:c>
      <x:c r="N816" s="4" t="n">
        <x:f>ROUND(I816*K816,2)</x:f>
        <x:v>92</x:v>
      </x:c>
      <x:c r="O816" s="4" t="n">
        <x:f>ROUND(M816-N816,2)</x:f>
        <x:v>76.43</x:v>
      </x:c>
      <x:c r="P816" s="6" t="n">
        <x:v>4.8</x:v>
      </x:c>
      <x:c r="Q816" t="str">
        <x:v>No</x:v>
      </x:c>
    </x:row>
    <x:row r="817">
      <x:c r="A817" t="str">
        <x:v>ORD-00270</x:v>
      </x:c>
      <x:c r="B817" s="3" t="n">
        <x:v>45637.59041878472</x:v>
      </x:c>
      <x:c r="C817" t="str">
        <x:v>2024-12</x:v>
      </x:c>
      <x:c r="D817" t="str">
        <x:v>CUS-0091</x:v>
      </x:c>
      <x:c r="E817" t="str">
        <x:v>South East</x:v>
      </x:c>
      <x:c r="F817" t="str">
        <x:v>Store</x:v>
      </x:c>
      <x:c r="G817" t="str">
        <x:v>Fashion</x:v>
      </x:c>
      <x:c r="H817" t="str">
        <x:v>Winter Jacket</x:v>
      </x:c>
      <x:c r="I817" t="n">
        <x:v>2</x:v>
      </x:c>
      <x:c r="J817" s="4" t="n">
        <x:v>91.29</x:v>
      </x:c>
      <x:c r="K817" s="4" t="n">
        <x:v>46</x:v>
      </x:c>
      <x:c r="L817" s="5" t="n">
        <x:v>0.2</x:v>
      </x:c>
      <x:c r="M817" s="4" t="n">
        <x:f>ROUND(I817*J817*(1-L817),2)</x:f>
        <x:v>146.06</x:v>
      </x:c>
      <x:c r="N817" s="4" t="n">
        <x:f>ROUND(I817*K817,2)</x:f>
        <x:v>92</x:v>
      </x:c>
      <x:c r="O817" s="4" t="n">
        <x:f>ROUND(M817-N817,2)</x:f>
        <x:v>54.06</x:v>
      </x:c>
      <x:c r="P817" s="6" t="n">
        <x:v>4.3</x:v>
      </x:c>
      <x:c r="Q817" t="str">
        <x:v>No</x:v>
      </x:c>
    </x:row>
    <x:row r="818">
      <x:c r="A818" t="str">
        <x:v>ORD-01549</x:v>
      </x:c>
      <x:c r="B818" s="3" t="n">
        <x:v>45638.04987289352</x:v>
      </x:c>
      <x:c r="C818" t="str">
        <x:v>2024-12</x:v>
      </x:c>
      <x:c r="D818" t="str">
        <x:v>CUS-0024</x:v>
      </x:c>
      <x:c r="E818" t="str">
        <x:v>South West</x:v>
      </x:c>
      <x:c r="F818" t="str">
        <x:v>Online</x:v>
      </x:c>
      <x:c r="G818" t="str">
        <x:v>Home</x:v>
      </x:c>
      <x:c r="H818" t="str">
        <x:v>Coffee Maker</x:v>
      </x:c>
      <x:c r="I818" t="n">
        <x:v>2</x:v>
      </x:c>
      <x:c r="J818" s="4" t="n">
        <x:v>78.54</x:v>
      </x:c>
      <x:c r="K818" s="4" t="n">
        <x:v>41</x:v>
      </x:c>
      <x:c r="L818" s="5" t="n">
        <x:v>0.05</x:v>
      </x:c>
      <x:c r="M818" s="4" t="n">
        <x:f>ROUND(I818*J818*(1-L818),2)</x:f>
        <x:v>149.23</x:v>
      </x:c>
      <x:c r="N818" s="4" t="n">
        <x:f>ROUND(I818*K818,2)</x:f>
        <x:v>82</x:v>
      </x:c>
      <x:c r="O818" s="4" t="n">
        <x:f>ROUND(M818-N818,2)</x:f>
        <x:v>67.23</x:v>
      </x:c>
      <x:c r="P818" s="6" t="n">
        <x:v>3.5</x:v>
      </x:c>
      <x:c r="Q818" t="str">
        <x:v>No</x:v>
      </x:c>
    </x:row>
    <x:row r="819">
      <x:c r="A819" t="str">
        <x:v>ORD-01334</x:v>
      </x:c>
      <x:c r="B819" s="3" t="n">
        <x:v>45638.421412916665</x:v>
      </x:c>
      <x:c r="C819" t="str">
        <x:v>2024-12</x:v>
      </x:c>
      <x:c r="D819" t="str">
        <x:v>CUS-0379</x:v>
      </x:c>
      <x:c r="E819" t="str">
        <x:v>Midlands</x:v>
      </x:c>
      <x:c r="F819" t="str">
        <x:v>Online</x:v>
      </x:c>
      <x:c r="G819" t="str">
        <x:v>Sports</x:v>
      </x:c>
      <x:c r="H819" t="str">
        <x:v>Running Shoes</x:v>
      </x:c>
      <x:c r="I819" t="n">
        <x:v>2</x:v>
      </x:c>
      <x:c r="J819" s="4" t="n">
        <x:v>78.73</x:v>
      </x:c>
      <x:c r="K819" s="4" t="n">
        <x:v>38</x:v>
      </x:c>
      <x:c r="L819" s="5" t="n">
        <x:v>0.15</x:v>
      </x:c>
      <x:c r="M819" s="4" t="n">
        <x:f>ROUND(I819*J819*(1-L819),2)</x:f>
        <x:v>133.84</x:v>
      </x:c>
      <x:c r="N819" s="4" t="n">
        <x:f>ROUND(I819*K819,2)</x:f>
        <x:v>76</x:v>
      </x:c>
      <x:c r="O819" s="4" t="n">
        <x:f>ROUND(M819-N819,2)</x:f>
        <x:v>57.84</x:v>
      </x:c>
      <x:c r="P819" s="6" t="n">
        <x:v>3.3</x:v>
      </x:c>
      <x:c r="Q819" t="str">
        <x:v>No</x:v>
      </x:c>
    </x:row>
    <x:row r="820">
      <x:c r="A820" t="str">
        <x:v>ORD-01489</x:v>
      </x:c>
      <x:c r="B820" s="3" t="n">
        <x:v>45638.509082592594</x:v>
      </x:c>
      <x:c r="C820" t="str">
        <x:v>2024-12</x:v>
      </x:c>
      <x:c r="D820" t="str">
        <x:v>CUS-0061</x:v>
      </x:c>
      <x:c r="E820" t="str">
        <x:v>London</x:v>
      </x:c>
      <x:c r="F820" t="str">
        <x:v>Store</x:v>
      </x:c>
      <x:c r="G820" t="str">
        <x:v>Home</x:v>
      </x:c>
      <x:c r="H820" t="str">
        <x:v>Air Fryer</x:v>
      </x:c>
      <x:c r="I820" t="n">
        <x:v>5</x:v>
      </x:c>
      <x:c r="J820" s="4" t="n">
        <x:v>121.26</x:v>
      </x:c>
      <x:c r="K820" s="4" t="n">
        <x:v>69</x:v>
      </x:c>
      <x:c r="L820" s="5" t="n">
        <x:v>0</x:v>
      </x:c>
      <x:c r="M820" s="4" t="n">
        <x:f>ROUND(I820*J820*(1-L820),2)</x:f>
        <x:v>606.3</x:v>
      </x:c>
      <x:c r="N820" s="4" t="n">
        <x:f>ROUND(I820*K820,2)</x:f>
        <x:v>345</x:v>
      </x:c>
      <x:c r="O820" s="4" t="n">
        <x:f>ROUND(M820-N820,2)</x:f>
        <x:v>261.3</x:v>
      </x:c>
      <x:c r="P820" s="6" t="n">
        <x:v>3.9</x:v>
      </x:c>
      <x:c r="Q820" t="str">
        <x:v>No</x:v>
      </x:c>
    </x:row>
    <x:row r="821">
      <x:c r="A821" t="str">
        <x:v>ORD-00267</x:v>
      </x:c>
      <x:c r="B821" s="3" t="n">
        <x:v>45638.807394641204</x:v>
      </x:c>
      <x:c r="C821" t="str">
        <x:v>2024-12</x:v>
      </x:c>
      <x:c r="D821" t="str">
        <x:v>CUS-0334</x:v>
      </x:c>
      <x:c r="E821" t="str">
        <x:v>South East</x:v>
      </x:c>
      <x:c r="F821" t="str">
        <x:v>Store</x:v>
      </x:c>
      <x:c r="G821" t="str">
        <x:v>Sports</x:v>
      </x:c>
      <x:c r="H821" t="str">
        <x:v>Yoga Mat</x:v>
      </x:c>
      <x:c r="I821" t="n">
        <x:v>2</x:v>
      </x:c>
      <x:c r="J821" s="4" t="n">
        <x:v>31.24</x:v>
      </x:c>
      <x:c r="K821" s="4" t="n">
        <x:v>12</x:v>
      </x:c>
      <x:c r="L821" s="5" t="n">
        <x:v>0</x:v>
      </x:c>
      <x:c r="M821" s="4" t="n">
        <x:f>ROUND(I821*J821*(1-L821),2)</x:f>
        <x:v>62.48</x:v>
      </x:c>
      <x:c r="N821" s="4" t="n">
        <x:f>ROUND(I821*K821,2)</x:f>
        <x:v>24</x:v>
      </x:c>
      <x:c r="O821" s="4" t="n">
        <x:f>ROUND(M821-N821,2)</x:f>
        <x:v>38.48</x:v>
      </x:c>
      <x:c r="P821" s="6" t="n">
        <x:v>3.8</x:v>
      </x:c>
      <x:c r="Q821" t="str">
        <x:v>No</x:v>
      </x:c>
    </x:row>
    <x:row r="822">
      <x:c r="A822" t="str">
        <x:v>ORD-00477</x:v>
      </x:c>
      <x:c r="B822" s="3" t="n">
        <x:v>45639.12071541667</x:v>
      </x:c>
      <x:c r="C822" t="str">
        <x:v>2024-12</x:v>
      </x:c>
      <x:c r="D822" t="str">
        <x:v>CUS-0170</x:v>
      </x:c>
      <x:c r="E822" t="str">
        <x:v>South East</x:v>
      </x:c>
      <x:c r="F822" t="str">
        <x:v>Store</x:v>
      </x:c>
      <x:c r="G822" t="str">
        <x:v>Books</x:v>
      </x:c>
      <x:c r="H822" t="str">
        <x:v>Data Analytics Handbook</x:v>
      </x:c>
      <x:c r="I822" t="n">
        <x:v>1</x:v>
      </x:c>
      <x:c r="J822" s="4" t="n">
        <x:v>41.68</x:v>
      </x:c>
      <x:c r="K822" s="4" t="n">
        <x:v>14</x:v>
      </x:c>
      <x:c r="L822" s="5" t="n">
        <x:v>0.15</x:v>
      </x:c>
      <x:c r="M822" s="4" t="n">
        <x:f>ROUND(I822*J822*(1-L822),2)</x:f>
        <x:v>35.43</x:v>
      </x:c>
      <x:c r="N822" s="4" t="n">
        <x:f>ROUND(I822*K822,2)</x:f>
        <x:v>14</x:v>
      </x:c>
      <x:c r="O822" s="4" t="n">
        <x:f>ROUND(M822-N822,2)</x:f>
        <x:v>21.43</x:v>
      </x:c>
      <x:c r="P822" s="6" t="n">
        <x:v>4.9</x:v>
      </x:c>
      <x:c r="Q822" t="str">
        <x:v>Yes</x:v>
      </x:c>
    </x:row>
    <x:row r="823">
      <x:c r="A823" t="str">
        <x:v>ORD-01735</x:v>
      </x:c>
      <x:c r="B823" s="3" t="n">
        <x:v>45639.55825847222</x:v>
      </x:c>
      <x:c r="C823" t="str">
        <x:v>2024-12</x:v>
      </x:c>
      <x:c r="D823" t="str">
        <x:v>CUS-0284</x:v>
      </x:c>
      <x:c r="E823" t="str">
        <x:v>Wales</x:v>
      </x:c>
      <x:c r="F823" t="str">
        <x:v>Store</x:v>
      </x:c>
      <x:c r="G823" t="str">
        <x:v>Fashion</x:v>
      </x:c>
      <x:c r="H823" t="str">
        <x:v>Winter Jacket</x:v>
      </x:c>
      <x:c r="I823" t="n">
        <x:v>1</x:v>
      </x:c>
      <x:c r="J823" s="4" t="n">
        <x:v>98.39</x:v>
      </x:c>
      <x:c r="K823" s="4" t="n">
        <x:v>46</x:v>
      </x:c>
      <x:c r="L823" s="5" t="n">
        <x:v>0.15</x:v>
      </x:c>
      <x:c r="M823" s="4" t="n">
        <x:f>ROUND(I823*J823*(1-L823),2)</x:f>
        <x:v>83.63</x:v>
      </x:c>
      <x:c r="N823" s="4" t="n">
        <x:f>ROUND(I823*K823,2)</x:f>
        <x:v>46</x:v>
      </x:c>
      <x:c r="O823" s="4" t="n">
        <x:f>ROUND(M823-N823,2)</x:f>
        <x:v>37.63</x:v>
      </x:c>
      <x:c r="P823" s="6" t="n">
        <x:v>4.4</x:v>
      </x:c>
      <x:c r="Q823" t="str">
        <x:v>No</x:v>
      </x:c>
    </x:row>
    <x:row r="824">
      <x:c r="A824" t="str">
        <x:v>ORD-01329</x:v>
      </x:c>
      <x:c r="B824" s="3" t="n">
        <x:v>45639.80262185185</x:v>
      </x:c>
      <x:c r="C824" t="str">
        <x:v>2024-12</x:v>
      </x:c>
      <x:c r="D824" t="str">
        <x:v>CUS-0183</x:v>
      </x:c>
      <x:c r="E824" t="str">
        <x:v>South East</x:v>
      </x:c>
      <x:c r="F824" t="str">
        <x:v>Store</x:v>
      </x:c>
      <x:c r="G824" t="str">
        <x:v>Beauty</x:v>
      </x:c>
      <x:c r="H824" t="str">
        <x:v>Skin Care Set</x:v>
      </x:c>
      <x:c r="I824" t="n">
        <x:v>2</x:v>
      </x:c>
      <x:c r="J824" s="4" t="n">
        <x:v>46.7</x:v>
      </x:c>
      <x:c r="K824" s="4" t="n">
        <x:v>18</x:v>
      </x:c>
      <x:c r="L824" s="5" t="n">
        <x:v>0.15</x:v>
      </x:c>
      <x:c r="M824" s="4" t="n">
        <x:f>ROUND(I824*J824*(1-L824),2)</x:f>
        <x:v>79.39</x:v>
      </x:c>
      <x:c r="N824" s="4" t="n">
        <x:f>ROUND(I824*K824,2)</x:f>
        <x:v>36</x:v>
      </x:c>
      <x:c r="O824" s="4" t="n">
        <x:f>ROUND(M824-N824,2)</x:f>
        <x:v>43.39</x:v>
      </x:c>
      <x:c r="P824" s="6" t="n">
        <x:v>4.8</x:v>
      </x:c>
      <x:c r="Q824" t="str">
        <x:v>Yes</x:v>
      </x:c>
    </x:row>
    <x:row r="825">
      <x:c r="A825" t="str">
        <x:v>ORD-01479</x:v>
      </x:c>
      <x:c r="B825" s="3" t="n">
        <x:v>45640.49314421296</x:v>
      </x:c>
      <x:c r="C825" t="str">
        <x:v>2024-12</x:v>
      </x:c>
      <x:c r="D825" t="str">
        <x:v>CUS-0277</x:v>
      </x:c>
      <x:c r="E825" t="str">
        <x:v>North East</x:v>
      </x:c>
      <x:c r="F825" t="str">
        <x:v>Store</x:v>
      </x:c>
      <x:c r="G825" t="str">
        <x:v>Home</x:v>
      </x:c>
      <x:c r="H825" t="str">
        <x:v>Air Fryer</x:v>
      </x:c>
      <x:c r="I825" t="n">
        <x:v>3</x:v>
      </x:c>
      <x:c r="J825" s="4" t="n">
        <x:v>117.22</x:v>
      </x:c>
      <x:c r="K825" s="4" t="n">
        <x:v>69</x:v>
      </x:c>
      <x:c r="L825" s="5" t="n">
        <x:v>0</x:v>
      </x:c>
      <x:c r="M825" s="4" t="n">
        <x:f>ROUND(I825*J825*(1-L825),2)</x:f>
        <x:v>351.66</x:v>
      </x:c>
      <x:c r="N825" s="4" t="n">
        <x:f>ROUND(I825*K825,2)</x:f>
        <x:v>207</x:v>
      </x:c>
      <x:c r="O825" s="4" t="n">
        <x:f>ROUND(M825-N825,2)</x:f>
        <x:v>144.66</x:v>
      </x:c>
      <x:c r="P825" s="6" t="n">
        <x:v>3.7</x:v>
      </x:c>
      <x:c r="Q825" t="str">
        <x:v>No</x:v>
      </x:c>
    </x:row>
    <x:row r="826">
      <x:c r="A826" t="str">
        <x:v>ORD-01122</x:v>
      </x:c>
      <x:c r="B826" s="3" t="n">
        <x:v>45641.03204605324</x:v>
      </x:c>
      <x:c r="C826" t="str">
        <x:v>2024-12</x:v>
      </x:c>
      <x:c r="D826" t="str">
        <x:v>CUS-0521</x:v>
      </x:c>
      <x:c r="E826" t="str">
        <x:v>South East</x:v>
      </x:c>
      <x:c r="F826" t="str">
        <x:v>Online</x:v>
      </x:c>
      <x:c r="G826" t="str">
        <x:v>Electronics</x:v>
      </x:c>
      <x:c r="H826" t="str">
        <x:v>Smart Watch</x:v>
      </x:c>
      <x:c r="I826" t="n">
        <x:v>2</x:v>
      </x:c>
      <x:c r="J826" s="4" t="n">
        <x:v>164.24</x:v>
      </x:c>
      <x:c r="K826" s="4" t="n">
        <x:v>92</x:v>
      </x:c>
      <x:c r="L826" s="5" t="n">
        <x:v>0</x:v>
      </x:c>
      <x:c r="M826" s="4" t="n">
        <x:f>ROUND(I826*J826*(1-L826),2)</x:f>
        <x:v>328.48</x:v>
      </x:c>
      <x:c r="N826" s="4" t="n">
        <x:f>ROUND(I826*K826,2)</x:f>
        <x:v>184</x:v>
      </x:c>
      <x:c r="O826" s="4" t="n">
        <x:f>ROUND(M826-N826,2)</x:f>
        <x:v>144.48</x:v>
      </x:c>
      <x:c r="P826" s="6" t="n">
        <x:v>4.2</x:v>
      </x:c>
      <x:c r="Q826" t="str">
        <x:v>No</x:v>
      </x:c>
    </x:row>
    <x:row r="827">
      <x:c r="A827" t="str">
        <x:v>ORD-00958</x:v>
      </x:c>
      <x:c r="B827" s="3" t="n">
        <x:v>45641.177035520835</x:v>
      </x:c>
      <x:c r="C827" t="str">
        <x:v>2024-12</x:v>
      </x:c>
      <x:c r="D827" t="str">
        <x:v>CUS-0073</x:v>
      </x:c>
      <x:c r="E827" t="str">
        <x:v>North West</x:v>
      </x:c>
      <x:c r="F827" t="str">
        <x:v>Store</x:v>
      </x:c>
      <x:c r="G827" t="str">
        <x:v>Fashion</x:v>
      </x:c>
      <x:c r="H827" t="str">
        <x:v>Backpack</x:v>
      </x:c>
      <x:c r="I827" t="n">
        <x:v>5</x:v>
      </x:c>
      <x:c r="J827" s="4" t="n">
        <x:v>50</x:v>
      </x:c>
      <x:c r="K827" s="4" t="n">
        <x:v>21</x:v>
      </x:c>
      <x:c r="L827" s="5" t="n">
        <x:v>0</x:v>
      </x:c>
      <x:c r="M827" s="4" t="n">
        <x:f>ROUND(I827*J827*(1-L827),2)</x:f>
        <x:v>250</x:v>
      </x:c>
      <x:c r="N827" s="4" t="n">
        <x:f>ROUND(I827*K827,2)</x:f>
        <x:v>105</x:v>
      </x:c>
      <x:c r="O827" s="4" t="n">
        <x:f>ROUND(M827-N827,2)</x:f>
        <x:v>145</x:v>
      </x:c>
      <x:c r="P827" s="6" t="n">
        <x:v>3.6</x:v>
      </x:c>
      <x:c r="Q827" t="str">
        <x:v>No</x:v>
      </x:c>
    </x:row>
    <x:row r="828">
      <x:c r="A828" t="str">
        <x:v>ORD-00628</x:v>
      </x:c>
      <x:c r="B828" s="3" t="n">
        <x:v>45641.64561172454</x:v>
      </x:c>
      <x:c r="C828" t="str">
        <x:v>2024-12</x:v>
      </x:c>
      <x:c r="D828" t="str">
        <x:v>CUS-0476</x:v>
      </x:c>
      <x:c r="E828" t="str">
        <x:v>North East</x:v>
      </x:c>
      <x:c r="F828" t="str">
        <x:v>Online</x:v>
      </x:c>
      <x:c r="G828" t="str">
        <x:v>Electronics</x:v>
      </x:c>
      <x:c r="H828" t="str">
        <x:v>Smart Watch</x:v>
      </x:c>
      <x:c r="I828" t="n">
        <x:v>1</x:v>
      </x:c>
      <x:c r="J828" s="4" t="n">
        <x:v>152.53</x:v>
      </x:c>
      <x:c r="K828" s="4" t="n">
        <x:v>92</x:v>
      </x:c>
      <x:c r="L828" s="5" t="n">
        <x:v>0.2</x:v>
      </x:c>
      <x:c r="M828" s="4" t="n">
        <x:f>ROUND(I828*J828*(1-L828),2)</x:f>
        <x:v>122.02</x:v>
      </x:c>
      <x:c r="N828" s="4" t="n">
        <x:f>ROUND(I828*K828,2)</x:f>
        <x:v>92</x:v>
      </x:c>
      <x:c r="O828" s="4" t="n">
        <x:f>ROUND(M828-N828,2)</x:f>
        <x:v>30.02</x:v>
      </x:c>
      <x:c r="P828" s="6" t="n">
        <x:v>3.3</x:v>
      </x:c>
      <x:c r="Q828" t="str">
        <x:v>No</x:v>
      </x:c>
    </x:row>
    <x:row r="829">
      <x:c r="A829" t="str">
        <x:v>ORD-00899</x:v>
      </x:c>
      <x:c r="B829" s="3" t="n">
        <x:v>45642.63276111111</x:v>
      </x:c>
      <x:c r="C829" t="str">
        <x:v>2024-12</x:v>
      </x:c>
      <x:c r="D829" t="str">
        <x:v>CUS-0036</x:v>
      </x:c>
      <x:c r="E829" t="str">
        <x:v>North West</x:v>
      </x:c>
      <x:c r="F829" t="str">
        <x:v>Marketplace</x:v>
      </x:c>
      <x:c r="G829" t="str">
        <x:v>Books</x:v>
      </x:c>
      <x:c r="H829" t="str">
        <x:v>Business Intelligence Guide</x:v>
      </x:c>
      <x:c r="I829" t="n">
        <x:v>2</x:v>
      </x:c>
      <x:c r="J829" s="4" t="n">
        <x:v>35.88</x:v>
      </x:c>
      <x:c r="K829" s="4" t="n">
        <x:v>12</x:v>
      </x:c>
      <x:c r="L829" s="5" t="n">
        <x:v>0</x:v>
      </x:c>
      <x:c r="M829" s="4" t="n">
        <x:f>ROUND(I829*J829*(1-L829),2)</x:f>
        <x:v>71.76</x:v>
      </x:c>
      <x:c r="N829" s="4" t="n">
        <x:f>ROUND(I829*K829,2)</x:f>
        <x:v>24</x:v>
      </x:c>
      <x:c r="O829" s="4" t="n">
        <x:f>ROUND(M829-N829,2)</x:f>
        <x:v>47.76</x:v>
      </x:c>
      <x:c r="P829" s="6" t="n">
        <x:v>3.4</x:v>
      </x:c>
      <x:c r="Q829" t="str">
        <x:v>No</x:v>
      </x:c>
    </x:row>
    <x:row r="830">
      <x:c r="A830" t="str">
        <x:v>ORD-01029</x:v>
      </x:c>
      <x:c r="B830" s="3" t="n">
        <x:v>45642.71805498843</x:v>
      </x:c>
      <x:c r="C830" t="str">
        <x:v>2024-12</x:v>
      </x:c>
      <x:c r="D830" t="str">
        <x:v>CUS-0316</x:v>
      </x:c>
      <x:c r="E830" t="str">
        <x:v>Midlands</x:v>
      </x:c>
      <x:c r="F830" t="str">
        <x:v>Online</x:v>
      </x:c>
      <x:c r="G830" t="str">
        <x:v>Sports</x:v>
      </x:c>
      <x:c r="H830" t="str">
        <x:v>Yoga Mat</x:v>
      </x:c>
      <x:c r="I830" t="n">
        <x:v>5</x:v>
      </x:c>
      <x:c r="J830" s="4" t="n">
        <x:v>30.3</x:v>
      </x:c>
      <x:c r="K830" s="4" t="n">
        <x:v>12</x:v>
      </x:c>
      <x:c r="L830" s="5" t="n">
        <x:v>0.15</x:v>
      </x:c>
      <x:c r="M830" s="4" t="n">
        <x:f>ROUND(I830*J830*(1-L830),2)</x:f>
        <x:v>128.78</x:v>
      </x:c>
      <x:c r="N830" s="4" t="n">
        <x:f>ROUND(I830*K830,2)</x:f>
        <x:v>60</x:v>
      </x:c>
      <x:c r="O830" s="4" t="n">
        <x:f>ROUND(M830-N830,2)</x:f>
        <x:v>68.78</x:v>
      </x:c>
      <x:c r="P830" s="6" t="n">
        <x:v>4.2</x:v>
      </x:c>
      <x:c r="Q830" t="str">
        <x:v>No</x:v>
      </x:c>
    </x:row>
    <x:row r="831">
      <x:c r="A831" t="str">
        <x:v>ORD-00541</x:v>
      </x:c>
      <x:c r="B831" s="3" t="n">
        <x:v>45643.06095466435</x:v>
      </x:c>
      <x:c r="C831" t="str">
        <x:v>2024-12</x:v>
      </x:c>
      <x:c r="D831" t="str">
        <x:v>CUS-0469</x:v>
      </x:c>
      <x:c r="E831" t="str">
        <x:v>South East</x:v>
      </x:c>
      <x:c r="F831" t="str">
        <x:v>Store</x:v>
      </x:c>
      <x:c r="G831" t="str">
        <x:v>Home</x:v>
      </x:c>
      <x:c r="H831" t="str">
        <x:v>Desk Lamp</x:v>
      </x:c>
      <x:c r="I831" t="n">
        <x:v>5</x:v>
      </x:c>
      <x:c r="J831" s="4" t="n">
        <x:v>34.97</x:v>
      </x:c>
      <x:c r="K831" s="4" t="n">
        <x:v>17</x:v>
      </x:c>
      <x:c r="L831" s="5" t="n">
        <x:v>0.1</x:v>
      </x:c>
      <x:c r="M831" s="4" t="n">
        <x:f>ROUND(I831*J831*(1-L831),2)</x:f>
        <x:v>157.37</x:v>
      </x:c>
      <x:c r="N831" s="4" t="n">
        <x:f>ROUND(I831*K831,2)</x:f>
        <x:v>85</x:v>
      </x:c>
      <x:c r="O831" s="4" t="n">
        <x:f>ROUND(M831-N831,2)</x:f>
        <x:v>72.37</x:v>
      </x:c>
      <x:c r="P831" s="6" t="n">
        <x:v>4.9</x:v>
      </x:c>
      <x:c r="Q831" t="str">
        <x:v>No</x:v>
      </x:c>
    </x:row>
    <x:row r="832">
      <x:c r="A832" t="str">
        <x:v>ORD-00115</x:v>
      </x:c>
      <x:c r="B832" s="3" t="n">
        <x:v>45643.08549168982</x:v>
      </x:c>
      <x:c r="C832" t="str">
        <x:v>2024-12</x:v>
      </x:c>
      <x:c r="D832" t="str">
        <x:v>CUS-0612</x:v>
      </x:c>
      <x:c r="E832" t="str">
        <x:v>North West</x:v>
      </x:c>
      <x:c r="F832" t="str">
        <x:v>Marketplace</x:v>
      </x:c>
      <x:c r="G832" t="str">
        <x:v>Home</x:v>
      </x:c>
      <x:c r="H832" t="str">
        <x:v>Air Fryer</x:v>
      </x:c>
      <x:c r="I832" t="n">
        <x:v>2</x:v>
      </x:c>
      <x:c r="J832" s="4" t="n">
        <x:v>117.88</x:v>
      </x:c>
      <x:c r="K832" s="4" t="n">
        <x:v>69</x:v>
      </x:c>
      <x:c r="L832" s="5" t="n">
        <x:v>0.15</x:v>
      </x:c>
      <x:c r="M832" s="4" t="n">
        <x:f>ROUND(I832*J832*(1-L832),2)</x:f>
        <x:v>200.4</x:v>
      </x:c>
      <x:c r="N832" s="4" t="n">
        <x:f>ROUND(I832*K832,2)</x:f>
        <x:v>138</x:v>
      </x:c>
      <x:c r="O832" s="4" t="n">
        <x:f>ROUND(M832-N832,2)</x:f>
        <x:v>62.4</x:v>
      </x:c>
      <x:c r="P832" s="6" t="n">
        <x:v>4.4</x:v>
      </x:c>
      <x:c r="Q832" t="str">
        <x:v>No</x:v>
      </x:c>
    </x:row>
    <x:row r="833">
      <x:c r="A833" t="str">
        <x:v>ORD-00823</x:v>
      </x:c>
      <x:c r="B833" s="3" t="n">
        <x:v>45643.11052297454</x:v>
      </x:c>
      <x:c r="C833" t="str">
        <x:v>2024-12</x:v>
      </x:c>
      <x:c r="D833" t="str">
        <x:v>CUS-0417</x:v>
      </x:c>
      <x:c r="E833" t="str">
        <x:v>Wales</x:v>
      </x:c>
      <x:c r="F833" t="str">
        <x:v>Online</x:v>
      </x:c>
      <x:c r="G833" t="str">
        <x:v>Home</x:v>
      </x:c>
      <x:c r="H833" t="str">
        <x:v>Desk Lamp</x:v>
      </x:c>
      <x:c r="I833" t="n">
        <x:v>2</x:v>
      </x:c>
      <x:c r="J833" s="4" t="n">
        <x:v>36.03</x:v>
      </x:c>
      <x:c r="K833" s="4" t="n">
        <x:v>17</x:v>
      </x:c>
      <x:c r="L833" s="5" t="n">
        <x:v>0</x:v>
      </x:c>
      <x:c r="M833" s="4" t="n">
        <x:f>ROUND(I833*J833*(1-L833),2)</x:f>
        <x:v>72.06</x:v>
      </x:c>
      <x:c r="N833" s="4" t="n">
        <x:f>ROUND(I833*K833,2)</x:f>
        <x:v>34</x:v>
      </x:c>
      <x:c r="O833" s="4" t="n">
        <x:f>ROUND(M833-N833,2)</x:f>
        <x:v>38.06</x:v>
      </x:c>
      <x:c r="P833" s="6" t="n">
        <x:v>4.1</x:v>
      </x:c>
      <x:c r="Q833" t="str">
        <x:v>No</x:v>
      </x:c>
    </x:row>
    <x:row r="834">
      <x:c r="A834" t="str">
        <x:v>ORD-00251</x:v>
      </x:c>
      <x:c r="B834" s="3" t="n">
        <x:v>45644.50716383102</x:v>
      </x:c>
      <x:c r="C834" t="str">
        <x:v>2024-12</x:v>
      </x:c>
      <x:c r="D834" t="str">
        <x:v>CUS-0578</x:v>
      </x:c>
      <x:c r="E834" t="str">
        <x:v>Midlands</x:v>
      </x:c>
      <x:c r="F834" t="str">
        <x:v>Marketplace</x:v>
      </x:c>
      <x:c r="G834" t="str">
        <x:v>Books</x:v>
      </x:c>
      <x:c r="H834" t="str">
        <x:v>Data Analytics Handbook</x:v>
      </x:c>
      <x:c r="I834" t="n">
        <x:v>4</x:v>
      </x:c>
      <x:c r="J834" s="4" t="n">
        <x:v>38.79</x:v>
      </x:c>
      <x:c r="K834" s="4" t="n">
        <x:v>14</x:v>
      </x:c>
      <x:c r="L834" s="5" t="n">
        <x:v>0.1</x:v>
      </x:c>
      <x:c r="M834" s="4" t="n">
        <x:f>ROUND(I834*J834*(1-L834),2)</x:f>
        <x:v>139.64</x:v>
      </x:c>
      <x:c r="N834" s="4" t="n">
        <x:f>ROUND(I834*K834,2)</x:f>
        <x:v>56</x:v>
      </x:c>
      <x:c r="O834" s="4" t="n">
        <x:f>ROUND(M834-N834,2)</x:f>
        <x:v>83.64</x:v>
      </x:c>
      <x:c r="P834" s="6" t="n">
        <x:v>3.8</x:v>
      </x:c>
      <x:c r="Q834" t="str">
        <x:v>No</x:v>
      </x:c>
    </x:row>
    <x:row r="835">
      <x:c r="A835" t="str">
        <x:v>ORD-00582</x:v>
      </x:c>
      <x:c r="B835" s="3" t="n">
        <x:v>45644.905398773146</x:v>
      </x:c>
      <x:c r="C835" t="str">
        <x:v>2024-12</x:v>
      </x:c>
      <x:c r="D835" t="str">
        <x:v>CUS-0113</x:v>
      </x:c>
      <x:c r="E835" t="str">
        <x:v>Wales</x:v>
      </x:c>
      <x:c r="F835" t="str">
        <x:v>Store</x:v>
      </x:c>
      <x:c r="G835" t="str">
        <x:v>Books</x:v>
      </x:c>
      <x:c r="H835" t="str">
        <x:v>Business Intelligence Guide</x:v>
      </x:c>
      <x:c r="I835" t="n">
        <x:v>4</x:v>
      </x:c>
      <x:c r="J835" s="4" t="n">
        <x:v>34.5</x:v>
      </x:c>
      <x:c r="K835" s="4" t="n">
        <x:v>12</x:v>
      </x:c>
      <x:c r="L835" s="5" t="n">
        <x:v>0</x:v>
      </x:c>
      <x:c r="M835" s="4" t="n">
        <x:f>ROUND(I835*J835*(1-L835),2)</x:f>
        <x:v>138</x:v>
      </x:c>
      <x:c r="N835" s="4" t="n">
        <x:f>ROUND(I835*K835,2)</x:f>
        <x:v>48</x:v>
      </x:c>
      <x:c r="O835" s="4" t="n">
        <x:f>ROUND(M835-N835,2)</x:f>
        <x:v>90</x:v>
      </x:c>
      <x:c r="P835" s="6" t="n">
        <x:v>4</x:v>
      </x:c>
      <x:c r="Q835" t="str">
        <x:v>No</x:v>
      </x:c>
    </x:row>
    <x:row r="836">
      <x:c r="A836" t="str">
        <x:v>ORD-01712</x:v>
      </x:c>
      <x:c r="B836" s="3" t="n">
        <x:v>45645.229360798614</x:v>
      </x:c>
      <x:c r="C836" t="str">
        <x:v>2024-12</x:v>
      </x:c>
      <x:c r="D836" t="str">
        <x:v>CUS-0176</x:v>
      </x:c>
      <x:c r="E836" t="str">
        <x:v>Midlands</x:v>
      </x:c>
      <x:c r="F836" t="str">
        <x:v>Online</x:v>
      </x:c>
      <x:c r="G836" t="str">
        <x:v>Fashion</x:v>
      </x:c>
      <x:c r="H836" t="str">
        <x:v>Backpack</x:v>
      </x:c>
      <x:c r="I836" t="n">
        <x:v>2</x:v>
      </x:c>
      <x:c r="J836" s="4" t="n">
        <x:v>51.92</x:v>
      </x:c>
      <x:c r="K836" s="4" t="n">
        <x:v>21</x:v>
      </x:c>
      <x:c r="L836" s="5" t="n">
        <x:v>0.15</x:v>
      </x:c>
      <x:c r="M836" s="4" t="n">
        <x:f>ROUND(I836*J836*(1-L836),2)</x:f>
        <x:v>88.26</x:v>
      </x:c>
      <x:c r="N836" s="4" t="n">
        <x:f>ROUND(I836*K836,2)</x:f>
        <x:v>42</x:v>
      </x:c>
      <x:c r="O836" s="4" t="n">
        <x:f>ROUND(M836-N836,2)</x:f>
        <x:v>46.26</x:v>
      </x:c>
      <x:c r="P836" s="6" t="n">
        <x:v>3.4</x:v>
      </x:c>
      <x:c r="Q836" t="str">
        <x:v>No</x:v>
      </x:c>
    </x:row>
    <x:row r="837">
      <x:c r="A837" t="str">
        <x:v>ORD-00581</x:v>
      </x:c>
      <x:c r="B837" s="3" t="n">
        <x:v>45645.24626259259</x:v>
      </x:c>
      <x:c r="C837" t="str">
        <x:v>2024-12</x:v>
      </x:c>
      <x:c r="D837" t="str">
        <x:v>CUS-0290</x:v>
      </x:c>
      <x:c r="E837" t="str">
        <x:v>London</x:v>
      </x:c>
      <x:c r="F837" t="str">
        <x:v>Marketplace</x:v>
      </x:c>
      <x:c r="G837" t="str">
        <x:v>Home</x:v>
      </x:c>
      <x:c r="H837" t="str">
        <x:v>Coffee Maker</x:v>
      </x:c>
      <x:c r="I837" t="n">
        <x:v>1</x:v>
      </x:c>
      <x:c r="J837" s="4" t="n">
        <x:v>77.74</x:v>
      </x:c>
      <x:c r="K837" s="4" t="n">
        <x:v>41</x:v>
      </x:c>
      <x:c r="L837" s="5" t="n">
        <x:v>0.05</x:v>
      </x:c>
      <x:c r="M837" s="4" t="n">
        <x:f>ROUND(I837*J837*(1-L837),2)</x:f>
        <x:v>73.85</x:v>
      </x:c>
      <x:c r="N837" s="4" t="n">
        <x:f>ROUND(I837*K837,2)</x:f>
        <x:v>41</x:v>
      </x:c>
      <x:c r="O837" s="4" t="n">
        <x:f>ROUND(M837-N837,2)</x:f>
        <x:v>32.85</x:v>
      </x:c>
      <x:c r="P837" s="6" t="n">
        <x:v>4.8</x:v>
      </x:c>
      <x:c r="Q837" t="str">
        <x:v>No</x:v>
      </x:c>
    </x:row>
    <x:row r="838">
      <x:c r="A838" t="str">
        <x:v>ORD-00423</x:v>
      </x:c>
      <x:c r="B838" s="3" t="n">
        <x:v>45645.60406831018</x:v>
      </x:c>
      <x:c r="C838" t="str">
        <x:v>2024-12</x:v>
      </x:c>
      <x:c r="D838" t="str">
        <x:v>CUS-0411</x:v>
      </x:c>
      <x:c r="E838" t="str">
        <x:v>Midlands</x:v>
      </x:c>
      <x:c r="F838" t="str">
        <x:v>Store</x:v>
      </x:c>
      <x:c r="G838" t="str">
        <x:v>Electronics</x:v>
      </x:c>
      <x:c r="H838" t="str">
        <x:v>Wireless Headphones</x:v>
      </x:c>
      <x:c r="I838" t="n">
        <x:v>3</x:v>
      </x:c>
      <x:c r="J838" s="4" t="n">
        <x:v>86.32</x:v>
      </x:c>
      <x:c r="K838" s="4" t="n">
        <x:v>48</x:v>
      </x:c>
      <x:c r="L838" s="5" t="n">
        <x:v>0</x:v>
      </x:c>
      <x:c r="M838" s="4" t="n">
        <x:f>ROUND(I838*J838*(1-L838),2)</x:f>
        <x:v>258.96</x:v>
      </x:c>
      <x:c r="N838" s="4" t="n">
        <x:f>ROUND(I838*K838,2)</x:f>
        <x:v>144</x:v>
      </x:c>
      <x:c r="O838" s="4" t="n">
        <x:f>ROUND(M838-N838,2)</x:f>
        <x:v>114.96</x:v>
      </x:c>
      <x:c r="P838" s="6" t="n">
        <x:v>3.7</x:v>
      </x:c>
      <x:c r="Q838" t="str">
        <x:v>No</x:v>
      </x:c>
    </x:row>
    <x:row r="839">
      <x:c r="A839" t="str">
        <x:v>ORD-00929</x:v>
      </x:c>
      <x:c r="B839" s="3" t="n">
        <x:v>45646.00464300926</x:v>
      </x:c>
      <x:c r="C839" t="str">
        <x:v>2024-12</x:v>
      </x:c>
      <x:c r="D839" t="str">
        <x:v>CUS-0352</x:v>
      </x:c>
      <x:c r="E839" t="str">
        <x:v>South East</x:v>
      </x:c>
      <x:c r="F839" t="str">
        <x:v>Online</x:v>
      </x:c>
      <x:c r="G839" t="str">
        <x:v>Sports</x:v>
      </x:c>
      <x:c r="H839" t="str">
        <x:v>Yoga Mat</x:v>
      </x:c>
      <x:c r="I839" t="n">
        <x:v>1</x:v>
      </x:c>
      <x:c r="J839" s="4" t="n">
        <x:v>30.95</x:v>
      </x:c>
      <x:c r="K839" s="4" t="n">
        <x:v>12</x:v>
      </x:c>
      <x:c r="L839" s="5" t="n">
        <x:v>0.05</x:v>
      </x:c>
      <x:c r="M839" s="4" t="n">
        <x:f>ROUND(I839*J839*(1-L839),2)</x:f>
        <x:v>29.4</x:v>
      </x:c>
      <x:c r="N839" s="4" t="n">
        <x:f>ROUND(I839*K839,2)</x:f>
        <x:v>12</x:v>
      </x:c>
      <x:c r="O839" s="4" t="n">
        <x:f>ROUND(M839-N839,2)</x:f>
        <x:v>17.4</x:v>
      </x:c>
      <x:c r="P839" s="6" t="n">
        <x:v>5</x:v>
      </x:c>
      <x:c r="Q839" t="str">
        <x:v>No</x:v>
      </x:c>
    </x:row>
    <x:row r="840">
      <x:c r="A840" t="str">
        <x:v>ORD-01102</x:v>
      </x:c>
      <x:c r="B840" s="3" t="n">
        <x:v>45646.43778564815</x:v>
      </x:c>
      <x:c r="C840" t="str">
        <x:v>2024-12</x:v>
      </x:c>
      <x:c r="D840" t="str">
        <x:v>CUS-0126</x:v>
      </x:c>
      <x:c r="E840" t="str">
        <x:v>South West</x:v>
      </x:c>
      <x:c r="F840" t="str">
        <x:v>Marketplace</x:v>
      </x:c>
      <x:c r="G840" t="str">
        <x:v>Electronics</x:v>
      </x:c>
      <x:c r="H840" t="str">
        <x:v>Smart Watch</x:v>
      </x:c>
      <x:c r="I840" t="n">
        <x:v>4</x:v>
      </x:c>
      <x:c r="J840" s="4" t="n">
        <x:v>158.39</x:v>
      </x:c>
      <x:c r="K840" s="4" t="n">
        <x:v>92</x:v>
      </x:c>
      <x:c r="L840" s="5" t="n">
        <x:v>0.05</x:v>
      </x:c>
      <x:c r="M840" s="4" t="n">
        <x:f>ROUND(I840*J840*(1-L840),2)</x:f>
        <x:v>601.88</x:v>
      </x:c>
      <x:c r="N840" s="4" t="n">
        <x:f>ROUND(I840*K840,2)</x:f>
        <x:v>368</x:v>
      </x:c>
      <x:c r="O840" s="4" t="n">
        <x:f>ROUND(M840-N840,2)</x:f>
        <x:v>233.88</x:v>
      </x:c>
      <x:c r="P840" s="6" t="n">
        <x:v>5</x:v>
      </x:c>
      <x:c r="Q840" t="str">
        <x:v>No</x:v>
      </x:c>
    </x:row>
    <x:row r="841">
      <x:c r="A841" t="str">
        <x:v>ORD-01170</x:v>
      </x:c>
      <x:c r="B841" s="3" t="n">
        <x:v>45646.8008025463</x:v>
      </x:c>
      <x:c r="C841" t="str">
        <x:v>2024-12</x:v>
      </x:c>
      <x:c r="D841" t="str">
        <x:v>CUS-0616</x:v>
      </x:c>
      <x:c r="E841" t="str">
        <x:v>Wales</x:v>
      </x:c>
      <x:c r="F841" t="str">
        <x:v>Marketplace</x:v>
      </x:c>
      <x:c r="G841" t="str">
        <x:v>Beauty</x:v>
      </x:c>
      <x:c r="H841" t="str">
        <x:v>Hair Dryer</x:v>
      </x:c>
      <x:c r="I841" t="n">
        <x:v>2</x:v>
      </x:c>
      <x:c r="J841" s="4" t="n">
        <x:v>60.27</x:v>
      </x:c>
      <x:c r="K841" s="4" t="n">
        <x:v>29</x:v>
      </x:c>
      <x:c r="L841" s="5" t="n">
        <x:v>0</x:v>
      </x:c>
      <x:c r="M841" s="4" t="n">
        <x:f>ROUND(I841*J841*(1-L841),2)</x:f>
        <x:v>120.54</x:v>
      </x:c>
      <x:c r="N841" s="4" t="n">
        <x:f>ROUND(I841*K841,2)</x:f>
        <x:v>58</x:v>
      </x:c>
      <x:c r="O841" s="4" t="n">
        <x:f>ROUND(M841-N841,2)</x:f>
        <x:v>62.54</x:v>
      </x:c>
      <x:c r="P841" s="6" t="n">
        <x:v>3.6</x:v>
      </x:c>
      <x:c r="Q841" t="str">
        <x:v>No</x:v>
      </x:c>
    </x:row>
    <x:row r="842">
      <x:c r="A842" t="str">
        <x:v>ORD-01397</x:v>
      </x:c>
      <x:c r="B842" s="3" t="n">
        <x:v>45647.23192121528</x:v>
      </x:c>
      <x:c r="C842" t="str">
        <x:v>2024-12</x:v>
      </x:c>
      <x:c r="D842" t="str">
        <x:v>CUS-0520</x:v>
      </x:c>
      <x:c r="E842" t="str">
        <x:v>Midlands</x:v>
      </x:c>
      <x:c r="F842" t="str">
        <x:v>Store</x:v>
      </x:c>
      <x:c r="G842" t="str">
        <x:v>Beauty</x:v>
      </x:c>
      <x:c r="H842" t="str">
        <x:v>Hair Dryer</x:v>
      </x:c>
      <x:c r="I842" t="n">
        <x:v>5</x:v>
      </x:c>
      <x:c r="J842" s="4" t="n">
        <x:v>59.01</x:v>
      </x:c>
      <x:c r="K842" s="4" t="n">
        <x:v>29</x:v>
      </x:c>
      <x:c r="L842" s="5" t="n">
        <x:v>0.15</x:v>
      </x:c>
      <x:c r="M842" s="4" t="n">
        <x:f>ROUND(I842*J842*(1-L842),2)</x:f>
        <x:v>250.79</x:v>
      </x:c>
      <x:c r="N842" s="4" t="n">
        <x:f>ROUND(I842*K842,2)</x:f>
        <x:v>145</x:v>
      </x:c>
      <x:c r="O842" s="4" t="n">
        <x:f>ROUND(M842-N842,2)</x:f>
        <x:v>105.79</x:v>
      </x:c>
      <x:c r="P842" s="6" t="n">
        <x:v>4.9</x:v>
      </x:c>
      <x:c r="Q842" t="str">
        <x:v>Yes</x:v>
      </x:c>
    </x:row>
    <x:row r="843">
      <x:c r="A843" t="str">
        <x:v>ORD-00658</x:v>
      </x:c>
      <x:c r="B843" s="3" t="n">
        <x:v>45647.41883833333</x:v>
      </x:c>
      <x:c r="C843" t="str">
        <x:v>2024-12</x:v>
      </x:c>
      <x:c r="D843" t="str">
        <x:v>CUS-0121</x:v>
      </x:c>
      <x:c r="E843" t="str">
        <x:v>North East</x:v>
      </x:c>
      <x:c r="F843" t="str">
        <x:v>Marketplace</x:v>
      </x:c>
      <x:c r="G843" t="str">
        <x:v>Electronics</x:v>
      </x:c>
      <x:c r="H843" t="str">
        <x:v>Wireless Headphones</x:v>
      </x:c>
      <x:c r="I843" t="n">
        <x:v>3</x:v>
      </x:c>
      <x:c r="J843" s="4" t="n">
        <x:v>88.59</x:v>
      </x:c>
      <x:c r="K843" s="4" t="n">
        <x:v>48</x:v>
      </x:c>
      <x:c r="L843" s="5" t="n">
        <x:v>0.2</x:v>
      </x:c>
      <x:c r="M843" s="4" t="n">
        <x:f>ROUND(I843*J843*(1-L843),2)</x:f>
        <x:v>212.62</x:v>
      </x:c>
      <x:c r="N843" s="4" t="n">
        <x:f>ROUND(I843*K843,2)</x:f>
        <x:v>144</x:v>
      </x:c>
      <x:c r="O843" s="4" t="n">
        <x:f>ROUND(M843-N843,2)</x:f>
        <x:v>68.62</x:v>
      </x:c>
      <x:c r="P843" s="6" t="n">
        <x:v>4.8</x:v>
      </x:c>
      <x:c r="Q843" t="str">
        <x:v>No</x:v>
      </x:c>
    </x:row>
    <x:row r="844">
      <x:c r="A844" t="str">
        <x:v>ORD-00190</x:v>
      </x:c>
      <x:c r="B844" s="3" t="n">
        <x:v>45647.43684525463</x:v>
      </x:c>
      <x:c r="C844" t="str">
        <x:v>2024-12</x:v>
      </x:c>
      <x:c r="D844" t="str">
        <x:v>CUS-0609</x:v>
      </x:c>
      <x:c r="E844" t="str">
        <x:v>North West</x:v>
      </x:c>
      <x:c r="F844" t="str">
        <x:v>Online</x:v>
      </x:c>
      <x:c r="G844" t="str">
        <x:v>Electronics</x:v>
      </x:c>
      <x:c r="H844" t="str">
        <x:v>Smart Watch</x:v>
      </x:c>
      <x:c r="I844" t="n">
        <x:v>1</x:v>
      </x:c>
      <x:c r="J844" s="4" t="n">
        <x:v>152.09</x:v>
      </x:c>
      <x:c r="K844" s="4" t="n">
        <x:v>92</x:v>
      </x:c>
      <x:c r="L844" s="5" t="n">
        <x:v>0.1</x:v>
      </x:c>
      <x:c r="M844" s="4" t="n">
        <x:f>ROUND(I844*J844*(1-L844),2)</x:f>
        <x:v>136.88</x:v>
      </x:c>
      <x:c r="N844" s="4" t="n">
        <x:f>ROUND(I844*K844,2)</x:f>
        <x:v>92</x:v>
      </x:c>
      <x:c r="O844" s="4" t="n">
        <x:f>ROUND(M844-N844,2)</x:f>
        <x:v>44.88</x:v>
      </x:c>
      <x:c r="P844" s="6" t="n">
        <x:v>5</x:v>
      </x:c>
      <x:c r="Q844" t="str">
        <x:v>No</x:v>
      </x:c>
    </x:row>
    <x:row r="845">
      <x:c r="A845" t="str">
        <x:v>ORD-00549</x:v>
      </x:c>
      <x:c r="B845" s="3" t="n">
        <x:v>45647.467856296294</x:v>
      </x:c>
      <x:c r="C845" t="str">
        <x:v>2024-12</x:v>
      </x:c>
      <x:c r="D845" t="str">
        <x:v>CUS-0256</x:v>
      </x:c>
      <x:c r="E845" t="str">
        <x:v>Scotland</x:v>
      </x:c>
      <x:c r="F845" t="str">
        <x:v>Online</x:v>
      </x:c>
      <x:c r="G845" t="str">
        <x:v>Beauty</x:v>
      </x:c>
      <x:c r="H845" t="str">
        <x:v>Hair Dryer</x:v>
      </x:c>
      <x:c r="I845" t="n">
        <x:v>2</x:v>
      </x:c>
      <x:c r="J845" s="4" t="n">
        <x:v>61.73</x:v>
      </x:c>
      <x:c r="K845" s="4" t="n">
        <x:v>29</x:v>
      </x:c>
      <x:c r="L845" s="5" t="n">
        <x:v>0.05</x:v>
      </x:c>
      <x:c r="M845" s="4" t="n">
        <x:f>ROUND(I845*J845*(1-L845),2)</x:f>
        <x:v>117.29</x:v>
      </x:c>
      <x:c r="N845" s="4" t="n">
        <x:f>ROUND(I845*K845,2)</x:f>
        <x:v>58</x:v>
      </x:c>
      <x:c r="O845" s="4" t="n">
        <x:f>ROUND(M845-N845,2)</x:f>
        <x:v>59.29</x:v>
      </x:c>
      <x:c r="P845" s="6" t="n">
        <x:v>3.8</x:v>
      </x:c>
      <x:c r="Q845" t="str">
        <x:v>No</x:v>
      </x:c>
    </x:row>
    <x:row r="846">
      <x:c r="A846" t="str">
        <x:v>ORD-01773</x:v>
      </x:c>
      <x:c r="B846" s="3" t="n">
        <x:v>45647.50767194445</x:v>
      </x:c>
      <x:c r="C846" t="str">
        <x:v>2024-12</x:v>
      </x:c>
      <x:c r="D846" t="str">
        <x:v>CUS-0263</x:v>
      </x:c>
      <x:c r="E846" t="str">
        <x:v>North East</x:v>
      </x:c>
      <x:c r="F846" t="str">
        <x:v>Marketplace</x:v>
      </x:c>
      <x:c r="G846" t="str">
        <x:v>Fashion</x:v>
      </x:c>
      <x:c r="H846" t="str">
        <x:v>Winter Jacket</x:v>
      </x:c>
      <x:c r="I846" t="n">
        <x:v>2</x:v>
      </x:c>
      <x:c r="J846" s="4" t="n">
        <x:v>91.15</x:v>
      </x:c>
      <x:c r="K846" s="4" t="n">
        <x:v>46</x:v>
      </x:c>
      <x:c r="L846" s="5" t="n">
        <x:v>0.05</x:v>
      </x:c>
      <x:c r="M846" s="4" t="n">
        <x:f>ROUND(I846*J846*(1-L846),2)</x:f>
        <x:v>173.19</x:v>
      </x:c>
      <x:c r="N846" s="4" t="n">
        <x:f>ROUND(I846*K846,2)</x:f>
        <x:v>92</x:v>
      </x:c>
      <x:c r="O846" s="4" t="n">
        <x:f>ROUND(M846-N846,2)</x:f>
        <x:v>81.19</x:v>
      </x:c>
      <x:c r="P846" s="6" t="n">
        <x:v>3.3</x:v>
      </x:c>
      <x:c r="Q846" t="str">
        <x:v>No</x:v>
      </x:c>
    </x:row>
    <x:row r="847">
      <x:c r="A847" t="str">
        <x:v>ORD-00295</x:v>
      </x:c>
      <x:c r="B847" s="3" t="n">
        <x:v>45647.97626582176</x:v>
      </x:c>
      <x:c r="C847" t="str">
        <x:v>2024-12</x:v>
      </x:c>
      <x:c r="D847" t="str">
        <x:v>CUS-0559</x:v>
      </x:c>
      <x:c r="E847" t="str">
        <x:v>South East</x:v>
      </x:c>
      <x:c r="F847" t="str">
        <x:v>Online</x:v>
      </x:c>
      <x:c r="G847" t="str">
        <x:v>Electronics</x:v>
      </x:c>
      <x:c r="H847" t="str">
        <x:v>Smart Watch</x:v>
      </x:c>
      <x:c r="I847" t="n">
        <x:v>4</x:v>
      </x:c>
      <x:c r="J847" s="4" t="n">
        <x:v>159.62</x:v>
      </x:c>
      <x:c r="K847" s="4" t="n">
        <x:v>92</x:v>
      </x:c>
      <x:c r="L847" s="5" t="n">
        <x:v>0.05</x:v>
      </x:c>
      <x:c r="M847" s="4" t="n">
        <x:f>ROUND(I847*J847*(1-L847),2)</x:f>
        <x:v>606.56</x:v>
      </x:c>
      <x:c r="N847" s="4" t="n">
        <x:f>ROUND(I847*K847,2)</x:f>
        <x:v>368</x:v>
      </x:c>
      <x:c r="O847" s="4" t="n">
        <x:f>ROUND(M847-N847,2)</x:f>
        <x:v>238.56</x:v>
      </x:c>
      <x:c r="P847" s="6" t="n">
        <x:v>3.6</x:v>
      </x:c>
      <x:c r="Q847" t="str">
        <x:v>No</x:v>
      </x:c>
    </x:row>
    <x:row r="848">
      <x:c r="A848" t="str">
        <x:v>ORD-00543</x:v>
      </x:c>
      <x:c r="B848" s="3" t="n">
        <x:v>45648.196060891205</x:v>
      </x:c>
      <x:c r="C848" t="str">
        <x:v>2024-12</x:v>
      </x:c>
      <x:c r="D848" t="str">
        <x:v>CUS-0123</x:v>
      </x:c>
      <x:c r="E848" t="str">
        <x:v>Midlands</x:v>
      </x:c>
      <x:c r="F848" t="str">
        <x:v>Store</x:v>
      </x:c>
      <x:c r="G848" t="str">
        <x:v>Home</x:v>
      </x:c>
      <x:c r="H848" t="str">
        <x:v>Coffee Maker</x:v>
      </x:c>
      <x:c r="I848" t="n">
        <x:v>5</x:v>
      </x:c>
      <x:c r="J848" s="4" t="n">
        <x:v>77.66</x:v>
      </x:c>
      <x:c r="K848" s="4" t="n">
        <x:v>41</x:v>
      </x:c>
      <x:c r="L848" s="5" t="n">
        <x:v>0</x:v>
      </x:c>
      <x:c r="M848" s="4" t="n">
        <x:f>ROUND(I848*J848*(1-L848),2)</x:f>
        <x:v>388.3</x:v>
      </x:c>
      <x:c r="N848" s="4" t="n">
        <x:f>ROUND(I848*K848,2)</x:f>
        <x:v>205</x:v>
      </x:c>
      <x:c r="O848" s="4" t="n">
        <x:f>ROUND(M848-N848,2)</x:f>
        <x:v>183.3</x:v>
      </x:c>
      <x:c r="P848" s="6" t="n">
        <x:v>3.2</x:v>
      </x:c>
      <x:c r="Q848" t="str">
        <x:v>No</x:v>
      </x:c>
    </x:row>
    <x:row r="849">
      <x:c r="A849" t="str">
        <x:v>ORD-01312</x:v>
      </x:c>
      <x:c r="B849" s="3" t="n">
        <x:v>45648.447588344905</x:v>
      </x:c>
      <x:c r="C849" t="str">
        <x:v>2024-12</x:v>
      </x:c>
      <x:c r="D849" t="str">
        <x:v>CUS-0153</x:v>
      </x:c>
      <x:c r="E849" t="str">
        <x:v>Scotland</x:v>
      </x:c>
      <x:c r="F849" t="str">
        <x:v>Marketplace</x:v>
      </x:c>
      <x:c r="G849" t="str">
        <x:v>Beauty</x:v>
      </x:c>
      <x:c r="H849" t="str">
        <x:v>Skin Care Set</x:v>
      </x:c>
      <x:c r="I849" t="n">
        <x:v>2</x:v>
      </x:c>
      <x:c r="J849" s="4" t="n">
        <x:v>43.27</x:v>
      </x:c>
      <x:c r="K849" s="4" t="n">
        <x:v>18</x:v>
      </x:c>
      <x:c r="L849" s="5" t="n">
        <x:v>0.15</x:v>
      </x:c>
      <x:c r="M849" s="4" t="n">
        <x:f>ROUND(I849*J849*(1-L849),2)</x:f>
        <x:v>73.56</x:v>
      </x:c>
      <x:c r="N849" s="4" t="n">
        <x:f>ROUND(I849*K849,2)</x:f>
        <x:v>36</x:v>
      </x:c>
      <x:c r="O849" s="4" t="n">
        <x:f>ROUND(M849-N849,2)</x:f>
        <x:v>37.56</x:v>
      </x:c>
      <x:c r="P849" s="6" t="n">
        <x:v>4.8</x:v>
      </x:c>
      <x:c r="Q849" t="str">
        <x:v>No</x:v>
      </x:c>
    </x:row>
    <x:row r="850">
      <x:c r="A850" t="str">
        <x:v>ORD-00570</x:v>
      </x:c>
      <x:c r="B850" s="3" t="n">
        <x:v>45648.587176284724</x:v>
      </x:c>
      <x:c r="C850" t="str">
        <x:v>2024-12</x:v>
      </x:c>
      <x:c r="D850" t="str">
        <x:v>CUS-0104</x:v>
      </x:c>
      <x:c r="E850" t="str">
        <x:v>North West</x:v>
      </x:c>
      <x:c r="F850" t="str">
        <x:v>Online</x:v>
      </x:c>
      <x:c r="G850" t="str">
        <x:v>Electronics</x:v>
      </x:c>
      <x:c r="H850" t="str">
        <x:v>Wireless Headphones</x:v>
      </x:c>
      <x:c r="I850" t="n">
        <x:v>3</x:v>
      </x:c>
      <x:c r="J850" s="4" t="n">
        <x:v>89.76</x:v>
      </x:c>
      <x:c r="K850" s="4" t="n">
        <x:v>48</x:v>
      </x:c>
      <x:c r="L850" s="5" t="n">
        <x:v>0.15</x:v>
      </x:c>
      <x:c r="M850" s="4" t="n">
        <x:f>ROUND(I850*J850*(1-L850),2)</x:f>
        <x:v>228.89</x:v>
      </x:c>
      <x:c r="N850" s="4" t="n">
        <x:f>ROUND(I850*K850,2)</x:f>
        <x:v>144</x:v>
      </x:c>
      <x:c r="O850" s="4" t="n">
        <x:f>ROUND(M850-N850,2)</x:f>
        <x:v>84.89</x:v>
      </x:c>
      <x:c r="P850" s="6" t="n">
        <x:v>3.6</x:v>
      </x:c>
      <x:c r="Q850" t="str">
        <x:v>No</x:v>
      </x:c>
    </x:row>
    <x:row r="851">
      <x:c r="A851" t="str">
        <x:v>ORD-00068</x:v>
      </x:c>
      <x:c r="B851" s="3" t="n">
        <x:v>45649.81085596065</x:v>
      </x:c>
      <x:c r="C851" t="str">
        <x:v>2024-12</x:v>
      </x:c>
      <x:c r="D851" t="str">
        <x:v>CUS-0325</x:v>
      </x:c>
      <x:c r="E851" t="str">
        <x:v>Scotland</x:v>
      </x:c>
      <x:c r="F851" t="str">
        <x:v>Online</x:v>
      </x:c>
      <x:c r="G851" t="str">
        <x:v>Home</x:v>
      </x:c>
      <x:c r="H851" t="str">
        <x:v>Air Fryer</x:v>
      </x:c>
      <x:c r="I851" t="n">
        <x:v>5</x:v>
      </x:c>
      <x:c r="J851" s="4" t="n">
        <x:v>117.37</x:v>
      </x:c>
      <x:c r="K851" s="4" t="n">
        <x:v>69</x:v>
      </x:c>
      <x:c r="L851" s="5" t="n">
        <x:v>0</x:v>
      </x:c>
      <x:c r="M851" s="4" t="n">
        <x:f>ROUND(I851*J851*(1-L851),2)</x:f>
        <x:v>586.85</x:v>
      </x:c>
      <x:c r="N851" s="4" t="n">
        <x:f>ROUND(I851*K851,2)</x:f>
        <x:v>345</x:v>
      </x:c>
      <x:c r="O851" s="4" t="n">
        <x:f>ROUND(M851-N851,2)</x:f>
        <x:v>241.85</x:v>
      </x:c>
      <x:c r="P851" s="6" t="n">
        <x:v>4.5</x:v>
      </x:c>
      <x:c r="Q851" t="str">
        <x:v>No</x:v>
      </x:c>
    </x:row>
    <x:row r="852">
      <x:c r="A852" t="str">
        <x:v>ORD-00615</x:v>
      </x:c>
      <x:c r="B852" s="3" t="n">
        <x:v>45649.81516597222</x:v>
      </x:c>
      <x:c r="C852" t="str">
        <x:v>2024-12</x:v>
      </x:c>
      <x:c r="D852" t="str">
        <x:v>CUS-0472</x:v>
      </x:c>
      <x:c r="E852" t="str">
        <x:v>South West</x:v>
      </x:c>
      <x:c r="F852" t="str">
        <x:v>Online</x:v>
      </x:c>
      <x:c r="G852" t="str">
        <x:v>Electronics</x:v>
      </x:c>
      <x:c r="H852" t="str">
        <x:v>Smart Watch</x:v>
      </x:c>
      <x:c r="I852" t="n">
        <x:v>5</x:v>
      </x:c>
      <x:c r="J852" s="4" t="n">
        <x:v>167.07</x:v>
      </x:c>
      <x:c r="K852" s="4" t="n">
        <x:v>92</x:v>
      </x:c>
      <x:c r="L852" s="5" t="n">
        <x:v>0</x:v>
      </x:c>
      <x:c r="M852" s="4" t="n">
        <x:f>ROUND(I852*J852*(1-L852),2)</x:f>
        <x:v>835.35</x:v>
      </x:c>
      <x:c r="N852" s="4" t="n">
        <x:f>ROUND(I852*K852,2)</x:f>
        <x:v>460</x:v>
      </x:c>
      <x:c r="O852" s="4" t="n">
        <x:f>ROUND(M852-N852,2)</x:f>
        <x:v>375.35</x:v>
      </x:c>
      <x:c r="P852" s="6" t="n">
        <x:v>5</x:v>
      </x:c>
      <x:c r="Q852" t="str">
        <x:v>No</x:v>
      </x:c>
    </x:row>
    <x:row r="853">
      <x:c r="A853" t="str">
        <x:v>ORD-00357</x:v>
      </x:c>
      <x:c r="B853" s="3" t="n">
        <x:v>45650.68606753472</x:v>
      </x:c>
      <x:c r="C853" t="str">
        <x:v>2024-12</x:v>
      </x:c>
      <x:c r="D853" t="str">
        <x:v>CUS-0618</x:v>
      </x:c>
      <x:c r="E853" t="str">
        <x:v>South East</x:v>
      </x:c>
      <x:c r="F853" t="str">
        <x:v>Online</x:v>
      </x:c>
      <x:c r="G853" t="str">
        <x:v>Books</x:v>
      </x:c>
      <x:c r="H853" t="str">
        <x:v>Data Analytics Handbook</x:v>
      </x:c>
      <x:c r="I853" t="n">
        <x:v>4</x:v>
      </x:c>
      <x:c r="J853" s="4" t="n">
        <x:v>39.87</x:v>
      </x:c>
      <x:c r="K853" s="4" t="n">
        <x:v>14</x:v>
      </x:c>
      <x:c r="L853" s="5" t="n">
        <x:v>0.15</x:v>
      </x:c>
      <x:c r="M853" s="4" t="n">
        <x:f>ROUND(I853*J853*(1-L853),2)</x:f>
        <x:v>135.56</x:v>
      </x:c>
      <x:c r="N853" s="4" t="n">
        <x:f>ROUND(I853*K853,2)</x:f>
        <x:v>56</x:v>
      </x:c>
      <x:c r="O853" s="4" t="n">
        <x:f>ROUND(M853-N853,2)</x:f>
        <x:v>79.56</x:v>
      </x:c>
      <x:c r="P853" s="6" t="n">
        <x:v>3.3</x:v>
      </x:c>
      <x:c r="Q853" t="str">
        <x:v>No</x:v>
      </x:c>
    </x:row>
    <x:row r="854">
      <x:c r="A854" t="str">
        <x:v>ORD-01423</x:v>
      </x:c>
      <x:c r="B854" s="3" t="n">
        <x:v>45650.74329928241</x:v>
      </x:c>
      <x:c r="C854" t="str">
        <x:v>2024-12</x:v>
      </x:c>
      <x:c r="D854" t="str">
        <x:v>CUS-0316</x:v>
      </x:c>
      <x:c r="E854" t="str">
        <x:v>North East</x:v>
      </x:c>
      <x:c r="F854" t="str">
        <x:v>Marketplace</x:v>
      </x:c>
      <x:c r="G854" t="str">
        <x:v>Sports</x:v>
      </x:c>
      <x:c r="H854" t="str">
        <x:v>Running Shoes</x:v>
      </x:c>
      <x:c r="I854" t="n">
        <x:v>5</x:v>
      </x:c>
      <x:c r="J854" s="4" t="n">
        <x:v>82.13</x:v>
      </x:c>
      <x:c r="K854" s="4" t="n">
        <x:v>38</x:v>
      </x:c>
      <x:c r="L854" s="5" t="n">
        <x:v>0.05</x:v>
      </x:c>
      <x:c r="M854" s="4" t="n">
        <x:f>ROUND(I854*J854*(1-L854),2)</x:f>
        <x:v>390.12</x:v>
      </x:c>
      <x:c r="N854" s="4" t="n">
        <x:f>ROUND(I854*K854,2)</x:f>
        <x:v>190</x:v>
      </x:c>
      <x:c r="O854" s="4" t="n">
        <x:f>ROUND(M854-N854,2)</x:f>
        <x:v>200.12</x:v>
      </x:c>
      <x:c r="P854" s="6" t="n">
        <x:v>3.6</x:v>
      </x:c>
      <x:c r="Q854" t="str">
        <x:v>No</x:v>
      </x:c>
    </x:row>
    <x:row r="855">
      <x:c r="A855" t="str">
        <x:v>ORD-00179</x:v>
      </x:c>
      <x:c r="B855" s="3" t="n">
        <x:v>45651.57841476852</x:v>
      </x:c>
      <x:c r="C855" t="str">
        <x:v>2024-12</x:v>
      </x:c>
      <x:c r="D855" t="str">
        <x:v>CUS-0472</x:v>
      </x:c>
      <x:c r="E855" t="str">
        <x:v>Wales</x:v>
      </x:c>
      <x:c r="F855" t="str">
        <x:v>Marketplace</x:v>
      </x:c>
      <x:c r="G855" t="str">
        <x:v>Fashion</x:v>
      </x:c>
      <x:c r="H855" t="str">
        <x:v>Winter Jacket</x:v>
      </x:c>
      <x:c r="I855" t="n">
        <x:v>1</x:v>
      </x:c>
      <x:c r="J855" s="4" t="n">
        <x:v>95.68</x:v>
      </x:c>
      <x:c r="K855" s="4" t="n">
        <x:v>46</x:v>
      </x:c>
      <x:c r="L855" s="5" t="n">
        <x:v>0</x:v>
      </x:c>
      <x:c r="M855" s="4" t="n">
        <x:f>ROUND(I855*J855*(1-L855),2)</x:f>
        <x:v>95.68</x:v>
      </x:c>
      <x:c r="N855" s="4" t="n">
        <x:f>ROUND(I855*K855,2)</x:f>
        <x:v>46</x:v>
      </x:c>
      <x:c r="O855" s="4" t="n">
        <x:f>ROUND(M855-N855,2)</x:f>
        <x:v>49.68</x:v>
      </x:c>
      <x:c r="P855" s="6" t="n">
        <x:v>3.6</x:v>
      </x:c>
      <x:c r="Q855" t="str">
        <x:v>No</x:v>
      </x:c>
    </x:row>
    <x:row r="856">
      <x:c r="A856" t="str">
        <x:v>ORD-00755</x:v>
      </x:c>
      <x:c r="B856" s="3" t="n">
        <x:v>45651.65745320602</x:v>
      </x:c>
      <x:c r="C856" t="str">
        <x:v>2024-12</x:v>
      </x:c>
      <x:c r="D856" t="str">
        <x:v>CUS-0202</x:v>
      </x:c>
      <x:c r="E856" t="str">
        <x:v>Scotland</x:v>
      </x:c>
      <x:c r="F856" t="str">
        <x:v>Store</x:v>
      </x:c>
      <x:c r="G856" t="str">
        <x:v>Beauty</x:v>
      </x:c>
      <x:c r="H856" t="str">
        <x:v>Hair Dryer</x:v>
      </x:c>
      <x:c r="I856" t="n">
        <x:v>3</x:v>
      </x:c>
      <x:c r="J856" s="4" t="n">
        <x:v>57.42</x:v>
      </x:c>
      <x:c r="K856" s="4" t="n">
        <x:v>29</x:v>
      </x:c>
      <x:c r="L856" s="5" t="n">
        <x:v>0.15</x:v>
      </x:c>
      <x:c r="M856" s="4" t="n">
        <x:f>ROUND(I856*J856*(1-L856),2)</x:f>
        <x:v>146.42</x:v>
      </x:c>
      <x:c r="N856" s="4" t="n">
        <x:f>ROUND(I856*K856,2)</x:f>
        <x:v>87</x:v>
      </x:c>
      <x:c r="O856" s="4" t="n">
        <x:f>ROUND(M856-N856,2)</x:f>
        <x:v>59.42</x:v>
      </x:c>
      <x:c r="P856" s="6" t="n">
        <x:v>5</x:v>
      </x:c>
      <x:c r="Q856" t="str">
        <x:v>No</x:v>
      </x:c>
    </x:row>
    <x:row r="857">
      <x:c r="A857" t="str">
        <x:v>ORD-01024</x:v>
      </x:c>
      <x:c r="B857" s="3" t="n">
        <x:v>45652.045882453705</x:v>
      </x:c>
      <x:c r="C857" t="str">
        <x:v>2024-12</x:v>
      </x:c>
      <x:c r="D857" t="str">
        <x:v>CUS-0116</x:v>
      </x:c>
      <x:c r="E857" t="str">
        <x:v>Wales</x:v>
      </x:c>
      <x:c r="F857" t="str">
        <x:v>Store</x:v>
      </x:c>
      <x:c r="G857" t="str">
        <x:v>Sports</x:v>
      </x:c>
      <x:c r="H857" t="str">
        <x:v>Yoga Mat</x:v>
      </x:c>
      <x:c r="I857" t="n">
        <x:v>4</x:v>
      </x:c>
      <x:c r="J857" s="4" t="n">
        <x:v>30.54</x:v>
      </x:c>
      <x:c r="K857" s="4" t="n">
        <x:v>12</x:v>
      </x:c>
      <x:c r="L857" s="5" t="n">
        <x:v>0</x:v>
      </x:c>
      <x:c r="M857" s="4" t="n">
        <x:f>ROUND(I857*J857*(1-L857),2)</x:f>
        <x:v>122.16</x:v>
      </x:c>
      <x:c r="N857" s="4" t="n">
        <x:f>ROUND(I857*K857,2)</x:f>
        <x:v>48</x:v>
      </x:c>
      <x:c r="O857" s="4" t="n">
        <x:f>ROUND(M857-N857,2)</x:f>
        <x:v>74.16</x:v>
      </x:c>
      <x:c r="P857" s="6" t="n">
        <x:v>3.9</x:v>
      </x:c>
      <x:c r="Q857" t="str">
        <x:v>No</x:v>
      </x:c>
    </x:row>
    <x:row r="858">
      <x:c r="A858" t="str">
        <x:v>ORD-00839</x:v>
      </x:c>
      <x:c r="B858" s="3" t="n">
        <x:v>45652.610326828704</x:v>
      </x:c>
      <x:c r="C858" t="str">
        <x:v>2024-12</x:v>
      </x:c>
      <x:c r="D858" t="str">
        <x:v>CUS-0512</x:v>
      </x:c>
      <x:c r="E858" t="str">
        <x:v>South West</x:v>
      </x:c>
      <x:c r="F858" t="str">
        <x:v>Marketplace</x:v>
      </x:c>
      <x:c r="G858" t="str">
        <x:v>Sports</x:v>
      </x:c>
      <x:c r="H858" t="str">
        <x:v>Fitness Tracker</x:v>
      </x:c>
      <x:c r="I858" t="n">
        <x:v>2</x:v>
      </x:c>
      <x:c r="J858" s="4" t="n">
        <x:v>57.73</x:v>
      </x:c>
      <x:c r="K858" s="4" t="n">
        <x:v>27</x:v>
      </x:c>
      <x:c r="L858" s="5" t="n">
        <x:v>0</x:v>
      </x:c>
      <x:c r="M858" s="4" t="n">
        <x:f>ROUND(I858*J858*(1-L858),2)</x:f>
        <x:v>115.46</x:v>
      </x:c>
      <x:c r="N858" s="4" t="n">
        <x:f>ROUND(I858*K858,2)</x:f>
        <x:v>54</x:v>
      </x:c>
      <x:c r="O858" s="4" t="n">
        <x:f>ROUND(M858-N858,2)</x:f>
        <x:v>61.46</x:v>
      </x:c>
      <x:c r="P858" s="6" t="n">
        <x:v>3.4</x:v>
      </x:c>
      <x:c r="Q858" t="str">
        <x:v>No</x:v>
      </x:c>
    </x:row>
    <x:row r="859">
      <x:c r="A859" t="str">
        <x:v>ORD-01785</x:v>
      </x:c>
      <x:c r="B859" s="3" t="n">
        <x:v>45652.96860574074</x:v>
      </x:c>
      <x:c r="C859" t="str">
        <x:v>2024-12</x:v>
      </x:c>
      <x:c r="D859" t="str">
        <x:v>CUS-0017</x:v>
      </x:c>
      <x:c r="E859" t="str">
        <x:v>North East</x:v>
      </x:c>
      <x:c r="F859" t="str">
        <x:v>Marketplace</x:v>
      </x:c>
      <x:c r="G859" t="str">
        <x:v>Sports</x:v>
      </x:c>
      <x:c r="H859" t="str">
        <x:v>Yoga Mat</x:v>
      </x:c>
      <x:c r="I859" t="n">
        <x:v>3</x:v>
      </x:c>
      <x:c r="J859" s="4" t="n">
        <x:v>29.32</x:v>
      </x:c>
      <x:c r="K859" s="4" t="n">
        <x:v>12</x:v>
      </x:c>
      <x:c r="L859" s="5" t="n">
        <x:v>0</x:v>
      </x:c>
      <x:c r="M859" s="4" t="n">
        <x:f>ROUND(I859*J859*(1-L859),2)</x:f>
        <x:v>87.96</x:v>
      </x:c>
      <x:c r="N859" s="4" t="n">
        <x:f>ROUND(I859*K859,2)</x:f>
        <x:v>36</x:v>
      </x:c>
      <x:c r="O859" s="4" t="n">
        <x:f>ROUND(M859-N859,2)</x:f>
        <x:v>51.96</x:v>
      </x:c>
      <x:c r="P859" s="6" t="n">
        <x:v>3.2</x:v>
      </x:c>
      <x:c r="Q859" t="str">
        <x:v>No</x:v>
      </x:c>
    </x:row>
    <x:row r="860">
      <x:c r="A860" t="str">
        <x:v>ORD-01319</x:v>
      </x:c>
      <x:c r="B860" s="3" t="n">
        <x:v>45653.77163496528</x:v>
      </x:c>
      <x:c r="C860" t="str">
        <x:v>2024-12</x:v>
      </x:c>
      <x:c r="D860" t="str">
        <x:v>CUS-0067</x:v>
      </x:c>
      <x:c r="E860" t="str">
        <x:v>London</x:v>
      </x:c>
      <x:c r="F860" t="str">
        <x:v>Store</x:v>
      </x:c>
      <x:c r="G860" t="str">
        <x:v>Sports</x:v>
      </x:c>
      <x:c r="H860" t="str">
        <x:v>Fitness Tracker</x:v>
      </x:c>
      <x:c r="I860" t="n">
        <x:v>4</x:v>
      </x:c>
      <x:c r="J860" s="4" t="n">
        <x:v>52.96</x:v>
      </x:c>
      <x:c r="K860" s="4" t="n">
        <x:v>27</x:v>
      </x:c>
      <x:c r="L860" s="5" t="n">
        <x:v>0.05</x:v>
      </x:c>
      <x:c r="M860" s="4" t="n">
        <x:f>ROUND(I860*J860*(1-L860),2)</x:f>
        <x:v>201.25</x:v>
      </x:c>
      <x:c r="N860" s="4" t="n">
        <x:f>ROUND(I860*K860,2)</x:f>
        <x:v>108</x:v>
      </x:c>
      <x:c r="O860" s="4" t="n">
        <x:f>ROUND(M860-N860,2)</x:f>
        <x:v>93.25</x:v>
      </x:c>
      <x:c r="P860" s="6" t="n">
        <x:v>4.2</x:v>
      </x:c>
      <x:c r="Q860" t="str">
        <x:v>No</x:v>
      </x:c>
    </x:row>
    <x:row r="861">
      <x:c r="A861" t="str">
        <x:v>ORD-00417</x:v>
      </x:c>
      <x:c r="B861" s="3" t="n">
        <x:v>45654.9114246875</x:v>
      </x:c>
      <x:c r="C861" t="str">
        <x:v>2024-12</x:v>
      </x:c>
      <x:c r="D861" t="str">
        <x:v>CUS-0234</x:v>
      </x:c>
      <x:c r="E861" t="str">
        <x:v>South East</x:v>
      </x:c>
      <x:c r="F861" t="str">
        <x:v>Marketplace</x:v>
      </x:c>
      <x:c r="G861" t="str">
        <x:v>Sports</x:v>
      </x:c>
      <x:c r="H861" t="str">
        <x:v>Running Shoes</x:v>
      </x:c>
      <x:c r="I861" t="n">
        <x:v>4</x:v>
      </x:c>
      <x:c r="J861" s="4" t="n">
        <x:v>82.75</x:v>
      </x:c>
      <x:c r="K861" s="4" t="n">
        <x:v>38</x:v>
      </x:c>
      <x:c r="L861" s="5" t="n">
        <x:v>0</x:v>
      </x:c>
      <x:c r="M861" s="4" t="n">
        <x:f>ROUND(I861*J861*(1-L861),2)</x:f>
        <x:v>331</x:v>
      </x:c>
      <x:c r="N861" s="4" t="n">
        <x:f>ROUND(I861*K861,2)</x:f>
        <x:v>152</x:v>
      </x:c>
      <x:c r="O861" s="4" t="n">
        <x:f>ROUND(M861-N861,2)</x:f>
        <x:v>179</x:v>
      </x:c>
      <x:c r="P861" s="6" t="n">
        <x:v>4.3</x:v>
      </x:c>
      <x:c r="Q861" t="str">
        <x:v>No</x:v>
      </x:c>
    </x:row>
    <x:row r="862">
      <x:c r="A862" t="str">
        <x:v>ORD-00812</x:v>
      </x:c>
      <x:c r="B862" s="3" t="n">
        <x:v>45655.09465353009</x:v>
      </x:c>
      <x:c r="C862" t="str">
        <x:v>2024-12</x:v>
      </x:c>
      <x:c r="D862" t="str">
        <x:v>CUS-0142</x:v>
      </x:c>
      <x:c r="E862" t="str">
        <x:v>Scotland</x:v>
      </x:c>
      <x:c r="F862" t="str">
        <x:v>Online</x:v>
      </x:c>
      <x:c r="G862" t="str">
        <x:v>Home</x:v>
      </x:c>
      <x:c r="H862" t="str">
        <x:v>Coffee Maker</x:v>
      </x:c>
      <x:c r="I862" t="n">
        <x:v>1</x:v>
      </x:c>
      <x:c r="J862" s="4" t="n">
        <x:v>75.72</x:v>
      </x:c>
      <x:c r="K862" s="4" t="n">
        <x:v>41</x:v>
      </x:c>
      <x:c r="L862" s="5" t="n">
        <x:v>0</x:v>
      </x:c>
      <x:c r="M862" s="4" t="n">
        <x:f>ROUND(I862*J862*(1-L862),2)</x:f>
        <x:v>75.72</x:v>
      </x:c>
      <x:c r="N862" s="4" t="n">
        <x:f>ROUND(I862*K862,2)</x:f>
        <x:v>41</x:v>
      </x:c>
      <x:c r="O862" s="4" t="n">
        <x:f>ROUND(M862-N862,2)</x:f>
        <x:v>34.72</x:v>
      </x:c>
      <x:c r="P862" s="6" t="n">
        <x:v>3.5</x:v>
      </x:c>
      <x:c r="Q862" t="str">
        <x:v>No</x:v>
      </x:c>
    </x:row>
    <x:row r="863">
      <x:c r="A863" t="str">
        <x:v>ORD-01194</x:v>
      </x:c>
      <x:c r="B863" s="3" t="n">
        <x:v>45655.74953734954</x:v>
      </x:c>
      <x:c r="C863" t="str">
        <x:v>2024-12</x:v>
      </x:c>
      <x:c r="D863" t="str">
        <x:v>CUS-0332</x:v>
      </x:c>
      <x:c r="E863" t="str">
        <x:v>South East</x:v>
      </x:c>
      <x:c r="F863" t="str">
        <x:v>Marketplace</x:v>
      </x:c>
      <x:c r="G863" t="str">
        <x:v>Sports</x:v>
      </x:c>
      <x:c r="H863" t="str">
        <x:v>Yoga Mat</x:v>
      </x:c>
      <x:c r="I863" t="n">
        <x:v>3</x:v>
      </x:c>
      <x:c r="J863" s="4" t="n">
        <x:v>29.68</x:v>
      </x:c>
      <x:c r="K863" s="4" t="n">
        <x:v>12</x:v>
      </x:c>
      <x:c r="L863" s="5" t="n">
        <x:v>0.15</x:v>
      </x:c>
      <x:c r="M863" s="4" t="n">
        <x:f>ROUND(I863*J863*(1-L863),2)</x:f>
        <x:v>75.68</x:v>
      </x:c>
      <x:c r="N863" s="4" t="n">
        <x:f>ROUND(I863*K863,2)</x:f>
        <x:v>36</x:v>
      </x:c>
      <x:c r="O863" s="4" t="n">
        <x:f>ROUND(M863-N863,2)</x:f>
        <x:v>39.68</x:v>
      </x:c>
      <x:c r="P863" s="6" t="n">
        <x:v>5</x:v>
      </x:c>
      <x:c r="Q863" t="str">
        <x:v>Yes</x:v>
      </x:c>
    </x:row>
    <x:row r="864">
      <x:c r="A864" t="str">
        <x:v>ORD-00282</x:v>
      </x:c>
      <x:c r="B864" s="3" t="n">
        <x:v>45656.00315981481</x:v>
      </x:c>
      <x:c r="C864" t="str">
        <x:v>2024-12</x:v>
      </x:c>
      <x:c r="D864" t="str">
        <x:v>CUS-0339</x:v>
      </x:c>
      <x:c r="E864" t="str">
        <x:v>South West</x:v>
      </x:c>
      <x:c r="F864" t="str">
        <x:v>Store</x:v>
      </x:c>
      <x:c r="G864" t="str">
        <x:v>Beauty</x:v>
      </x:c>
      <x:c r="H864" t="str">
        <x:v>Skin Care Set</x:v>
      </x:c>
      <x:c r="I864" t="n">
        <x:v>5</x:v>
      </x:c>
      <x:c r="J864" s="4" t="n">
        <x:v>46.88</x:v>
      </x:c>
      <x:c r="K864" s="4" t="n">
        <x:v>18</x:v>
      </x:c>
      <x:c r="L864" s="5" t="n">
        <x:v>0.2</x:v>
      </x:c>
      <x:c r="M864" s="4" t="n">
        <x:f>ROUND(I864*J864*(1-L864),2)</x:f>
        <x:v>187.52</x:v>
      </x:c>
      <x:c r="N864" s="4" t="n">
        <x:f>ROUND(I864*K864,2)</x:f>
        <x:v>90</x:v>
      </x:c>
      <x:c r="O864" s="4" t="n">
        <x:f>ROUND(M864-N864,2)</x:f>
        <x:v>97.52</x:v>
      </x:c>
      <x:c r="P864" s="6" t="n">
        <x:v>4.4</x:v>
      </x:c>
      <x:c r="Q864" t="str">
        <x:v>No</x:v>
      </x:c>
    </x:row>
    <x:row r="865">
      <x:c r="A865" t="str">
        <x:v>ORD-01262</x:v>
      </x:c>
      <x:c r="B865" s="3" t="n">
        <x:v>45656.45172553241</x:v>
      </x:c>
      <x:c r="C865" t="str">
        <x:v>2024-12</x:v>
      </x:c>
      <x:c r="D865" t="str">
        <x:v>CUS-0214</x:v>
      </x:c>
      <x:c r="E865" t="str">
        <x:v>Midlands</x:v>
      </x:c>
      <x:c r="F865" t="str">
        <x:v>Marketplace</x:v>
      </x:c>
      <x:c r="G865" t="str">
        <x:v>Fashion</x:v>
      </x:c>
      <x:c r="H865" t="str">
        <x:v>Winter Jacket</x:v>
      </x:c>
      <x:c r="I865" t="n">
        <x:v>2</x:v>
      </x:c>
      <x:c r="J865" s="4" t="n">
        <x:v>94.43</x:v>
      </x:c>
      <x:c r="K865" s="4" t="n">
        <x:v>46</x:v>
      </x:c>
      <x:c r="L865" s="5" t="n">
        <x:v>0.1</x:v>
      </x:c>
      <x:c r="M865" s="4" t="n">
        <x:f>ROUND(I865*J865*(1-L865),2)</x:f>
        <x:v>169.97</x:v>
      </x:c>
      <x:c r="N865" s="4" t="n">
        <x:f>ROUND(I865*K865,2)</x:f>
        <x:v>92</x:v>
      </x:c>
      <x:c r="O865" s="4" t="n">
        <x:f>ROUND(M865-N865,2)</x:f>
        <x:v>77.97</x:v>
      </x:c>
      <x:c r="P865" s="6" t="n">
        <x:v>3.3</x:v>
      </x:c>
      <x:c r="Q865" t="str">
        <x:v>No</x:v>
      </x:c>
    </x:row>
    <x:row r="866">
      <x:c r="A866" t="str">
        <x:v>ORD-00330</x:v>
      </x:c>
      <x:c r="B866" s="3" t="n">
        <x:v>45656.51748076389</x:v>
      </x:c>
      <x:c r="C866" t="str">
        <x:v>2024-12</x:v>
      </x:c>
      <x:c r="D866" t="str">
        <x:v>CUS-0312</x:v>
      </x:c>
      <x:c r="E866" t="str">
        <x:v>North East</x:v>
      </x:c>
      <x:c r="F866" t="str">
        <x:v>Store</x:v>
      </x:c>
      <x:c r="G866" t="str">
        <x:v>Sports</x:v>
      </x:c>
      <x:c r="H866" t="str">
        <x:v>Fitness Tracker</x:v>
      </x:c>
      <x:c r="I866" t="n">
        <x:v>5</x:v>
      </x:c>
      <x:c r="J866" s="4" t="n">
        <x:v>52.44</x:v>
      </x:c>
      <x:c r="K866" s="4" t="n">
        <x:v>27</x:v>
      </x:c>
      <x:c r="L866" s="5" t="n">
        <x:v>0</x:v>
      </x:c>
      <x:c r="M866" s="4" t="n">
        <x:f>ROUND(I866*J866*(1-L866),2)</x:f>
        <x:v>262.2</x:v>
      </x:c>
      <x:c r="N866" s="4" t="n">
        <x:f>ROUND(I866*K866,2)</x:f>
        <x:v>135</x:v>
      </x:c>
      <x:c r="O866" s="4" t="n">
        <x:f>ROUND(M866-N866,2)</x:f>
        <x:v>127.2</x:v>
      </x:c>
      <x:c r="P866" s="6" t="n">
        <x:v>3.5</x:v>
      </x:c>
      <x:c r="Q866" t="str">
        <x:v>No</x:v>
      </x:c>
    </x:row>
    <x:row r="867">
      <x:c r="A867" t="str">
        <x:v>ORD-01462</x:v>
      </x:c>
      <x:c r="B867" s="3" t="n">
        <x:v>45657.77810773148</x:v>
      </x:c>
      <x:c r="C867" t="str">
        <x:v>2024-12</x:v>
      </x:c>
      <x:c r="D867" t="str">
        <x:v>CUS-0427</x:v>
      </x:c>
      <x:c r="E867" t="str">
        <x:v>London</x:v>
      </x:c>
      <x:c r="F867" t="str">
        <x:v>Marketplace</x:v>
      </x:c>
      <x:c r="G867" t="str">
        <x:v>Books</x:v>
      </x:c>
      <x:c r="H867" t="str">
        <x:v>Business Intelligence Guide</x:v>
      </x:c>
      <x:c r="I867" t="n">
        <x:v>3</x:v>
      </x:c>
      <x:c r="J867" s="4" t="n">
        <x:v>34.85</x:v>
      </x:c>
      <x:c r="K867" s="4" t="n">
        <x:v>12</x:v>
      </x:c>
      <x:c r="L867" s="5" t="n">
        <x:v>0.1</x:v>
      </x:c>
      <x:c r="M867" s="4" t="n">
        <x:f>ROUND(I867*J867*(1-L867),2)</x:f>
        <x:v>94.1</x:v>
      </x:c>
      <x:c r="N867" s="4" t="n">
        <x:f>ROUND(I867*K867,2)</x:f>
        <x:v>36</x:v>
      </x:c>
      <x:c r="O867" s="4" t="n">
        <x:f>ROUND(M867-N867,2)</x:f>
        <x:v>58.1</x:v>
      </x:c>
      <x:c r="P867" s="6" t="n">
        <x:v>3.4</x:v>
      </x:c>
      <x:c r="Q867" t="str">
        <x:v>No</x:v>
      </x:c>
    </x:row>
    <x:row r="868">
      <x:c r="A868" t="str">
        <x:v>ORD-01547</x:v>
      </x:c>
      <x:c r="B868" s="3" t="n">
        <x:v>45657.97303094908</x:v>
      </x:c>
      <x:c r="C868" t="str">
        <x:v>2024-12</x:v>
      </x:c>
      <x:c r="D868" t="str">
        <x:v>CUS-0380</x:v>
      </x:c>
      <x:c r="E868" t="str">
        <x:v>Wales</x:v>
      </x:c>
      <x:c r="F868" t="str">
        <x:v>Marketplace</x:v>
      </x:c>
      <x:c r="G868" t="str">
        <x:v>Sports</x:v>
      </x:c>
      <x:c r="H868" t="str">
        <x:v>Running Shoes</x:v>
      </x:c>
      <x:c r="I868" t="n">
        <x:v>4</x:v>
      </x:c>
      <x:c r="J868" s="4" t="n">
        <x:v>76.7</x:v>
      </x:c>
      <x:c r="K868" s="4" t="n">
        <x:v>38</x:v>
      </x:c>
      <x:c r="L868" s="5" t="n">
        <x:v>0</x:v>
      </x:c>
      <x:c r="M868" s="4" t="n">
        <x:f>ROUND(I868*J868*(1-L868),2)</x:f>
        <x:v>306.8</x:v>
      </x:c>
      <x:c r="N868" s="4" t="n">
        <x:f>ROUND(I868*K868,2)</x:f>
        <x:v>152</x:v>
      </x:c>
      <x:c r="O868" s="4" t="n">
        <x:f>ROUND(M868-N868,2)</x:f>
        <x:v>154.8</x:v>
      </x:c>
      <x:c r="P868" s="6" t="n">
        <x:v>3.7</x:v>
      </x:c>
      <x:c r="Q868" t="str">
        <x:v>No</x:v>
      </x:c>
    </x:row>
    <x:row r="869">
      <x:c r="A869" t="str">
        <x:v>ORD-01722</x:v>
      </x:c>
      <x:c r="B869" s="3" t="n">
        <x:v>45658.449685659725</x:v>
      </x:c>
      <x:c r="C869" t="str">
        <x:v>2025-01</x:v>
      </x:c>
      <x:c r="D869" t="str">
        <x:v>CUS-0280</x:v>
      </x:c>
      <x:c r="E869" t="str">
        <x:v>South West</x:v>
      </x:c>
      <x:c r="F869" t="str">
        <x:v>Store</x:v>
      </x:c>
      <x:c r="G869" t="str">
        <x:v>Home</x:v>
      </x:c>
      <x:c r="H869" t="str">
        <x:v>Air Fryer</x:v>
      </x:c>
      <x:c r="I869" t="n">
        <x:v>5</x:v>
      </x:c>
      <x:c r="J869" s="4" t="n">
        <x:v>114.07</x:v>
      </x:c>
      <x:c r="K869" s="4" t="n">
        <x:v>69</x:v>
      </x:c>
      <x:c r="L869" s="5" t="n">
        <x:v>0</x:v>
      </x:c>
      <x:c r="M869" s="4" t="n">
        <x:f>ROUND(I869*J869*(1-L869),2)</x:f>
        <x:v>570.35</x:v>
      </x:c>
      <x:c r="N869" s="4" t="n">
        <x:f>ROUND(I869*K869,2)</x:f>
        <x:v>345</x:v>
      </x:c>
      <x:c r="O869" s="4" t="n">
        <x:f>ROUND(M869-N869,2)</x:f>
        <x:v>225.35</x:v>
      </x:c>
      <x:c r="P869" s="6" t="n">
        <x:v>3.6</x:v>
      </x:c>
      <x:c r="Q869" t="str">
        <x:v>Yes</x:v>
      </x:c>
    </x:row>
    <x:row r="870">
      <x:c r="A870" t="str">
        <x:v>ORD-00614</x:v>
      </x:c>
      <x:c r="B870" s="3" t="n">
        <x:v>45659.33239443287</x:v>
      </x:c>
      <x:c r="C870" t="str">
        <x:v>2025-01</x:v>
      </x:c>
      <x:c r="D870" t="str">
        <x:v>CUS-0601</x:v>
      </x:c>
      <x:c r="E870" t="str">
        <x:v>Wales</x:v>
      </x:c>
      <x:c r="F870" t="str">
        <x:v>Online</x:v>
      </x:c>
      <x:c r="G870" t="str">
        <x:v>Books</x:v>
      </x:c>
      <x:c r="H870" t="str">
        <x:v>Business Intelligence Guide</x:v>
      </x:c>
      <x:c r="I870" t="n">
        <x:v>4</x:v>
      </x:c>
      <x:c r="J870" s="4" t="n">
        <x:v>36.69</x:v>
      </x:c>
      <x:c r="K870" s="4" t="n">
        <x:v>12</x:v>
      </x:c>
      <x:c r="L870" s="5" t="n">
        <x:v>0</x:v>
      </x:c>
      <x:c r="M870" s="4" t="n">
        <x:f>ROUND(I870*J870*(1-L870),2)</x:f>
        <x:v>146.76</x:v>
      </x:c>
      <x:c r="N870" s="4" t="n">
        <x:f>ROUND(I870*K870,2)</x:f>
        <x:v>48</x:v>
      </x:c>
      <x:c r="O870" s="4" t="n">
        <x:f>ROUND(M870-N870,2)</x:f>
        <x:v>98.76</x:v>
      </x:c>
      <x:c r="P870" s="6" t="n">
        <x:v>4</x:v>
      </x:c>
      <x:c r="Q870" t="str">
        <x:v>No</x:v>
      </x:c>
    </x:row>
    <x:row r="871">
      <x:c r="A871" t="str">
        <x:v>ORD-00885</x:v>
      </x:c>
      <x:c r="B871" s="3" t="n">
        <x:v>45659.519363900465</x:v>
      </x:c>
      <x:c r="C871" t="str">
        <x:v>2025-01</x:v>
      </x:c>
      <x:c r="D871" t="str">
        <x:v>CUS-0052</x:v>
      </x:c>
      <x:c r="E871" t="str">
        <x:v>Wales</x:v>
      </x:c>
      <x:c r="F871" t="str">
        <x:v>Marketplace</x:v>
      </x:c>
      <x:c r="G871" t="str">
        <x:v>Home</x:v>
      </x:c>
      <x:c r="H871" t="str">
        <x:v>Desk Lamp</x:v>
      </x:c>
      <x:c r="I871" t="n">
        <x:v>2</x:v>
      </x:c>
      <x:c r="J871" s="4" t="n">
        <x:v>34.62</x:v>
      </x:c>
      <x:c r="K871" s="4" t="n">
        <x:v>17</x:v>
      </x:c>
      <x:c r="L871" s="5" t="n">
        <x:v>0</x:v>
      </x:c>
      <x:c r="M871" s="4" t="n">
        <x:f>ROUND(I871*J871*(1-L871),2)</x:f>
        <x:v>69.24</x:v>
      </x:c>
      <x:c r="N871" s="4" t="n">
        <x:f>ROUND(I871*K871,2)</x:f>
        <x:v>34</x:v>
      </x:c>
      <x:c r="O871" s="4" t="n">
        <x:f>ROUND(M871-N871,2)</x:f>
        <x:v>35.24</x:v>
      </x:c>
      <x:c r="P871" s="6" t="n">
        <x:v>4.4</x:v>
      </x:c>
      <x:c r="Q871" t="str">
        <x:v>No</x:v>
      </x:c>
    </x:row>
    <x:row r="872">
      <x:c r="A872" t="str">
        <x:v>ORD-01493</x:v>
      </x:c>
      <x:c r="B872" s="3" t="n">
        <x:v>45659.59380101852</x:v>
      </x:c>
      <x:c r="C872" t="str">
        <x:v>2025-01</x:v>
      </x:c>
      <x:c r="D872" t="str">
        <x:v>CUS-0381</x:v>
      </x:c>
      <x:c r="E872" t="str">
        <x:v>Wales</x:v>
      </x:c>
      <x:c r="F872" t="str">
        <x:v>Marketplace</x:v>
      </x:c>
      <x:c r="G872" t="str">
        <x:v>Electronics</x:v>
      </x:c>
      <x:c r="H872" t="str">
        <x:v>Wireless Headphones</x:v>
      </x:c>
      <x:c r="I872" t="n">
        <x:v>1</x:v>
      </x:c>
      <x:c r="J872" s="4" t="n">
        <x:v>92.57</x:v>
      </x:c>
      <x:c r="K872" s="4" t="n">
        <x:v>48</x:v>
      </x:c>
      <x:c r="L872" s="5" t="n">
        <x:v>0.1</x:v>
      </x:c>
      <x:c r="M872" s="4" t="n">
        <x:f>ROUND(I872*J872*(1-L872),2)</x:f>
        <x:v>83.31</x:v>
      </x:c>
      <x:c r="N872" s="4" t="n">
        <x:f>ROUND(I872*K872,2)</x:f>
        <x:v>48</x:v>
      </x:c>
      <x:c r="O872" s="4" t="n">
        <x:f>ROUND(M872-N872,2)</x:f>
        <x:v>35.31</x:v>
      </x:c>
      <x:c r="P872" s="6" t="n">
        <x:v>4.9</x:v>
      </x:c>
      <x:c r="Q872" t="str">
        <x:v>No</x:v>
      </x:c>
    </x:row>
    <x:row r="873">
      <x:c r="A873" t="str">
        <x:v>ORD-01302</x:v>
      </x:c>
      <x:c r="B873" s="3" t="n">
        <x:v>45661.13017087963</x:v>
      </x:c>
      <x:c r="C873" t="str">
        <x:v>2025-01</x:v>
      </x:c>
      <x:c r="D873" t="str">
        <x:v>CUS-0345</x:v>
      </x:c>
      <x:c r="E873" t="str">
        <x:v>Wales</x:v>
      </x:c>
      <x:c r="F873" t="str">
        <x:v>Online</x:v>
      </x:c>
      <x:c r="G873" t="str">
        <x:v>Home</x:v>
      </x:c>
      <x:c r="H873" t="str">
        <x:v>Coffee Maker</x:v>
      </x:c>
      <x:c r="I873" t="n">
        <x:v>5</x:v>
      </x:c>
      <x:c r="J873" s="4" t="n">
        <x:v>73.25</x:v>
      </x:c>
      <x:c r="K873" s="4" t="n">
        <x:v>41</x:v>
      </x:c>
      <x:c r="L873" s="5" t="n">
        <x:v>0</x:v>
      </x:c>
      <x:c r="M873" s="4" t="n">
        <x:f>ROUND(I873*J873*(1-L873),2)</x:f>
        <x:v>366.25</x:v>
      </x:c>
      <x:c r="N873" s="4" t="n">
        <x:f>ROUND(I873*K873,2)</x:f>
        <x:v>205</x:v>
      </x:c>
      <x:c r="O873" s="4" t="n">
        <x:f>ROUND(M873-N873,2)</x:f>
        <x:v>161.25</x:v>
      </x:c>
      <x:c r="P873" s="6" t="n">
        <x:v>3.8</x:v>
      </x:c>
      <x:c r="Q873" t="str">
        <x:v>No</x:v>
      </x:c>
    </x:row>
    <x:row r="874">
      <x:c r="A874" t="str">
        <x:v>ORD-01728</x:v>
      </x:c>
      <x:c r="B874" s="3" t="n">
        <x:v>45661.73663061343</x:v>
      </x:c>
      <x:c r="C874" t="str">
        <x:v>2025-01</x:v>
      </x:c>
      <x:c r="D874" t="str">
        <x:v>CUS-0426</x:v>
      </x:c>
      <x:c r="E874" t="str">
        <x:v>Scotland</x:v>
      </x:c>
      <x:c r="F874" t="str">
        <x:v>Marketplace</x:v>
      </x:c>
      <x:c r="G874" t="str">
        <x:v>Electronics</x:v>
      </x:c>
      <x:c r="H874" t="str">
        <x:v>Smart Watch</x:v>
      </x:c>
      <x:c r="I874" t="n">
        <x:v>3</x:v>
      </x:c>
      <x:c r="J874" s="4" t="n">
        <x:v>167.28</x:v>
      </x:c>
      <x:c r="K874" s="4" t="n">
        <x:v>92</x:v>
      </x:c>
      <x:c r="L874" s="5" t="n">
        <x:v>0.2</x:v>
      </x:c>
      <x:c r="M874" s="4" t="n">
        <x:f>ROUND(I874*J874*(1-L874),2)</x:f>
        <x:v>401.47</x:v>
      </x:c>
      <x:c r="N874" s="4" t="n">
        <x:f>ROUND(I874*K874,2)</x:f>
        <x:v>276</x:v>
      </x:c>
      <x:c r="O874" s="4" t="n">
        <x:f>ROUND(M874-N874,2)</x:f>
        <x:v>125.47</x:v>
      </x:c>
      <x:c r="P874" s="6" t="n">
        <x:v>3.6</x:v>
      </x:c>
      <x:c r="Q874" t="str">
        <x:v>No</x:v>
      </x:c>
    </x:row>
    <x:row r="875">
      <x:c r="A875" t="str">
        <x:v>ORD-00565</x:v>
      </x:c>
      <x:c r="B875" s="3" t="n">
        <x:v>45662.28118416667</x:v>
      </x:c>
      <x:c r="C875" t="str">
        <x:v>2025-01</x:v>
      </x:c>
      <x:c r="D875" t="str">
        <x:v>CUS-0574</x:v>
      </x:c>
      <x:c r="E875" t="str">
        <x:v>North East</x:v>
      </x:c>
      <x:c r="F875" t="str">
        <x:v>Online</x:v>
      </x:c>
      <x:c r="G875" t="str">
        <x:v>Fashion</x:v>
      </x:c>
      <x:c r="H875" t="str">
        <x:v>Classic Trainers</x:v>
      </x:c>
      <x:c r="I875" t="n">
        <x:v>2</x:v>
      </x:c>
      <x:c r="J875" s="4" t="n">
        <x:v>68.73</x:v>
      </x:c>
      <x:c r="K875" s="4" t="n">
        <x:v>32</x:v>
      </x:c>
      <x:c r="L875" s="5" t="n">
        <x:v>0.2</x:v>
      </x:c>
      <x:c r="M875" s="4" t="n">
        <x:f>ROUND(I875*J875*(1-L875),2)</x:f>
        <x:v>109.97</x:v>
      </x:c>
      <x:c r="N875" s="4" t="n">
        <x:f>ROUND(I875*K875,2)</x:f>
        <x:v>64</x:v>
      </x:c>
      <x:c r="O875" s="4" t="n">
        <x:f>ROUND(M875-N875,2)</x:f>
        <x:v>45.97</x:v>
      </x:c>
      <x:c r="P875" s="6" t="n">
        <x:v>4.8</x:v>
      </x:c>
      <x:c r="Q875" t="str">
        <x:v>No</x:v>
      </x:c>
    </x:row>
    <x:row r="876">
      <x:c r="A876" t="str">
        <x:v>ORD-00409</x:v>
      </x:c>
      <x:c r="B876" s="3" t="n">
        <x:v>45662.47302724537</x:v>
      </x:c>
      <x:c r="C876" t="str">
        <x:v>2025-01</x:v>
      </x:c>
      <x:c r="D876" t="str">
        <x:v>CUS-0369</x:v>
      </x:c>
      <x:c r="E876" t="str">
        <x:v>North West</x:v>
      </x:c>
      <x:c r="F876" t="str">
        <x:v>Marketplace</x:v>
      </x:c>
      <x:c r="G876" t="str">
        <x:v>Electronics</x:v>
      </x:c>
      <x:c r="H876" t="str">
        <x:v>Bluetooth Speaker</x:v>
      </x:c>
      <x:c r="I876" t="n">
        <x:v>4</x:v>
      </x:c>
      <x:c r="J876" s="4" t="n">
        <x:v>62.63</x:v>
      </x:c>
      <x:c r="K876" s="4" t="n">
        <x:v>34</x:v>
      </x:c>
      <x:c r="L876" s="5" t="n">
        <x:v>0</x:v>
      </x:c>
      <x:c r="M876" s="4" t="n">
        <x:f>ROUND(I876*J876*(1-L876),2)</x:f>
        <x:v>250.52</x:v>
      </x:c>
      <x:c r="N876" s="4" t="n">
        <x:f>ROUND(I876*K876,2)</x:f>
        <x:v>136</x:v>
      </x:c>
      <x:c r="O876" s="4" t="n">
        <x:f>ROUND(M876-N876,2)</x:f>
        <x:v>114.52</x:v>
      </x:c>
      <x:c r="P876" s="6" t="n">
        <x:v>3.7</x:v>
      </x:c>
      <x:c r="Q876" t="str">
        <x:v>No</x:v>
      </x:c>
    </x:row>
    <x:row r="877">
      <x:c r="A877" t="str">
        <x:v>ORD-01081</x:v>
      </x:c>
      <x:c r="B877" s="3" t="n">
        <x:v>45662.51842049768</x:v>
      </x:c>
      <x:c r="C877" t="str">
        <x:v>2025-01</x:v>
      </x:c>
      <x:c r="D877" t="str">
        <x:v>CUS-0321</x:v>
      </x:c>
      <x:c r="E877" t="str">
        <x:v>Wales</x:v>
      </x:c>
      <x:c r="F877" t="str">
        <x:v>Store</x:v>
      </x:c>
      <x:c r="G877" t="str">
        <x:v>Fashion</x:v>
      </x:c>
      <x:c r="H877" t="str">
        <x:v>Backpack</x:v>
      </x:c>
      <x:c r="I877" t="n">
        <x:v>2</x:v>
      </x:c>
      <x:c r="J877" s="4" t="n">
        <x:v>48.35</x:v>
      </x:c>
      <x:c r="K877" s="4" t="n">
        <x:v>21</x:v>
      </x:c>
      <x:c r="L877" s="5" t="n">
        <x:v>0.15</x:v>
      </x:c>
      <x:c r="M877" s="4" t="n">
        <x:f>ROUND(I877*J877*(1-L877),2)</x:f>
        <x:v>82.2</x:v>
      </x:c>
      <x:c r="N877" s="4" t="n">
        <x:f>ROUND(I877*K877,2)</x:f>
        <x:v>42</x:v>
      </x:c>
      <x:c r="O877" s="4" t="n">
        <x:f>ROUND(M877-N877,2)</x:f>
        <x:v>40.2</x:v>
      </x:c>
      <x:c r="P877" s="6" t="n">
        <x:v>4.7</x:v>
      </x:c>
      <x:c r="Q877" t="str">
        <x:v>No</x:v>
      </x:c>
    </x:row>
    <x:row r="878">
      <x:c r="A878" t="str">
        <x:v>ORD-01053</x:v>
      </x:c>
      <x:c r="B878" s="3" t="n">
        <x:v>45662.68650636574</x:v>
      </x:c>
      <x:c r="C878" t="str">
        <x:v>2025-01</x:v>
      </x:c>
      <x:c r="D878" t="str">
        <x:v>CUS-0345</x:v>
      </x:c>
      <x:c r="E878" t="str">
        <x:v>South East</x:v>
      </x:c>
      <x:c r="F878" t="str">
        <x:v>Online</x:v>
      </x:c>
      <x:c r="G878" t="str">
        <x:v>Books</x:v>
      </x:c>
      <x:c r="H878" t="str">
        <x:v>Business Intelligence Guide</x:v>
      </x:c>
      <x:c r="I878" t="n">
        <x:v>3</x:v>
      </x:c>
      <x:c r="J878" s="4" t="n">
        <x:v>36.7</x:v>
      </x:c>
      <x:c r="K878" s="4" t="n">
        <x:v>12</x:v>
      </x:c>
      <x:c r="L878" s="5" t="n">
        <x:v>0.05</x:v>
      </x:c>
      <x:c r="M878" s="4" t="n">
        <x:f>ROUND(I878*J878*(1-L878),2)</x:f>
        <x:v>104.6</x:v>
      </x:c>
      <x:c r="N878" s="4" t="n">
        <x:f>ROUND(I878*K878,2)</x:f>
        <x:v>36</x:v>
      </x:c>
      <x:c r="O878" s="4" t="n">
        <x:f>ROUND(M878-N878,2)</x:f>
        <x:v>68.6</x:v>
      </x:c>
      <x:c r="P878" s="6" t="n">
        <x:v>3.6</x:v>
      </x:c>
      <x:c r="Q878" t="str">
        <x:v>No</x:v>
      </x:c>
    </x:row>
    <x:row r="879">
      <x:c r="A879" t="str">
        <x:v>ORD-00178</x:v>
      </x:c>
      <x:c r="B879" s="3" t="n">
        <x:v>45662.75313351852</x:v>
      </x:c>
      <x:c r="C879" t="str">
        <x:v>2025-01</x:v>
      </x:c>
      <x:c r="D879" t="str">
        <x:v>CUS-0580</x:v>
      </x:c>
      <x:c r="E879" t="str">
        <x:v>Midlands</x:v>
      </x:c>
      <x:c r="F879" t="str">
        <x:v>Store</x:v>
      </x:c>
      <x:c r="G879" t="str">
        <x:v>Beauty</x:v>
      </x:c>
      <x:c r="H879" t="str">
        <x:v>Hair Dryer</x:v>
      </x:c>
      <x:c r="I879" t="n">
        <x:v>3</x:v>
      </x:c>
      <x:c r="J879" s="4" t="n">
        <x:v>59.86</x:v>
      </x:c>
      <x:c r="K879" s="4" t="n">
        <x:v>29</x:v>
      </x:c>
      <x:c r="L879" s="5" t="n">
        <x:v>0.05</x:v>
      </x:c>
      <x:c r="M879" s="4" t="n">
        <x:f>ROUND(I879*J879*(1-L879),2)</x:f>
        <x:v>170.6</x:v>
      </x:c>
      <x:c r="N879" s="4" t="n">
        <x:f>ROUND(I879*K879,2)</x:f>
        <x:v>87</x:v>
      </x:c>
      <x:c r="O879" s="4" t="n">
        <x:f>ROUND(M879-N879,2)</x:f>
        <x:v>83.6</x:v>
      </x:c>
      <x:c r="P879" s="6" t="n">
        <x:v>3.8</x:v>
      </x:c>
      <x:c r="Q879" t="str">
        <x:v>No</x:v>
      </x:c>
    </x:row>
    <x:row r="880">
      <x:c r="A880" t="str">
        <x:v>ORD-00888</x:v>
      </x:c>
      <x:c r="B880" s="3" t="n">
        <x:v>45662.88735188657</x:v>
      </x:c>
      <x:c r="C880" t="str">
        <x:v>2025-01</x:v>
      </x:c>
      <x:c r="D880" t="str">
        <x:v>CUS-0332</x:v>
      </x:c>
      <x:c r="E880" t="str">
        <x:v>Midlands</x:v>
      </x:c>
      <x:c r="F880" t="str">
        <x:v>Marketplace</x:v>
      </x:c>
      <x:c r="G880" t="str">
        <x:v>Books</x:v>
      </x:c>
      <x:c r="H880" t="str">
        <x:v>Data Analytics Handbook</x:v>
      </x:c>
      <x:c r="I880" t="n">
        <x:v>1</x:v>
      </x:c>
      <x:c r="J880" s="4" t="n">
        <x:v>39.64</x:v>
      </x:c>
      <x:c r="K880" s="4" t="n">
        <x:v>14</x:v>
      </x:c>
      <x:c r="L880" s="5" t="n">
        <x:v>0</x:v>
      </x:c>
      <x:c r="M880" s="4" t="n">
        <x:f>ROUND(I880*J880*(1-L880),2)</x:f>
        <x:v>39.64</x:v>
      </x:c>
      <x:c r="N880" s="4" t="n">
        <x:f>ROUND(I880*K880,2)</x:f>
        <x:v>14</x:v>
      </x:c>
      <x:c r="O880" s="4" t="n">
        <x:f>ROUND(M880-N880,2)</x:f>
        <x:v>25.64</x:v>
      </x:c>
      <x:c r="P880" s="6" t="n">
        <x:v>4.6</x:v>
      </x:c>
      <x:c r="Q880" t="str">
        <x:v>No</x:v>
      </x:c>
    </x:row>
    <x:row r="881">
      <x:c r="A881" t="str">
        <x:v>ORD-01203</x:v>
      </x:c>
      <x:c r="B881" s="3" t="n">
        <x:v>45663.15488133102</x:v>
      </x:c>
      <x:c r="C881" t="str">
        <x:v>2025-01</x:v>
      </x:c>
      <x:c r="D881" t="str">
        <x:v>CUS-0532</x:v>
      </x:c>
      <x:c r="E881" t="str">
        <x:v>Scotland</x:v>
      </x:c>
      <x:c r="F881" t="str">
        <x:v>Store</x:v>
      </x:c>
      <x:c r="G881" t="str">
        <x:v>Books</x:v>
      </x:c>
      <x:c r="H881" t="str">
        <x:v>Data Analytics Handbook</x:v>
      </x:c>
      <x:c r="I881" t="n">
        <x:v>1</x:v>
      </x:c>
      <x:c r="J881" s="4" t="n">
        <x:v>40.76</x:v>
      </x:c>
      <x:c r="K881" s="4" t="n">
        <x:v>14</x:v>
      </x:c>
      <x:c r="L881" s="5" t="n">
        <x:v>0.05</x:v>
      </x:c>
      <x:c r="M881" s="4" t="n">
        <x:f>ROUND(I881*J881*(1-L881),2)</x:f>
        <x:v>38.72</x:v>
      </x:c>
      <x:c r="N881" s="4" t="n">
        <x:f>ROUND(I881*K881,2)</x:f>
        <x:v>14</x:v>
      </x:c>
      <x:c r="O881" s="4" t="n">
        <x:f>ROUND(M881-N881,2)</x:f>
        <x:v>24.72</x:v>
      </x:c>
      <x:c r="P881" s="6" t="n">
        <x:v>5</x:v>
      </x:c>
      <x:c r="Q881" t="str">
        <x:v>No</x:v>
      </x:c>
    </x:row>
    <x:row r="882">
      <x:c r="A882" t="str">
        <x:v>ORD-01791</x:v>
      </x:c>
      <x:c r="B882" s="3" t="n">
        <x:v>45663.44557413195</x:v>
      </x:c>
      <x:c r="C882" t="str">
        <x:v>2025-01</x:v>
      </x:c>
      <x:c r="D882" t="str">
        <x:v>CUS-0478</x:v>
      </x:c>
      <x:c r="E882" t="str">
        <x:v>South West</x:v>
      </x:c>
      <x:c r="F882" t="str">
        <x:v>Marketplace</x:v>
      </x:c>
      <x:c r="G882" t="str">
        <x:v>Fashion</x:v>
      </x:c>
      <x:c r="H882" t="str">
        <x:v>Classic Trainers</x:v>
      </x:c>
      <x:c r="I882" t="n">
        <x:v>2</x:v>
      </x:c>
      <x:c r="J882" s="4" t="n">
        <x:v>70.93</x:v>
      </x:c>
      <x:c r="K882" s="4" t="n">
        <x:v>32</x:v>
      </x:c>
      <x:c r="L882" s="5" t="n">
        <x:v>0</x:v>
      </x:c>
      <x:c r="M882" s="4" t="n">
        <x:f>ROUND(I882*J882*(1-L882),2)</x:f>
        <x:v>141.86</x:v>
      </x:c>
      <x:c r="N882" s="4" t="n">
        <x:f>ROUND(I882*K882,2)</x:f>
        <x:v>64</x:v>
      </x:c>
      <x:c r="O882" s="4" t="n">
        <x:f>ROUND(M882-N882,2)</x:f>
        <x:v>77.86</x:v>
      </x:c>
      <x:c r="P882" s="6" t="n">
        <x:v>4.2</x:v>
      </x:c>
      <x:c r="Q882" t="str">
        <x:v>No</x:v>
      </x:c>
    </x:row>
    <x:row r="883">
      <x:c r="A883" t="str">
        <x:v>ORD-00226</x:v>
      </x:c>
      <x:c r="B883" s="3" t="n">
        <x:v>45663.66184172453</x:v>
      </x:c>
      <x:c r="C883" t="str">
        <x:v>2025-01</x:v>
      </x:c>
      <x:c r="D883" t="str">
        <x:v>CUS-0201</x:v>
      </x:c>
      <x:c r="E883" t="str">
        <x:v>London</x:v>
      </x:c>
      <x:c r="F883" t="str">
        <x:v>Online</x:v>
      </x:c>
      <x:c r="G883" t="str">
        <x:v>Books</x:v>
      </x:c>
      <x:c r="H883" t="str">
        <x:v>Data Analytics Handbook</x:v>
      </x:c>
      <x:c r="I883" t="n">
        <x:v>1</x:v>
      </x:c>
      <x:c r="J883" s="4" t="n">
        <x:v>41.1</x:v>
      </x:c>
      <x:c r="K883" s="4" t="n">
        <x:v>14</x:v>
      </x:c>
      <x:c r="L883" s="5" t="n">
        <x:v>0.15</x:v>
      </x:c>
      <x:c r="M883" s="4" t="n">
        <x:f>ROUND(I883*J883*(1-L883),2)</x:f>
        <x:v>34.94</x:v>
      </x:c>
      <x:c r="N883" s="4" t="n">
        <x:f>ROUND(I883*K883,2)</x:f>
        <x:v>14</x:v>
      </x:c>
      <x:c r="O883" s="4" t="n">
        <x:f>ROUND(M883-N883,2)</x:f>
        <x:v>20.94</x:v>
      </x:c>
      <x:c r="P883" s="6" t="n">
        <x:v>4.2</x:v>
      </x:c>
      <x:c r="Q883" t="str">
        <x:v>No</x:v>
      </x:c>
    </x:row>
    <x:row r="884">
      <x:c r="A884" t="str">
        <x:v>ORD-00806</x:v>
      </x:c>
      <x:c r="B884" s="3" t="n">
        <x:v>45664.69445540509</x:v>
      </x:c>
      <x:c r="C884" t="str">
        <x:v>2025-01</x:v>
      </x:c>
      <x:c r="D884" t="str">
        <x:v>CUS-0441</x:v>
      </x:c>
      <x:c r="E884" t="str">
        <x:v>North East</x:v>
      </x:c>
      <x:c r="F884" t="str">
        <x:v>Online</x:v>
      </x:c>
      <x:c r="G884" t="str">
        <x:v>Sports</x:v>
      </x:c>
      <x:c r="H884" t="str">
        <x:v>Running Shoes</x:v>
      </x:c>
      <x:c r="I884" t="n">
        <x:v>4</x:v>
      </x:c>
      <x:c r="J884" s="4" t="n">
        <x:v>76.04</x:v>
      </x:c>
      <x:c r="K884" s="4" t="n">
        <x:v>38</x:v>
      </x:c>
      <x:c r="L884" s="5" t="n">
        <x:v>0</x:v>
      </x:c>
      <x:c r="M884" s="4" t="n">
        <x:f>ROUND(I884*J884*(1-L884),2)</x:f>
        <x:v>304.16</x:v>
      </x:c>
      <x:c r="N884" s="4" t="n">
        <x:f>ROUND(I884*K884,2)</x:f>
        <x:v>152</x:v>
      </x:c>
      <x:c r="O884" s="4" t="n">
        <x:f>ROUND(M884-N884,2)</x:f>
        <x:v>152.16</x:v>
      </x:c>
      <x:c r="P884" s="6" t="n">
        <x:v>4.4</x:v>
      </x:c>
      <x:c r="Q884" t="str">
        <x:v>No</x:v>
      </x:c>
    </x:row>
    <x:row r="885">
      <x:c r="A885" t="str">
        <x:v>ORD-01425</x:v>
      </x:c>
      <x:c r="B885" s="3" t="n">
        <x:v>45665.02751299769</x:v>
      </x:c>
      <x:c r="C885" t="str">
        <x:v>2025-01</x:v>
      </x:c>
      <x:c r="D885" t="str">
        <x:v>CUS-0203</x:v>
      </x:c>
      <x:c r="E885" t="str">
        <x:v>South West</x:v>
      </x:c>
      <x:c r="F885" t="str">
        <x:v>Marketplace</x:v>
      </x:c>
      <x:c r="G885" t="str">
        <x:v>Beauty</x:v>
      </x:c>
      <x:c r="H885" t="str">
        <x:v>Hair Dryer</x:v>
      </x:c>
      <x:c r="I885" t="n">
        <x:v>2</x:v>
      </x:c>
      <x:c r="J885" s="4" t="n">
        <x:v>59.55</x:v>
      </x:c>
      <x:c r="K885" s="4" t="n">
        <x:v>29</x:v>
      </x:c>
      <x:c r="L885" s="5" t="n">
        <x:v>0.05</x:v>
      </x:c>
      <x:c r="M885" s="4" t="n">
        <x:f>ROUND(I885*J885*(1-L885),2)</x:f>
        <x:v>113.15</x:v>
      </x:c>
      <x:c r="N885" s="4" t="n">
        <x:f>ROUND(I885*K885,2)</x:f>
        <x:v>58</x:v>
      </x:c>
      <x:c r="O885" s="4" t="n">
        <x:f>ROUND(M885-N885,2)</x:f>
        <x:v>55.15</x:v>
      </x:c>
      <x:c r="P885" s="6" t="n">
        <x:v>4.3</x:v>
      </x:c>
      <x:c r="Q885" t="str">
        <x:v>No</x:v>
      </x:c>
    </x:row>
    <x:row r="886">
      <x:c r="A886" t="str">
        <x:v>ORD-00867</x:v>
      </x:c>
      <x:c r="B886" s="3" t="n">
        <x:v>45665.22273297454</x:v>
      </x:c>
      <x:c r="C886" t="str">
        <x:v>2025-01</x:v>
      </x:c>
      <x:c r="D886" t="str">
        <x:v>CUS-0522</x:v>
      </x:c>
      <x:c r="E886" t="str">
        <x:v>South West</x:v>
      </x:c>
      <x:c r="F886" t="str">
        <x:v>Marketplace</x:v>
      </x:c>
      <x:c r="G886" t="str">
        <x:v>Books</x:v>
      </x:c>
      <x:c r="H886" t="str">
        <x:v>Business Intelligence Guide</x:v>
      </x:c>
      <x:c r="I886" t="n">
        <x:v>5</x:v>
      </x:c>
      <x:c r="J886" s="4" t="n">
        <x:v>35.63</x:v>
      </x:c>
      <x:c r="K886" s="4" t="n">
        <x:v>12</x:v>
      </x:c>
      <x:c r="L886" s="5" t="n">
        <x:v>0.15</x:v>
      </x:c>
      <x:c r="M886" s="4" t="n">
        <x:f>ROUND(I886*J886*(1-L886),2)</x:f>
        <x:v>151.43</x:v>
      </x:c>
      <x:c r="N886" s="4" t="n">
        <x:f>ROUND(I886*K886,2)</x:f>
        <x:v>60</x:v>
      </x:c>
      <x:c r="O886" s="4" t="n">
        <x:f>ROUND(M886-N886,2)</x:f>
        <x:v>91.43</x:v>
      </x:c>
      <x:c r="P886" s="6" t="n">
        <x:v>4</x:v>
      </x:c>
      <x:c r="Q886" t="str">
        <x:v>Yes</x:v>
      </x:c>
    </x:row>
    <x:row r="887">
      <x:c r="A887" t="str">
        <x:v>ORD-01056</x:v>
      </x:c>
      <x:c r="B887" s="3" t="n">
        <x:v>45665.29371943287</x:v>
      </x:c>
      <x:c r="C887" t="str">
        <x:v>2025-01</x:v>
      </x:c>
      <x:c r="D887" t="str">
        <x:v>CUS-0284</x:v>
      </x:c>
      <x:c r="E887" t="str">
        <x:v>Scotland</x:v>
      </x:c>
      <x:c r="F887" t="str">
        <x:v>Marketplace</x:v>
      </x:c>
      <x:c r="G887" t="str">
        <x:v>Beauty</x:v>
      </x:c>
      <x:c r="H887" t="str">
        <x:v>Hair Dryer</x:v>
      </x:c>
      <x:c r="I887" t="n">
        <x:v>2</x:v>
      </x:c>
      <x:c r="J887" s="4" t="n">
        <x:v>60.4</x:v>
      </x:c>
      <x:c r="K887" s="4" t="n">
        <x:v>29</x:v>
      </x:c>
      <x:c r="L887" s="5" t="n">
        <x:v>0</x:v>
      </x:c>
      <x:c r="M887" s="4" t="n">
        <x:f>ROUND(I887*J887*(1-L887),2)</x:f>
        <x:v>120.8</x:v>
      </x:c>
      <x:c r="N887" s="4" t="n">
        <x:f>ROUND(I887*K887,2)</x:f>
        <x:v>58</x:v>
      </x:c>
      <x:c r="O887" s="4" t="n">
        <x:f>ROUND(M887-N887,2)</x:f>
        <x:v>62.8</x:v>
      </x:c>
      <x:c r="P887" s="6" t="n">
        <x:v>3.2</x:v>
      </x:c>
      <x:c r="Q887" t="str">
        <x:v>No</x:v>
      </x:c>
    </x:row>
    <x:row r="888">
      <x:c r="A888" t="str">
        <x:v>ORD-00264</x:v>
      </x:c>
      <x:c r="B888" s="3" t="n">
        <x:v>45665.65559550926</x:v>
      </x:c>
      <x:c r="C888" t="str">
        <x:v>2025-01</x:v>
      </x:c>
      <x:c r="D888" t="str">
        <x:v>CUS-0079</x:v>
      </x:c>
      <x:c r="E888" t="str">
        <x:v>Scotland</x:v>
      </x:c>
      <x:c r="F888" t="str">
        <x:v>Online</x:v>
      </x:c>
      <x:c r="G888" t="str">
        <x:v>Books</x:v>
      </x:c>
      <x:c r="H888" t="str">
        <x:v>Business Intelligence Guide</x:v>
      </x:c>
      <x:c r="I888" t="n">
        <x:v>1</x:v>
      </x:c>
      <x:c r="J888" s="4" t="n">
        <x:v>34.16</x:v>
      </x:c>
      <x:c r="K888" s="4" t="n">
        <x:v>12</x:v>
      </x:c>
      <x:c r="L888" s="5" t="n">
        <x:v>0</x:v>
      </x:c>
      <x:c r="M888" s="4" t="n">
        <x:f>ROUND(I888*J888*(1-L888),2)</x:f>
        <x:v>34.16</x:v>
      </x:c>
      <x:c r="N888" s="4" t="n">
        <x:f>ROUND(I888*K888,2)</x:f>
        <x:v>12</x:v>
      </x:c>
      <x:c r="O888" s="4" t="n">
        <x:f>ROUND(M888-N888,2)</x:f>
        <x:v>22.16</x:v>
      </x:c>
      <x:c r="P888" s="6" t="n">
        <x:v>5</x:v>
      </x:c>
      <x:c r="Q888" t="str">
        <x:v>No</x:v>
      </x:c>
    </x:row>
    <x:row r="889">
      <x:c r="A889" t="str">
        <x:v>ORD-01418</x:v>
      </x:c>
      <x:c r="B889" s="3" t="n">
        <x:v>45665.86270496528</x:v>
      </x:c>
      <x:c r="C889" t="str">
        <x:v>2025-01</x:v>
      </x:c>
      <x:c r="D889" t="str">
        <x:v>CUS-0338</x:v>
      </x:c>
      <x:c r="E889" t="str">
        <x:v>South East</x:v>
      </x:c>
      <x:c r="F889" t="str">
        <x:v>Marketplace</x:v>
      </x:c>
      <x:c r="G889" t="str">
        <x:v>Home</x:v>
      </x:c>
      <x:c r="H889" t="str">
        <x:v>Coffee Maker</x:v>
      </x:c>
      <x:c r="I889" t="n">
        <x:v>3</x:v>
      </x:c>
      <x:c r="J889" s="4" t="n">
        <x:v>77.9</x:v>
      </x:c>
      <x:c r="K889" s="4" t="n">
        <x:v>41</x:v>
      </x:c>
      <x:c r="L889" s="5" t="n">
        <x:v>0</x:v>
      </x:c>
      <x:c r="M889" s="4" t="n">
        <x:f>ROUND(I889*J889*(1-L889),2)</x:f>
        <x:v>233.7</x:v>
      </x:c>
      <x:c r="N889" s="4" t="n">
        <x:f>ROUND(I889*K889,2)</x:f>
        <x:v>123</x:v>
      </x:c>
      <x:c r="O889" s="4" t="n">
        <x:f>ROUND(M889-N889,2)</x:f>
        <x:v>110.7</x:v>
      </x:c>
      <x:c r="P889" s="6" t="n">
        <x:v>4.1</x:v>
      </x:c>
      <x:c r="Q889" t="str">
        <x:v>No</x:v>
      </x:c>
    </x:row>
    <x:row r="890">
      <x:c r="A890" t="str">
        <x:v>ORD-01701</x:v>
      </x:c>
      <x:c r="B890" s="3" t="n">
        <x:v>45666.22026491898</x:v>
      </x:c>
      <x:c r="C890" t="str">
        <x:v>2025-01</x:v>
      </x:c>
      <x:c r="D890" t="str">
        <x:v>CUS-0285</x:v>
      </x:c>
      <x:c r="E890" t="str">
        <x:v>Wales</x:v>
      </x:c>
      <x:c r="F890" t="str">
        <x:v>Marketplace</x:v>
      </x:c>
      <x:c r="G890" t="str">
        <x:v>Sports</x:v>
      </x:c>
      <x:c r="H890" t="str">
        <x:v>Fitness Tracker</x:v>
      </x:c>
      <x:c r="I890" t="n">
        <x:v>5</x:v>
      </x:c>
      <x:c r="J890" s="4" t="n">
        <x:v>55.47</x:v>
      </x:c>
      <x:c r="K890" s="4" t="n">
        <x:v>27</x:v>
      </x:c>
      <x:c r="L890" s="5" t="n">
        <x:v>0.15</x:v>
      </x:c>
      <x:c r="M890" s="4" t="n">
        <x:f>ROUND(I890*J890*(1-L890),2)</x:f>
        <x:v>235.75</x:v>
      </x:c>
      <x:c r="N890" s="4" t="n">
        <x:f>ROUND(I890*K890,2)</x:f>
        <x:v>135</x:v>
      </x:c>
      <x:c r="O890" s="4" t="n">
        <x:f>ROUND(M890-N890,2)</x:f>
        <x:v>100.75</x:v>
      </x:c>
      <x:c r="P890" s="6" t="n">
        <x:v>3.6</x:v>
      </x:c>
      <x:c r="Q890" t="str">
        <x:v>No</x:v>
      </x:c>
    </x:row>
    <x:row r="891">
      <x:c r="A891" t="str">
        <x:v>ORD-00559</x:v>
      </x:c>
      <x:c r="B891" s="3" t="n">
        <x:v>45666.97771460648</x:v>
      </x:c>
      <x:c r="C891" t="str">
        <x:v>2025-01</x:v>
      </x:c>
      <x:c r="D891" t="str">
        <x:v>CUS-0125</x:v>
      </x:c>
      <x:c r="E891" t="str">
        <x:v>North West</x:v>
      </x:c>
      <x:c r="F891" t="str">
        <x:v>Store</x:v>
      </x:c>
      <x:c r="G891" t="str">
        <x:v>Fashion</x:v>
      </x:c>
      <x:c r="H891" t="str">
        <x:v>Backpack</x:v>
      </x:c>
      <x:c r="I891" t="n">
        <x:v>2</x:v>
      </x:c>
      <x:c r="J891" s="4" t="n">
        <x:v>51.68</x:v>
      </x:c>
      <x:c r="K891" s="4" t="n">
        <x:v>21</x:v>
      </x:c>
      <x:c r="L891" s="5" t="n">
        <x:v>0</x:v>
      </x:c>
      <x:c r="M891" s="4" t="n">
        <x:f>ROUND(I891*J891*(1-L891),2)</x:f>
        <x:v>103.36</x:v>
      </x:c>
      <x:c r="N891" s="4" t="n">
        <x:f>ROUND(I891*K891,2)</x:f>
        <x:v>42</x:v>
      </x:c>
      <x:c r="O891" s="4" t="n">
        <x:f>ROUND(M891-N891,2)</x:f>
        <x:v>61.36</x:v>
      </x:c>
      <x:c r="P891" s="6" t="n">
        <x:v>4.7</x:v>
      </x:c>
      <x:c r="Q891" t="str">
        <x:v>No</x:v>
      </x:c>
    </x:row>
    <x:row r="892">
      <x:c r="A892" t="str">
        <x:v>ORD-00758</x:v>
      </x:c>
      <x:c r="B892" s="3" t="n">
        <x:v>45667.155443344906</x:v>
      </x:c>
      <x:c r="C892" t="str">
        <x:v>2025-01</x:v>
      </x:c>
      <x:c r="D892" t="str">
        <x:v>CUS-0431</x:v>
      </x:c>
      <x:c r="E892" t="str">
        <x:v>Wales</x:v>
      </x:c>
      <x:c r="F892" t="str">
        <x:v>Marketplace</x:v>
      </x:c>
      <x:c r="G892" t="str">
        <x:v>Books</x:v>
      </x:c>
      <x:c r="H892" t="str">
        <x:v>Data Analytics Handbook</x:v>
      </x:c>
      <x:c r="I892" t="n">
        <x:v>3</x:v>
      </x:c>
      <x:c r="J892" s="4" t="n">
        <x:v>40.95</x:v>
      </x:c>
      <x:c r="K892" s="4" t="n">
        <x:v>14</x:v>
      </x:c>
      <x:c r="L892" s="5" t="n">
        <x:v>0</x:v>
      </x:c>
      <x:c r="M892" s="4" t="n">
        <x:f>ROUND(I892*J892*(1-L892),2)</x:f>
        <x:v>122.85</x:v>
      </x:c>
      <x:c r="N892" s="4" t="n">
        <x:f>ROUND(I892*K892,2)</x:f>
        <x:v>42</x:v>
      </x:c>
      <x:c r="O892" s="4" t="n">
        <x:f>ROUND(M892-N892,2)</x:f>
        <x:v>80.85</x:v>
      </x:c>
      <x:c r="P892" s="6" t="n">
        <x:v>4.2</x:v>
      </x:c>
      <x:c r="Q892" t="str">
        <x:v>No</x:v>
      </x:c>
    </x:row>
    <x:row r="893">
      <x:c r="A893" t="str">
        <x:v>ORD-01700</x:v>
      </x:c>
      <x:c r="B893" s="3" t="n">
        <x:v>45667.32683402778</x:v>
      </x:c>
      <x:c r="C893" t="str">
        <x:v>2025-01</x:v>
      </x:c>
      <x:c r="D893" t="str">
        <x:v>CUS-0507</x:v>
      </x:c>
      <x:c r="E893" t="str">
        <x:v>North West</x:v>
      </x:c>
      <x:c r="F893" t="str">
        <x:v>Marketplace</x:v>
      </x:c>
      <x:c r="G893" t="str">
        <x:v>Fashion</x:v>
      </x:c>
      <x:c r="H893" t="str">
        <x:v>Backpack</x:v>
      </x:c>
      <x:c r="I893" t="n">
        <x:v>2</x:v>
      </x:c>
      <x:c r="J893" s="4" t="n">
        <x:v>49.01</x:v>
      </x:c>
      <x:c r="K893" s="4" t="n">
        <x:v>21</x:v>
      </x:c>
      <x:c r="L893" s="5" t="n">
        <x:v>0</x:v>
      </x:c>
      <x:c r="M893" s="4" t="n">
        <x:f>ROUND(I893*J893*(1-L893),2)</x:f>
        <x:v>98.02</x:v>
      </x:c>
      <x:c r="N893" s="4" t="n">
        <x:f>ROUND(I893*K893,2)</x:f>
        <x:v>42</x:v>
      </x:c>
      <x:c r="O893" s="4" t="n">
        <x:f>ROUND(M893-N893,2)</x:f>
        <x:v>56.02</x:v>
      </x:c>
      <x:c r="P893" s="6" t="n">
        <x:v>4.7</x:v>
      </x:c>
      <x:c r="Q893" t="str">
        <x:v>No</x:v>
      </x:c>
    </x:row>
    <x:row r="894">
      <x:c r="A894" t="str">
        <x:v>ORD-00791</x:v>
      </x:c>
      <x:c r="B894" s="3" t="n">
        <x:v>45667.613255578704</x:v>
      </x:c>
      <x:c r="C894" t="str">
        <x:v>2025-01</x:v>
      </x:c>
      <x:c r="D894" t="str">
        <x:v>CUS-0477</x:v>
      </x:c>
      <x:c r="E894" t="str">
        <x:v>Scotland</x:v>
      </x:c>
      <x:c r="F894" t="str">
        <x:v>Store</x:v>
      </x:c>
      <x:c r="G894" t="str">
        <x:v>Beauty</x:v>
      </x:c>
      <x:c r="H894" t="str">
        <x:v>Skin Care Set</x:v>
      </x:c>
      <x:c r="I894" t="n">
        <x:v>2</x:v>
      </x:c>
      <x:c r="J894" s="4" t="n">
        <x:v>42.85</x:v>
      </x:c>
      <x:c r="K894" s="4" t="n">
        <x:v>18</x:v>
      </x:c>
      <x:c r="L894" s="5" t="n">
        <x:v>0.05</x:v>
      </x:c>
      <x:c r="M894" s="4" t="n">
        <x:f>ROUND(I894*J894*(1-L894),2)</x:f>
        <x:v>81.41</x:v>
      </x:c>
      <x:c r="N894" s="4" t="n">
        <x:f>ROUND(I894*K894,2)</x:f>
        <x:v>36</x:v>
      </x:c>
      <x:c r="O894" s="4" t="n">
        <x:f>ROUND(M894-N894,2)</x:f>
        <x:v>45.41</x:v>
      </x:c>
      <x:c r="P894" s="6" t="n">
        <x:v>3.3</x:v>
      </x:c>
      <x:c r="Q894" t="str">
        <x:v>No</x:v>
      </x:c>
    </x:row>
    <x:row r="895">
      <x:c r="A895" t="str">
        <x:v>ORD-01637</x:v>
      </x:c>
      <x:c r="B895" s="3" t="n">
        <x:v>45667.630882453705</x:v>
      </x:c>
      <x:c r="C895" t="str">
        <x:v>2025-01</x:v>
      </x:c>
      <x:c r="D895" t="str">
        <x:v>CUS-0470</x:v>
      </x:c>
      <x:c r="E895" t="str">
        <x:v>Midlands</x:v>
      </x:c>
      <x:c r="F895" t="str">
        <x:v>Online</x:v>
      </x:c>
      <x:c r="G895" t="str">
        <x:v>Books</x:v>
      </x:c>
      <x:c r="H895" t="str">
        <x:v>Business Intelligence Guide</x:v>
      </x:c>
      <x:c r="I895" t="n">
        <x:v>1</x:v>
      </x:c>
      <x:c r="J895" s="4" t="n">
        <x:v>36.45</x:v>
      </x:c>
      <x:c r="K895" s="4" t="n">
        <x:v>12</x:v>
      </x:c>
      <x:c r="L895" s="5" t="n">
        <x:v>0</x:v>
      </x:c>
      <x:c r="M895" s="4" t="n">
        <x:f>ROUND(I895*J895*(1-L895),2)</x:f>
        <x:v>36.45</x:v>
      </x:c>
      <x:c r="N895" s="4" t="n">
        <x:f>ROUND(I895*K895,2)</x:f>
        <x:v>12</x:v>
      </x:c>
      <x:c r="O895" s="4" t="n">
        <x:f>ROUND(M895-N895,2)</x:f>
        <x:v>24.45</x:v>
      </x:c>
      <x:c r="P895" s="6" t="n">
        <x:v>5</x:v>
      </x:c>
      <x:c r="Q895" t="str">
        <x:v>No</x:v>
      </x:c>
    </x:row>
    <x:row r="896">
      <x:c r="A896" t="str">
        <x:v>ORD-00135</x:v>
      </x:c>
      <x:c r="B896" s="3" t="n">
        <x:v>45667.81836283565</x:v>
      </x:c>
      <x:c r="C896" t="str">
        <x:v>2025-01</x:v>
      </x:c>
      <x:c r="D896" t="str">
        <x:v>CUS-0353</x:v>
      </x:c>
      <x:c r="E896" t="str">
        <x:v>Midlands</x:v>
      </x:c>
      <x:c r="F896" t="str">
        <x:v>Store</x:v>
      </x:c>
      <x:c r="G896" t="str">
        <x:v>Sports</x:v>
      </x:c>
      <x:c r="H896" t="str">
        <x:v>Yoga Mat</x:v>
      </x:c>
      <x:c r="I896" t="n">
        <x:v>2</x:v>
      </x:c>
      <x:c r="J896" s="4" t="n">
        <x:v>30.28</x:v>
      </x:c>
      <x:c r="K896" s="4" t="n">
        <x:v>12</x:v>
      </x:c>
      <x:c r="L896" s="5" t="n">
        <x:v>0.05</x:v>
      </x:c>
      <x:c r="M896" s="4" t="n">
        <x:f>ROUND(I896*J896*(1-L896),2)</x:f>
        <x:v>57.53</x:v>
      </x:c>
      <x:c r="N896" s="4" t="n">
        <x:f>ROUND(I896*K896,2)</x:f>
        <x:v>24</x:v>
      </x:c>
      <x:c r="O896" s="4" t="n">
        <x:f>ROUND(M896-N896,2)</x:f>
        <x:v>33.53</x:v>
      </x:c>
      <x:c r="P896" s="6" t="n">
        <x:v>4.2</x:v>
      </x:c>
      <x:c r="Q896" t="str">
        <x:v>No</x:v>
      </x:c>
    </x:row>
    <x:row r="897">
      <x:c r="A897" t="str">
        <x:v>ORD-01750</x:v>
      </x:c>
      <x:c r="B897" s="3" t="n">
        <x:v>45667.99328780093</x:v>
      </x:c>
      <x:c r="C897" t="str">
        <x:v>2025-01</x:v>
      </x:c>
      <x:c r="D897" t="str">
        <x:v>CUS-0419</x:v>
      </x:c>
      <x:c r="E897" t="str">
        <x:v>North East</x:v>
      </x:c>
      <x:c r="F897" t="str">
        <x:v>Marketplace</x:v>
      </x:c>
      <x:c r="G897" t="str">
        <x:v>Home</x:v>
      </x:c>
      <x:c r="H897" t="str">
        <x:v>Desk Lamp</x:v>
      </x:c>
      <x:c r="I897" t="n">
        <x:v>2</x:v>
      </x:c>
      <x:c r="J897" s="4" t="n">
        <x:v>36.32</x:v>
      </x:c>
      <x:c r="K897" s="4" t="n">
        <x:v>17</x:v>
      </x:c>
      <x:c r="L897" s="5" t="n">
        <x:v>0.05</x:v>
      </x:c>
      <x:c r="M897" s="4" t="n">
        <x:f>ROUND(I897*J897*(1-L897),2)</x:f>
        <x:v>69.01</x:v>
      </x:c>
      <x:c r="N897" s="4" t="n">
        <x:f>ROUND(I897*K897,2)</x:f>
        <x:v>34</x:v>
      </x:c>
      <x:c r="O897" s="4" t="n">
        <x:f>ROUND(M897-N897,2)</x:f>
        <x:v>35.01</x:v>
      </x:c>
      <x:c r="P897" s="6" t="n">
        <x:v>3.7</x:v>
      </x:c>
      <x:c r="Q897" t="str">
        <x:v>No</x:v>
      </x:c>
    </x:row>
    <x:row r="898">
      <x:c r="A898" t="str">
        <x:v>ORD-00937</x:v>
      </x:c>
      <x:c r="B898" s="3" t="n">
        <x:v>45668.2029171875</x:v>
      </x:c>
      <x:c r="C898" t="str">
        <x:v>2025-01</x:v>
      </x:c>
      <x:c r="D898" t="str">
        <x:v>CUS-0402</x:v>
      </x:c>
      <x:c r="E898" t="str">
        <x:v>South West</x:v>
      </x:c>
      <x:c r="F898" t="str">
        <x:v>Marketplace</x:v>
      </x:c>
      <x:c r="G898" t="str">
        <x:v>Home</x:v>
      </x:c>
      <x:c r="H898" t="str">
        <x:v>Air Fryer</x:v>
      </x:c>
      <x:c r="I898" t="n">
        <x:v>3</x:v>
      </x:c>
      <x:c r="J898" s="4" t="n">
        <x:v>117.72</x:v>
      </x:c>
      <x:c r="K898" s="4" t="n">
        <x:v>69</x:v>
      </x:c>
      <x:c r="L898" s="5" t="n">
        <x:v>0.2</x:v>
      </x:c>
      <x:c r="M898" s="4" t="n">
        <x:f>ROUND(I898*J898*(1-L898),2)</x:f>
        <x:v>282.53</x:v>
      </x:c>
      <x:c r="N898" s="4" t="n">
        <x:f>ROUND(I898*K898,2)</x:f>
        <x:v>207</x:v>
      </x:c>
      <x:c r="O898" s="4" t="n">
        <x:f>ROUND(M898-N898,2)</x:f>
        <x:v>75.53</x:v>
      </x:c>
      <x:c r="P898" s="6" t="n">
        <x:v>4.7</x:v>
      </x:c>
      <x:c r="Q898" t="str">
        <x:v>No</x:v>
      </x:c>
    </x:row>
    <x:row r="899">
      <x:c r="A899" t="str">
        <x:v>ORD-00026</x:v>
      </x:c>
      <x:c r="B899" s="3" t="n">
        <x:v>45668.31435971065</x:v>
      </x:c>
      <x:c r="C899" t="str">
        <x:v>2025-01</x:v>
      </x:c>
      <x:c r="D899" t="str">
        <x:v>CUS-0263</x:v>
      </x:c>
      <x:c r="E899" t="str">
        <x:v>London</x:v>
      </x:c>
      <x:c r="F899" t="str">
        <x:v>Marketplace</x:v>
      </x:c>
      <x:c r="G899" t="str">
        <x:v>Sports</x:v>
      </x:c>
      <x:c r="H899" t="str">
        <x:v>Running Shoes</x:v>
      </x:c>
      <x:c r="I899" t="n">
        <x:v>3</x:v>
      </x:c>
      <x:c r="J899" s="4" t="n">
        <x:v>83.83</x:v>
      </x:c>
      <x:c r="K899" s="4" t="n">
        <x:v>38</x:v>
      </x:c>
      <x:c r="L899" s="5" t="n">
        <x:v>0</x:v>
      </x:c>
      <x:c r="M899" s="4" t="n">
        <x:f>ROUND(I899*J899*(1-L899),2)</x:f>
        <x:v>251.49</x:v>
      </x:c>
      <x:c r="N899" s="4" t="n">
        <x:f>ROUND(I899*K899,2)</x:f>
        <x:v>114</x:v>
      </x:c>
      <x:c r="O899" s="4" t="n">
        <x:f>ROUND(M899-N899,2)</x:f>
        <x:v>137.49</x:v>
      </x:c>
      <x:c r="P899" s="6" t="n">
        <x:v>3.9</x:v>
      </x:c>
      <x:c r="Q899" t="str">
        <x:v>No</x:v>
      </x:c>
    </x:row>
    <x:row r="900">
      <x:c r="A900" t="str">
        <x:v>ORD-01766</x:v>
      </x:c>
      <x:c r="B900" s="3" t="n">
        <x:v>45669.26034494213</x:v>
      </x:c>
      <x:c r="C900" t="str">
        <x:v>2025-01</x:v>
      </x:c>
      <x:c r="D900" t="str">
        <x:v>CUS-0530</x:v>
      </x:c>
      <x:c r="E900" t="str">
        <x:v>Midlands</x:v>
      </x:c>
      <x:c r="F900" t="str">
        <x:v>Marketplace</x:v>
      </x:c>
      <x:c r="G900" t="str">
        <x:v>Sports</x:v>
      </x:c>
      <x:c r="H900" t="str">
        <x:v>Running Shoes</x:v>
      </x:c>
      <x:c r="I900" t="n">
        <x:v>2</x:v>
      </x:c>
      <x:c r="J900" s="4" t="n">
        <x:v>81.65</x:v>
      </x:c>
      <x:c r="K900" s="4" t="n">
        <x:v>38</x:v>
      </x:c>
      <x:c r="L900" s="5" t="n">
        <x:v>0.2</x:v>
      </x:c>
      <x:c r="M900" s="4" t="n">
        <x:f>ROUND(I900*J900*(1-L900),2)</x:f>
        <x:v>130.64</x:v>
      </x:c>
      <x:c r="N900" s="4" t="n">
        <x:f>ROUND(I900*K900,2)</x:f>
        <x:v>76</x:v>
      </x:c>
      <x:c r="O900" s="4" t="n">
        <x:f>ROUND(M900-N900,2)</x:f>
        <x:v>54.64</x:v>
      </x:c>
      <x:c r="P900" s="6" t="n">
        <x:v>5</x:v>
      </x:c>
      <x:c r="Q900" t="str">
        <x:v>No</x:v>
      </x:c>
    </x:row>
    <x:row r="901">
      <x:c r="A901" t="str">
        <x:v>ORD-00164</x:v>
      </x:c>
      <x:c r="B901" s="3" t="n">
        <x:v>45669.673838449075</x:v>
      </x:c>
      <x:c r="C901" t="str">
        <x:v>2025-01</x:v>
      </x:c>
      <x:c r="D901" t="str">
        <x:v>CUS-0014</x:v>
      </x:c>
      <x:c r="E901" t="str">
        <x:v>South East</x:v>
      </x:c>
      <x:c r="F901" t="str">
        <x:v>Online</x:v>
      </x:c>
      <x:c r="G901" t="str">
        <x:v>Home</x:v>
      </x:c>
      <x:c r="H901" t="str">
        <x:v>Air Fryer</x:v>
      </x:c>
      <x:c r="I901" t="n">
        <x:v>1</x:v>
      </x:c>
      <x:c r="J901" s="4" t="n">
        <x:v>125.68</x:v>
      </x:c>
      <x:c r="K901" s="4" t="n">
        <x:v>69</x:v>
      </x:c>
      <x:c r="L901" s="5" t="n">
        <x:v>0</x:v>
      </x:c>
      <x:c r="M901" s="4" t="n">
        <x:f>ROUND(I901*J901*(1-L901),2)</x:f>
        <x:v>125.68</x:v>
      </x:c>
      <x:c r="N901" s="4" t="n">
        <x:f>ROUND(I901*K901,2)</x:f>
        <x:v>69</x:v>
      </x:c>
      <x:c r="O901" s="4" t="n">
        <x:f>ROUND(M901-N901,2)</x:f>
        <x:v>56.68</x:v>
      </x:c>
      <x:c r="P901" s="6" t="n">
        <x:v>4</x:v>
      </x:c>
      <x:c r="Q901" t="str">
        <x:v>No</x:v>
      </x:c>
    </x:row>
    <x:row r="902">
      <x:c r="A902" t="str">
        <x:v>ORD-01051</x:v>
      </x:c>
      <x:c r="B902" s="3" t="n">
        <x:v>45669.830107905094</x:v>
      </x:c>
      <x:c r="C902" t="str">
        <x:v>2025-01</x:v>
      </x:c>
      <x:c r="D902" t="str">
        <x:v>CUS-0313</x:v>
      </x:c>
      <x:c r="E902" t="str">
        <x:v>London</x:v>
      </x:c>
      <x:c r="F902" t="str">
        <x:v>Marketplace</x:v>
      </x:c>
      <x:c r="G902" t="str">
        <x:v>Fashion</x:v>
      </x:c>
      <x:c r="H902" t="str">
        <x:v>Winter Jacket</x:v>
      </x:c>
      <x:c r="I902" t="n">
        <x:v>2</x:v>
      </x:c>
      <x:c r="J902" s="4" t="n">
        <x:v>93.47</x:v>
      </x:c>
      <x:c r="K902" s="4" t="n">
        <x:v>46</x:v>
      </x:c>
      <x:c r="L902" s="5" t="n">
        <x:v>0.15</x:v>
      </x:c>
      <x:c r="M902" s="4" t="n">
        <x:f>ROUND(I902*J902*(1-L902),2)</x:f>
        <x:v>158.9</x:v>
      </x:c>
      <x:c r="N902" s="4" t="n">
        <x:f>ROUND(I902*K902,2)</x:f>
        <x:v>92</x:v>
      </x:c>
      <x:c r="O902" s="4" t="n">
        <x:f>ROUND(M902-N902,2)</x:f>
        <x:v>66.9</x:v>
      </x:c>
      <x:c r="P902" s="6" t="n">
        <x:v>4.8</x:v>
      </x:c>
      <x:c r="Q902" t="str">
        <x:v>No</x:v>
      </x:c>
    </x:row>
    <x:row r="903">
      <x:c r="A903" t="str">
        <x:v>ORD-00088</x:v>
      </x:c>
      <x:c r="B903" s="3" t="n">
        <x:v>45670.103531099536</x:v>
      </x:c>
      <x:c r="C903" t="str">
        <x:v>2025-01</x:v>
      </x:c>
      <x:c r="D903" t="str">
        <x:v>CUS-0290</x:v>
      </x:c>
      <x:c r="E903" t="str">
        <x:v>South East</x:v>
      </x:c>
      <x:c r="F903" t="str">
        <x:v>Marketplace</x:v>
      </x:c>
      <x:c r="G903" t="str">
        <x:v>Electronics</x:v>
      </x:c>
      <x:c r="H903" t="str">
        <x:v>Wireless Headphones</x:v>
      </x:c>
      <x:c r="I903" t="n">
        <x:v>3</x:v>
      </x:c>
      <x:c r="J903" s="4" t="n">
        <x:v>87.26</x:v>
      </x:c>
      <x:c r="K903" s="4" t="n">
        <x:v>48</x:v>
      </x:c>
      <x:c r="L903" s="5" t="n">
        <x:v>0</x:v>
      </x:c>
      <x:c r="M903" s="4" t="n">
        <x:f>ROUND(I903*J903*(1-L903),2)</x:f>
        <x:v>261.78</x:v>
      </x:c>
      <x:c r="N903" s="4" t="n">
        <x:f>ROUND(I903*K903,2)</x:f>
        <x:v>144</x:v>
      </x:c>
      <x:c r="O903" s="4" t="n">
        <x:f>ROUND(M903-N903,2)</x:f>
        <x:v>117.78</x:v>
      </x:c>
      <x:c r="P903" s="6" t="n">
        <x:v>4</x:v>
      </x:c>
      <x:c r="Q903" t="str">
        <x:v>No</x:v>
      </x:c>
    </x:row>
    <x:row r="904">
      <x:c r="A904" t="str">
        <x:v>ORD-01135</x:v>
      </x:c>
      <x:c r="B904" s="3" t="n">
        <x:v>45670.406085856484</x:v>
      </x:c>
      <x:c r="C904" t="str">
        <x:v>2025-01</x:v>
      </x:c>
      <x:c r="D904" t="str">
        <x:v>CUS-0282</x:v>
      </x:c>
      <x:c r="E904" t="str">
        <x:v>South East</x:v>
      </x:c>
      <x:c r="F904" t="str">
        <x:v>Store</x:v>
      </x:c>
      <x:c r="G904" t="str">
        <x:v>Books</x:v>
      </x:c>
      <x:c r="H904" t="str">
        <x:v>Data Analytics Handbook</x:v>
      </x:c>
      <x:c r="I904" t="n">
        <x:v>1</x:v>
      </x:c>
      <x:c r="J904" s="4" t="n">
        <x:v>40.04</x:v>
      </x:c>
      <x:c r="K904" s="4" t="n">
        <x:v>14</x:v>
      </x:c>
      <x:c r="L904" s="5" t="n">
        <x:v>0.15</x:v>
      </x:c>
      <x:c r="M904" s="4" t="n">
        <x:f>ROUND(I904*J904*(1-L904),2)</x:f>
        <x:v>34.03</x:v>
      </x:c>
      <x:c r="N904" s="4" t="n">
        <x:f>ROUND(I904*K904,2)</x:f>
        <x:v>14</x:v>
      </x:c>
      <x:c r="O904" s="4" t="n">
        <x:f>ROUND(M904-N904,2)</x:f>
        <x:v>20.03</x:v>
      </x:c>
      <x:c r="P904" s="6" t="n">
        <x:v>4.5</x:v>
      </x:c>
      <x:c r="Q904" t="str">
        <x:v>No</x:v>
      </x:c>
    </x:row>
    <x:row r="905">
      <x:c r="A905" t="str">
        <x:v>ORD-01083</x:v>
      </x:c>
      <x:c r="B905" s="3" t="n">
        <x:v>45670.96254623843</x:v>
      </x:c>
      <x:c r="C905" t="str">
        <x:v>2025-01</x:v>
      </x:c>
      <x:c r="D905" t="str">
        <x:v>CUS-0348</x:v>
      </x:c>
      <x:c r="E905" t="str">
        <x:v>North West</x:v>
      </x:c>
      <x:c r="F905" t="str">
        <x:v>Store</x:v>
      </x:c>
      <x:c r="G905" t="str">
        <x:v>Fashion</x:v>
      </x:c>
      <x:c r="H905" t="str">
        <x:v>Classic Trainers</x:v>
      </x:c>
      <x:c r="I905" t="n">
        <x:v>1</x:v>
      </x:c>
      <x:c r="J905" s="4" t="n">
        <x:v>66.64</x:v>
      </x:c>
      <x:c r="K905" s="4" t="n">
        <x:v>32</x:v>
      </x:c>
      <x:c r="L905" s="5" t="n">
        <x:v>0</x:v>
      </x:c>
      <x:c r="M905" s="4" t="n">
        <x:f>ROUND(I905*J905*(1-L905),2)</x:f>
        <x:v>66.64</x:v>
      </x:c>
      <x:c r="N905" s="4" t="n">
        <x:f>ROUND(I905*K905,2)</x:f>
        <x:v>32</x:v>
      </x:c>
      <x:c r="O905" s="4" t="n">
        <x:f>ROUND(M905-N905,2)</x:f>
        <x:v>34.64</x:v>
      </x:c>
      <x:c r="P905" s="6" t="n">
        <x:v>4.9</x:v>
      </x:c>
      <x:c r="Q905" t="str">
        <x:v>No</x:v>
      </x:c>
    </x:row>
    <x:row r="906">
      <x:c r="A906" t="str">
        <x:v>ORD-00585</x:v>
      </x:c>
      <x:c r="B906" s="3" t="n">
        <x:v>45671.00345170139</x:v>
      </x:c>
      <x:c r="C906" t="str">
        <x:v>2025-01</x:v>
      </x:c>
      <x:c r="D906" t="str">
        <x:v>CUS-0236</x:v>
      </x:c>
      <x:c r="E906" t="str">
        <x:v>Wales</x:v>
      </x:c>
      <x:c r="F906" t="str">
        <x:v>Marketplace</x:v>
      </x:c>
      <x:c r="G906" t="str">
        <x:v>Electronics</x:v>
      </x:c>
      <x:c r="H906" t="str">
        <x:v>Wireless Headphones</x:v>
      </x:c>
      <x:c r="I906" t="n">
        <x:v>4</x:v>
      </x:c>
      <x:c r="J906" s="4" t="n">
        <x:v>91.57</x:v>
      </x:c>
      <x:c r="K906" s="4" t="n">
        <x:v>48</x:v>
      </x:c>
      <x:c r="L906" s="5" t="n">
        <x:v>0.1</x:v>
      </x:c>
      <x:c r="M906" s="4" t="n">
        <x:f>ROUND(I906*J906*(1-L906),2)</x:f>
        <x:v>329.65</x:v>
      </x:c>
      <x:c r="N906" s="4" t="n">
        <x:f>ROUND(I906*K906,2)</x:f>
        <x:v>192</x:v>
      </x:c>
      <x:c r="O906" s="4" t="n">
        <x:f>ROUND(M906-N906,2)</x:f>
        <x:v>137.65</x:v>
      </x:c>
      <x:c r="P906" s="6" t="n">
        <x:v>5</x:v>
      </x:c>
      <x:c r="Q906" t="str">
        <x:v>No</x:v>
      </x:c>
    </x:row>
    <x:row r="907">
      <x:c r="A907" t="str">
        <x:v>ORD-00462</x:v>
      </x:c>
      <x:c r="B907" s="3" t="n">
        <x:v>45671.79531040509</x:v>
      </x:c>
      <x:c r="C907" t="str">
        <x:v>2025-01</x:v>
      </x:c>
      <x:c r="D907" t="str">
        <x:v>CUS-0524</x:v>
      </x:c>
      <x:c r="E907" t="str">
        <x:v>South West</x:v>
      </x:c>
      <x:c r="F907" t="str">
        <x:v>Marketplace</x:v>
      </x:c>
      <x:c r="G907" t="str">
        <x:v>Fashion</x:v>
      </x:c>
      <x:c r="H907" t="str">
        <x:v>Winter Jacket</x:v>
      </x:c>
      <x:c r="I907" t="n">
        <x:v>4</x:v>
      </x:c>
      <x:c r="J907" s="4" t="n">
        <x:v>97.28</x:v>
      </x:c>
      <x:c r="K907" s="4" t="n">
        <x:v>46</x:v>
      </x:c>
      <x:c r="L907" s="5" t="n">
        <x:v>0.1</x:v>
      </x:c>
      <x:c r="M907" s="4" t="n">
        <x:f>ROUND(I907*J907*(1-L907),2)</x:f>
        <x:v>350.21</x:v>
      </x:c>
      <x:c r="N907" s="4" t="n">
        <x:f>ROUND(I907*K907,2)</x:f>
        <x:v>184</x:v>
      </x:c>
      <x:c r="O907" s="4" t="n">
        <x:f>ROUND(M907-N907,2)</x:f>
        <x:v>166.21</x:v>
      </x:c>
      <x:c r="P907" s="6" t="n">
        <x:v>5</x:v>
      </x:c>
      <x:c r="Q907" t="str">
        <x:v>No</x:v>
      </x:c>
    </x:row>
    <x:row r="908">
      <x:c r="A908" t="str">
        <x:v>ORD-01209</x:v>
      </x:c>
      <x:c r="B908" s="3" t="n">
        <x:v>45672.4080809838</x:v>
      </x:c>
      <x:c r="C908" t="str">
        <x:v>2025-01</x:v>
      </x:c>
      <x:c r="D908" t="str">
        <x:v>CUS-0237</x:v>
      </x:c>
      <x:c r="E908" t="str">
        <x:v>London</x:v>
      </x:c>
      <x:c r="F908" t="str">
        <x:v>Online</x:v>
      </x:c>
      <x:c r="G908" t="str">
        <x:v>Beauty</x:v>
      </x:c>
      <x:c r="H908" t="str">
        <x:v>Skin Care Set</x:v>
      </x:c>
      <x:c r="I908" t="n">
        <x:v>1</x:v>
      </x:c>
      <x:c r="J908" s="4" t="n">
        <x:v>46.55</x:v>
      </x:c>
      <x:c r="K908" s="4" t="n">
        <x:v>18</x:v>
      </x:c>
      <x:c r="L908" s="5" t="n">
        <x:v>0</x:v>
      </x:c>
      <x:c r="M908" s="4" t="n">
        <x:f>ROUND(I908*J908*(1-L908),2)</x:f>
        <x:v>46.55</x:v>
      </x:c>
      <x:c r="N908" s="4" t="n">
        <x:f>ROUND(I908*K908,2)</x:f>
        <x:v>18</x:v>
      </x:c>
      <x:c r="O908" s="4" t="n">
        <x:f>ROUND(M908-N908,2)</x:f>
        <x:v>28.55</x:v>
      </x:c>
      <x:c r="P908" s="6" t="n">
        <x:v>4.7</x:v>
      </x:c>
      <x:c r="Q908" t="str">
        <x:v>No</x:v>
      </x:c>
    </x:row>
    <x:row r="909">
      <x:c r="A909" t="str">
        <x:v>ORD-01104</x:v>
      </x:c>
      <x:c r="B909" s="3" t="n">
        <x:v>45673.13927460648</x:v>
      </x:c>
      <x:c r="C909" t="str">
        <x:v>2025-01</x:v>
      </x:c>
      <x:c r="D909" t="str">
        <x:v>CUS-0238</x:v>
      </x:c>
      <x:c r="E909" t="str">
        <x:v>Midlands</x:v>
      </x:c>
      <x:c r="F909" t="str">
        <x:v>Store</x:v>
      </x:c>
      <x:c r="G909" t="str">
        <x:v>Electronics</x:v>
      </x:c>
      <x:c r="H909" t="str">
        <x:v>Wireless Headphones</x:v>
      </x:c>
      <x:c r="I909" t="n">
        <x:v>4</x:v>
      </x:c>
      <x:c r="J909" s="4" t="n">
        <x:v>93.43</x:v>
      </x:c>
      <x:c r="K909" s="4" t="n">
        <x:v>48</x:v>
      </x:c>
      <x:c r="L909" s="5" t="n">
        <x:v>0.05</x:v>
      </x:c>
      <x:c r="M909" s="4" t="n">
        <x:f>ROUND(I909*J909*(1-L909),2)</x:f>
        <x:v>355.03</x:v>
      </x:c>
      <x:c r="N909" s="4" t="n">
        <x:f>ROUND(I909*K909,2)</x:f>
        <x:v>192</x:v>
      </x:c>
      <x:c r="O909" s="4" t="n">
        <x:f>ROUND(M909-N909,2)</x:f>
        <x:v>163.03</x:v>
      </x:c>
      <x:c r="P909" s="6" t="n">
        <x:v>5</x:v>
      </x:c>
      <x:c r="Q909" t="str">
        <x:v>No</x:v>
      </x:c>
    </x:row>
    <x:row r="910">
      <x:c r="A910" t="str">
        <x:v>ORD-01267</x:v>
      </x:c>
      <x:c r="B910" s="3" t="n">
        <x:v>45673.2183915625</x:v>
      </x:c>
      <x:c r="C910" t="str">
        <x:v>2025-01</x:v>
      </x:c>
      <x:c r="D910" t="str">
        <x:v>CUS-0055</x:v>
      </x:c>
      <x:c r="E910" t="str">
        <x:v>South West</x:v>
      </x:c>
      <x:c r="F910" t="str">
        <x:v>Online</x:v>
      </x:c>
      <x:c r="G910" t="str">
        <x:v>Sports</x:v>
      </x:c>
      <x:c r="H910" t="str">
        <x:v>Yoga Mat</x:v>
      </x:c>
      <x:c r="I910" t="n">
        <x:v>1</x:v>
      </x:c>
      <x:c r="J910" s="4" t="n">
        <x:v>29.94</x:v>
      </x:c>
      <x:c r="K910" s="4" t="n">
        <x:v>12</x:v>
      </x:c>
      <x:c r="L910" s="5" t="n">
        <x:v>0.1</x:v>
      </x:c>
      <x:c r="M910" s="4" t="n">
        <x:f>ROUND(I910*J910*(1-L910),2)</x:f>
        <x:v>26.95</x:v>
      </x:c>
      <x:c r="N910" s="4" t="n">
        <x:f>ROUND(I910*K910,2)</x:f>
        <x:v>12</x:v>
      </x:c>
      <x:c r="O910" s="4" t="n">
        <x:f>ROUND(M910-N910,2)</x:f>
        <x:v>14.95</x:v>
      </x:c>
      <x:c r="P910" s="6" t="n">
        <x:v>4.5</x:v>
      </x:c>
      <x:c r="Q910" t="str">
        <x:v>No</x:v>
      </x:c>
    </x:row>
    <x:row r="911">
      <x:c r="A911" t="str">
        <x:v>ORD-00687</x:v>
      </x:c>
      <x:c r="B911" s="3" t="n">
        <x:v>45673.24096173611</x:v>
      </x:c>
      <x:c r="C911" t="str">
        <x:v>2025-01</x:v>
      </x:c>
      <x:c r="D911" t="str">
        <x:v>CUS-0222</x:v>
      </x:c>
      <x:c r="E911" t="str">
        <x:v>London</x:v>
      </x:c>
      <x:c r="F911" t="str">
        <x:v>Store</x:v>
      </x:c>
      <x:c r="G911" t="str">
        <x:v>Books</x:v>
      </x:c>
      <x:c r="H911" t="str">
        <x:v>Data Analytics Handbook</x:v>
      </x:c>
      <x:c r="I911" t="n">
        <x:v>5</x:v>
      </x:c>
      <x:c r="J911" s="4" t="n">
        <x:v>41.83</x:v>
      </x:c>
      <x:c r="K911" s="4" t="n">
        <x:v>14</x:v>
      </x:c>
      <x:c r="L911" s="5" t="n">
        <x:v>0</x:v>
      </x:c>
      <x:c r="M911" s="4" t="n">
        <x:f>ROUND(I911*J911*(1-L911),2)</x:f>
        <x:v>209.15</x:v>
      </x:c>
      <x:c r="N911" s="4" t="n">
        <x:f>ROUND(I911*K911,2)</x:f>
        <x:v>70</x:v>
      </x:c>
      <x:c r="O911" s="4" t="n">
        <x:f>ROUND(M911-N911,2)</x:f>
        <x:v>139.15</x:v>
      </x:c>
      <x:c r="P911" s="6" t="n">
        <x:v>3.2</x:v>
      </x:c>
      <x:c r="Q911" t="str">
        <x:v>No</x:v>
      </x:c>
    </x:row>
    <x:row r="912">
      <x:c r="A912" t="str">
        <x:v>ORD-01706</x:v>
      </x:c>
      <x:c r="B912" s="3" t="n">
        <x:v>45673.299073587965</x:v>
      </x:c>
      <x:c r="C912" t="str">
        <x:v>2025-01</x:v>
      </x:c>
      <x:c r="D912" t="str">
        <x:v>CUS-0484</x:v>
      </x:c>
      <x:c r="E912" t="str">
        <x:v>North West</x:v>
      </x:c>
      <x:c r="F912" t="str">
        <x:v>Store</x:v>
      </x:c>
      <x:c r="G912" t="str">
        <x:v>Sports</x:v>
      </x:c>
      <x:c r="H912" t="str">
        <x:v>Running Shoes</x:v>
      </x:c>
      <x:c r="I912" t="n">
        <x:v>4</x:v>
      </x:c>
      <x:c r="J912" s="4" t="n">
        <x:v>83.42</x:v>
      </x:c>
      <x:c r="K912" s="4" t="n">
        <x:v>38</x:v>
      </x:c>
      <x:c r="L912" s="5" t="n">
        <x:v>0.05</x:v>
      </x:c>
      <x:c r="M912" s="4" t="n">
        <x:f>ROUND(I912*J912*(1-L912),2)</x:f>
        <x:v>317</x:v>
      </x:c>
      <x:c r="N912" s="4" t="n">
        <x:f>ROUND(I912*K912,2)</x:f>
        <x:v>152</x:v>
      </x:c>
      <x:c r="O912" s="4" t="n">
        <x:f>ROUND(M912-N912,2)</x:f>
        <x:v>165</x:v>
      </x:c>
      <x:c r="P912" s="6" t="n">
        <x:v>3.5</x:v>
      </x:c>
      <x:c r="Q912" t="str">
        <x:v>No</x:v>
      </x:c>
    </x:row>
    <x:row r="913">
      <x:c r="A913" t="str">
        <x:v>ORD-01757</x:v>
      </x:c>
      <x:c r="B913" s="3" t="n">
        <x:v>45674.14956048611</x:v>
      </x:c>
      <x:c r="C913" t="str">
        <x:v>2025-01</x:v>
      </x:c>
      <x:c r="D913" t="str">
        <x:v>CUS-0099</x:v>
      </x:c>
      <x:c r="E913" t="str">
        <x:v>South West</x:v>
      </x:c>
      <x:c r="F913" t="str">
        <x:v>Store</x:v>
      </x:c>
      <x:c r="G913" t="str">
        <x:v>Fashion</x:v>
      </x:c>
      <x:c r="H913" t="str">
        <x:v>Backpack</x:v>
      </x:c>
      <x:c r="I913" t="n">
        <x:v>1</x:v>
      </x:c>
      <x:c r="J913" s="4" t="n">
        <x:v>49.59</x:v>
      </x:c>
      <x:c r="K913" s="4" t="n">
        <x:v>21</x:v>
      </x:c>
      <x:c r="L913" s="5" t="n">
        <x:v>0.15</x:v>
      </x:c>
      <x:c r="M913" s="4" t="n">
        <x:f>ROUND(I913*J913*(1-L913),2)</x:f>
        <x:v>42.15</x:v>
      </x:c>
      <x:c r="N913" s="4" t="n">
        <x:f>ROUND(I913*K913,2)</x:f>
        <x:v>21</x:v>
      </x:c>
      <x:c r="O913" s="4" t="n">
        <x:f>ROUND(M913-N913,2)</x:f>
        <x:v>21.15</x:v>
      </x:c>
      <x:c r="P913" s="6" t="n">
        <x:v>3.2</x:v>
      </x:c>
      <x:c r="Q913" t="str">
        <x:v>No</x:v>
      </x:c>
    </x:row>
    <x:row r="914">
      <x:c r="A914" t="str">
        <x:v>ORD-01408</x:v>
      </x:c>
      <x:c r="B914" s="3" t="n">
        <x:v>45674.70744143519</x:v>
      </x:c>
      <x:c r="C914" t="str">
        <x:v>2025-01</x:v>
      </x:c>
      <x:c r="D914" t="str">
        <x:v>CUS-0541</x:v>
      </x:c>
      <x:c r="E914" t="str">
        <x:v>Midlands</x:v>
      </x:c>
      <x:c r="F914" t="str">
        <x:v>Online</x:v>
      </x:c>
      <x:c r="G914" t="str">
        <x:v>Fashion</x:v>
      </x:c>
      <x:c r="H914" t="str">
        <x:v>Classic Trainers</x:v>
      </x:c>
      <x:c r="I914" t="n">
        <x:v>1</x:v>
      </x:c>
      <x:c r="J914" s="4" t="n">
        <x:v>68.67</x:v>
      </x:c>
      <x:c r="K914" s="4" t="n">
        <x:v>32</x:v>
      </x:c>
      <x:c r="L914" s="5" t="n">
        <x:v>0</x:v>
      </x:c>
      <x:c r="M914" s="4" t="n">
        <x:f>ROUND(I914*J914*(1-L914),2)</x:f>
        <x:v>68.67</x:v>
      </x:c>
      <x:c r="N914" s="4" t="n">
        <x:f>ROUND(I914*K914,2)</x:f>
        <x:v>32</x:v>
      </x:c>
      <x:c r="O914" s="4" t="n">
        <x:f>ROUND(M914-N914,2)</x:f>
        <x:v>36.67</x:v>
      </x:c>
      <x:c r="P914" s="6" t="n">
        <x:v>4.3</x:v>
      </x:c>
      <x:c r="Q914" t="str">
        <x:v>No</x:v>
      </x:c>
    </x:row>
    <x:row r="915">
      <x:c r="A915" t="str">
        <x:v>ORD-00424</x:v>
      </x:c>
      <x:c r="B915" s="3" t="n">
        <x:v>45674.75283741898</x:v>
      </x:c>
      <x:c r="C915" t="str">
        <x:v>2025-01</x:v>
      </x:c>
      <x:c r="D915" t="str">
        <x:v>CUS-0429</x:v>
      </x:c>
      <x:c r="E915" t="str">
        <x:v>Wales</x:v>
      </x:c>
      <x:c r="F915" t="str">
        <x:v>Online</x:v>
      </x:c>
      <x:c r="G915" t="str">
        <x:v>Home</x:v>
      </x:c>
      <x:c r="H915" t="str">
        <x:v>Coffee Maker</x:v>
      </x:c>
      <x:c r="I915" t="n">
        <x:v>1</x:v>
      </x:c>
      <x:c r="J915" s="4" t="n">
        <x:v>78.28</x:v>
      </x:c>
      <x:c r="K915" s="4" t="n">
        <x:v>41</x:v>
      </x:c>
      <x:c r="L915" s="5" t="n">
        <x:v>0.05</x:v>
      </x:c>
      <x:c r="M915" s="4" t="n">
        <x:f>ROUND(I915*J915*(1-L915),2)</x:f>
        <x:v>74.37</x:v>
      </x:c>
      <x:c r="N915" s="4" t="n">
        <x:f>ROUND(I915*K915,2)</x:f>
        <x:v>41</x:v>
      </x:c>
      <x:c r="O915" s="4" t="n">
        <x:f>ROUND(M915-N915,2)</x:f>
        <x:v>33.37</x:v>
      </x:c>
      <x:c r="P915" s="6" t="n">
        <x:v>4.6</x:v>
      </x:c>
      <x:c r="Q915" t="str">
        <x:v>No</x:v>
      </x:c>
    </x:row>
    <x:row r="916">
      <x:c r="A916" t="str">
        <x:v>ORD-00975</x:v>
      </x:c>
      <x:c r="B916" s="3" t="n">
        <x:v>45674.769962893515</x:v>
      </x:c>
      <x:c r="C916" t="str">
        <x:v>2025-01</x:v>
      </x:c>
      <x:c r="D916" t="str">
        <x:v>CUS-0075</x:v>
      </x:c>
      <x:c r="E916" t="str">
        <x:v>South East</x:v>
      </x:c>
      <x:c r="F916" t="str">
        <x:v>Online</x:v>
      </x:c>
      <x:c r="G916" t="str">
        <x:v>Home</x:v>
      </x:c>
      <x:c r="H916" t="str">
        <x:v>Air Fryer</x:v>
      </x:c>
      <x:c r="I916" t="n">
        <x:v>1</x:v>
      </x:c>
      <x:c r="J916" s="4" t="n">
        <x:v>121.59</x:v>
      </x:c>
      <x:c r="K916" s="4" t="n">
        <x:v>69</x:v>
      </x:c>
      <x:c r="L916" s="5" t="n">
        <x:v>0</x:v>
      </x:c>
      <x:c r="M916" s="4" t="n">
        <x:f>ROUND(I916*J916*(1-L916),2)</x:f>
        <x:v>121.59</x:v>
      </x:c>
      <x:c r="N916" s="4" t="n">
        <x:f>ROUND(I916*K916,2)</x:f>
        <x:v>69</x:v>
      </x:c>
      <x:c r="O916" s="4" t="n">
        <x:f>ROUND(M916-N916,2)</x:f>
        <x:v>52.59</x:v>
      </x:c>
      <x:c r="P916" s="6" t="n">
        <x:v>4.2</x:v>
      </x:c>
      <x:c r="Q916" t="str">
        <x:v>No</x:v>
      </x:c>
    </x:row>
    <x:row r="917">
      <x:c r="A917" t="str">
        <x:v>ORD-00150</x:v>
      </x:c>
      <x:c r="B917" s="3" t="n">
        <x:v>45674.77773613426</x:v>
      </x:c>
      <x:c r="C917" t="str">
        <x:v>2025-01</x:v>
      </x:c>
      <x:c r="D917" t="str">
        <x:v>CUS-0104</x:v>
      </x:c>
      <x:c r="E917" t="str">
        <x:v>Scotland</x:v>
      </x:c>
      <x:c r="F917" t="str">
        <x:v>Marketplace</x:v>
      </x:c>
      <x:c r="G917" t="str">
        <x:v>Electronics</x:v>
      </x:c>
      <x:c r="H917" t="str">
        <x:v>Wireless Headphones</x:v>
      </x:c>
      <x:c r="I917" t="n">
        <x:v>3</x:v>
      </x:c>
      <x:c r="J917" s="4" t="n">
        <x:v>90.35</x:v>
      </x:c>
      <x:c r="K917" s="4" t="n">
        <x:v>48</x:v>
      </x:c>
      <x:c r="L917" s="5" t="n">
        <x:v>0.15</x:v>
      </x:c>
      <x:c r="M917" s="4" t="n">
        <x:f>ROUND(I917*J917*(1-L917),2)</x:f>
        <x:v>230.39</x:v>
      </x:c>
      <x:c r="N917" s="4" t="n">
        <x:f>ROUND(I917*K917,2)</x:f>
        <x:v>144</x:v>
      </x:c>
      <x:c r="O917" s="4" t="n">
        <x:f>ROUND(M917-N917,2)</x:f>
        <x:v>86.39</x:v>
      </x:c>
      <x:c r="P917" s="6" t="n">
        <x:v>4.5</x:v>
      </x:c>
      <x:c r="Q917" t="str">
        <x:v>No</x:v>
      </x:c>
    </x:row>
    <x:row r="918">
      <x:c r="A918" t="str">
        <x:v>ORD-00397</x:v>
      </x:c>
      <x:c r="B918" s="3" t="n">
        <x:v>45675.4793719213</x:v>
      </x:c>
      <x:c r="C918" t="str">
        <x:v>2025-01</x:v>
      </x:c>
      <x:c r="D918" t="str">
        <x:v>CUS-0066</x:v>
      </x:c>
      <x:c r="E918" t="str">
        <x:v>North West</x:v>
      </x:c>
      <x:c r="F918" t="str">
        <x:v>Store</x:v>
      </x:c>
      <x:c r="G918" t="str">
        <x:v>Beauty</x:v>
      </x:c>
      <x:c r="H918" t="str">
        <x:v>Hair Dryer</x:v>
      </x:c>
      <x:c r="I918" t="n">
        <x:v>2</x:v>
      </x:c>
      <x:c r="J918" s="4" t="n">
        <x:v>58.68</x:v>
      </x:c>
      <x:c r="K918" s="4" t="n">
        <x:v>29</x:v>
      </x:c>
      <x:c r="L918" s="5" t="n">
        <x:v>0</x:v>
      </x:c>
      <x:c r="M918" s="4" t="n">
        <x:f>ROUND(I918*J918*(1-L918),2)</x:f>
        <x:v>117.36</x:v>
      </x:c>
      <x:c r="N918" s="4" t="n">
        <x:f>ROUND(I918*K918,2)</x:f>
        <x:v>58</x:v>
      </x:c>
      <x:c r="O918" s="4" t="n">
        <x:f>ROUND(M918-N918,2)</x:f>
        <x:v>59.36</x:v>
      </x:c>
      <x:c r="P918" s="6" t="n">
        <x:v>4.6</x:v>
      </x:c>
      <x:c r="Q918" t="str">
        <x:v>No</x:v>
      </x:c>
    </x:row>
    <x:row r="919">
      <x:c r="A919" t="str">
        <x:v>ORD-01534</x:v>
      </x:c>
      <x:c r="B919" s="3" t="n">
        <x:v>45675.87495471065</x:v>
      </x:c>
      <x:c r="C919" t="str">
        <x:v>2025-01</x:v>
      </x:c>
      <x:c r="D919" t="str">
        <x:v>CUS-0282</x:v>
      </x:c>
      <x:c r="E919" t="str">
        <x:v>North West</x:v>
      </x:c>
      <x:c r="F919" t="str">
        <x:v>Online</x:v>
      </x:c>
      <x:c r="G919" t="str">
        <x:v>Beauty</x:v>
      </x:c>
      <x:c r="H919" t="str">
        <x:v>Hair Dryer</x:v>
      </x:c>
      <x:c r="I919" t="n">
        <x:v>5</x:v>
      </x:c>
      <x:c r="J919" s="4" t="n">
        <x:v>62.02</x:v>
      </x:c>
      <x:c r="K919" s="4" t="n">
        <x:v>29</x:v>
      </x:c>
      <x:c r="L919" s="5" t="n">
        <x:v>0.15</x:v>
      </x:c>
      <x:c r="M919" s="4" t="n">
        <x:f>ROUND(I919*J919*(1-L919),2)</x:f>
        <x:v>263.59</x:v>
      </x:c>
      <x:c r="N919" s="4" t="n">
        <x:f>ROUND(I919*K919,2)</x:f>
        <x:v>145</x:v>
      </x:c>
      <x:c r="O919" s="4" t="n">
        <x:f>ROUND(M919-N919,2)</x:f>
        <x:v>118.59</x:v>
      </x:c>
      <x:c r="P919" s="6" t="n">
        <x:v>3.7</x:v>
      </x:c>
      <x:c r="Q919" t="str">
        <x:v>No</x:v>
      </x:c>
    </x:row>
    <x:row r="920">
      <x:c r="A920" t="str">
        <x:v>ORD-00182</x:v>
      </x:c>
      <x:c r="B920" s="3" t="n">
        <x:v>45675.98423084491</x:v>
      </x:c>
      <x:c r="C920" t="str">
        <x:v>2025-01</x:v>
      </x:c>
      <x:c r="D920" t="str">
        <x:v>CUS-0143</x:v>
      </x:c>
      <x:c r="E920" t="str">
        <x:v>London</x:v>
      </x:c>
      <x:c r="F920" t="str">
        <x:v>Store</x:v>
      </x:c>
      <x:c r="G920" t="str">
        <x:v>Electronics</x:v>
      </x:c>
      <x:c r="H920" t="str">
        <x:v>Wireless Headphones</x:v>
      </x:c>
      <x:c r="I920" t="n">
        <x:v>5</x:v>
      </x:c>
      <x:c r="J920" s="4" t="n">
        <x:v>91.76</x:v>
      </x:c>
      <x:c r="K920" s="4" t="n">
        <x:v>48</x:v>
      </x:c>
      <x:c r="L920" s="5" t="n">
        <x:v>0.15</x:v>
      </x:c>
      <x:c r="M920" s="4" t="n">
        <x:f>ROUND(I920*J920*(1-L920),2)</x:f>
        <x:v>389.98</x:v>
      </x:c>
      <x:c r="N920" s="4" t="n">
        <x:f>ROUND(I920*K920,2)</x:f>
        <x:v>240</x:v>
      </x:c>
      <x:c r="O920" s="4" t="n">
        <x:f>ROUND(M920-N920,2)</x:f>
        <x:v>149.98</x:v>
      </x:c>
      <x:c r="P920" s="6" t="n">
        <x:v>3.3</x:v>
      </x:c>
      <x:c r="Q920" t="str">
        <x:v>Yes</x:v>
      </x:c>
    </x:row>
    <x:row r="921">
      <x:c r="A921" t="str">
        <x:v>ORD-00679</x:v>
      </x:c>
      <x:c r="B921" s="3" t="n">
        <x:v>45676.10320356482</x:v>
      </x:c>
      <x:c r="C921" t="str">
        <x:v>2025-01</x:v>
      </x:c>
      <x:c r="D921" t="str">
        <x:v>CUS-0416</x:v>
      </x:c>
      <x:c r="E921" t="str">
        <x:v>Midlands</x:v>
      </x:c>
      <x:c r="F921" t="str">
        <x:v>Marketplace</x:v>
      </x:c>
      <x:c r="G921" t="str">
        <x:v>Home</x:v>
      </x:c>
      <x:c r="H921" t="str">
        <x:v>Air Fryer</x:v>
      </x:c>
      <x:c r="I921" t="n">
        <x:v>3</x:v>
      </x:c>
      <x:c r="J921" s="4" t="n">
        <x:v>118.05</x:v>
      </x:c>
      <x:c r="K921" s="4" t="n">
        <x:v>69</x:v>
      </x:c>
      <x:c r="L921" s="5" t="n">
        <x:v>0.1</x:v>
      </x:c>
      <x:c r="M921" s="4" t="n">
        <x:f>ROUND(I921*J921*(1-L921),2)</x:f>
        <x:v>318.74</x:v>
      </x:c>
      <x:c r="N921" s="4" t="n">
        <x:f>ROUND(I921*K921,2)</x:f>
        <x:v>207</x:v>
      </x:c>
      <x:c r="O921" s="4" t="n">
        <x:f>ROUND(M921-N921,2)</x:f>
        <x:v>111.74</x:v>
      </x:c>
      <x:c r="P921" s="6" t="n">
        <x:v>4.8</x:v>
      </x:c>
      <x:c r="Q921" t="str">
        <x:v>No</x:v>
      </x:c>
    </x:row>
    <x:row r="922">
      <x:c r="A922" t="str">
        <x:v>ORD-01667</x:v>
      </x:c>
      <x:c r="B922" s="3" t="n">
        <x:v>45676.12147699074</x:v>
      </x:c>
      <x:c r="C922" t="str">
        <x:v>2025-01</x:v>
      </x:c>
      <x:c r="D922" t="str">
        <x:v>CUS-0201</x:v>
      </x:c>
      <x:c r="E922" t="str">
        <x:v>Wales</x:v>
      </x:c>
      <x:c r="F922" t="str">
        <x:v>Marketplace</x:v>
      </x:c>
      <x:c r="G922" t="str">
        <x:v>Books</x:v>
      </x:c>
      <x:c r="H922" t="str">
        <x:v>Business Intelligence Guide</x:v>
      </x:c>
      <x:c r="I922" t="n">
        <x:v>2</x:v>
      </x:c>
      <x:c r="J922" s="4" t="n">
        <x:v>33.39</x:v>
      </x:c>
      <x:c r="K922" s="4" t="n">
        <x:v>12</x:v>
      </x:c>
      <x:c r="L922" s="5" t="n">
        <x:v>0.2</x:v>
      </x:c>
      <x:c r="M922" s="4" t="n">
        <x:f>ROUND(I922*J922*(1-L922),2)</x:f>
        <x:v>53.42</x:v>
      </x:c>
      <x:c r="N922" s="4" t="n">
        <x:f>ROUND(I922*K922,2)</x:f>
        <x:v>24</x:v>
      </x:c>
      <x:c r="O922" s="4" t="n">
        <x:f>ROUND(M922-N922,2)</x:f>
        <x:v>29.42</x:v>
      </x:c>
      <x:c r="P922" s="6" t="n">
        <x:v>5</x:v>
      </x:c>
      <x:c r="Q922" t="str">
        <x:v>No</x:v>
      </x:c>
    </x:row>
    <x:row r="923">
      <x:c r="A923" t="str">
        <x:v>ORD-00413</x:v>
      </x:c>
      <x:c r="B923" s="3" t="n">
        <x:v>45676.67293832176</x:v>
      </x:c>
      <x:c r="C923" t="str">
        <x:v>2025-01</x:v>
      </x:c>
      <x:c r="D923" t="str">
        <x:v>CUS-0477</x:v>
      </x:c>
      <x:c r="E923" t="str">
        <x:v>Midlands</x:v>
      </x:c>
      <x:c r="F923" t="str">
        <x:v>Store</x:v>
      </x:c>
      <x:c r="G923" t="str">
        <x:v>Sports</x:v>
      </x:c>
      <x:c r="H923" t="str">
        <x:v>Running Shoes</x:v>
      </x:c>
      <x:c r="I923" t="n">
        <x:v>3</x:v>
      </x:c>
      <x:c r="J923" s="4" t="n">
        <x:v>82.59</x:v>
      </x:c>
      <x:c r="K923" s="4" t="n">
        <x:v>38</x:v>
      </x:c>
      <x:c r="L923" s="5" t="n">
        <x:v>0.15</x:v>
      </x:c>
      <x:c r="M923" s="4" t="n">
        <x:f>ROUND(I923*J923*(1-L923),2)</x:f>
        <x:v>210.6</x:v>
      </x:c>
      <x:c r="N923" s="4" t="n">
        <x:f>ROUND(I923*K923,2)</x:f>
        <x:v>114</x:v>
      </x:c>
      <x:c r="O923" s="4" t="n">
        <x:f>ROUND(M923-N923,2)</x:f>
        <x:v>96.6</x:v>
      </x:c>
      <x:c r="P923" s="6" t="n">
        <x:v>3.2</x:v>
      </x:c>
      <x:c r="Q923" t="str">
        <x:v>No</x:v>
      </x:c>
    </x:row>
    <x:row r="924">
      <x:c r="A924" t="str">
        <x:v>ORD-00734</x:v>
      </x:c>
      <x:c r="B924" s="3" t="n">
        <x:v>45677.766906122684</x:v>
      </x:c>
      <x:c r="C924" t="str">
        <x:v>2025-01</x:v>
      </x:c>
      <x:c r="D924" t="str">
        <x:v>CUS-0025</x:v>
      </x:c>
      <x:c r="E924" t="str">
        <x:v>North East</x:v>
      </x:c>
      <x:c r="F924" t="str">
        <x:v>Online</x:v>
      </x:c>
      <x:c r="G924" t="str">
        <x:v>Beauty</x:v>
      </x:c>
      <x:c r="H924" t="str">
        <x:v>Hair Dryer</x:v>
      </x:c>
      <x:c r="I924" t="n">
        <x:v>2</x:v>
      </x:c>
      <x:c r="J924" s="4" t="n">
        <x:v>57.88</x:v>
      </x:c>
      <x:c r="K924" s="4" t="n">
        <x:v>29</x:v>
      </x:c>
      <x:c r="L924" s="5" t="n">
        <x:v>0</x:v>
      </x:c>
      <x:c r="M924" s="4" t="n">
        <x:f>ROUND(I924*J924*(1-L924),2)</x:f>
        <x:v>115.76</x:v>
      </x:c>
      <x:c r="N924" s="4" t="n">
        <x:f>ROUND(I924*K924,2)</x:f>
        <x:v>58</x:v>
      </x:c>
      <x:c r="O924" s="4" t="n">
        <x:f>ROUND(M924-N924,2)</x:f>
        <x:v>57.76</x:v>
      </x:c>
      <x:c r="P924" s="6" t="n">
        <x:v>4.7</x:v>
      </x:c>
      <x:c r="Q924" t="str">
        <x:v>No</x:v>
      </x:c>
    </x:row>
    <x:row r="925">
      <x:c r="A925" t="str">
        <x:v>ORD-01075</x:v>
      </x:c>
      <x:c r="B925" s="3" t="n">
        <x:v>45677.85925122685</x:v>
      </x:c>
      <x:c r="C925" t="str">
        <x:v>2025-01</x:v>
      </x:c>
      <x:c r="D925" t="str">
        <x:v>CUS-0307</x:v>
      </x:c>
      <x:c r="E925" t="str">
        <x:v>Wales</x:v>
      </x:c>
      <x:c r="F925" t="str">
        <x:v>Store</x:v>
      </x:c>
      <x:c r="G925" t="str">
        <x:v>Sports</x:v>
      </x:c>
      <x:c r="H925" t="str">
        <x:v>Running Shoes</x:v>
      </x:c>
      <x:c r="I925" t="n">
        <x:v>5</x:v>
      </x:c>
      <x:c r="J925" s="4" t="n">
        <x:v>81.26</x:v>
      </x:c>
      <x:c r="K925" s="4" t="n">
        <x:v>38</x:v>
      </x:c>
      <x:c r="L925" s="5" t="n">
        <x:v>0.1</x:v>
      </x:c>
      <x:c r="M925" s="4" t="n">
        <x:f>ROUND(I925*J925*(1-L925),2)</x:f>
        <x:v>365.67</x:v>
      </x:c>
      <x:c r="N925" s="4" t="n">
        <x:f>ROUND(I925*K925,2)</x:f>
        <x:v>190</x:v>
      </x:c>
      <x:c r="O925" s="4" t="n">
        <x:f>ROUND(M925-N925,2)</x:f>
        <x:v>175.67</x:v>
      </x:c>
      <x:c r="P925" s="6" t="n">
        <x:v>3.6</x:v>
      </x:c>
      <x:c r="Q925" t="str">
        <x:v>No</x:v>
      </x:c>
    </x:row>
    <x:row r="926">
      <x:c r="A926" t="str">
        <x:v>ORD-00675</x:v>
      </x:c>
      <x:c r="B926" s="3" t="n">
        <x:v>45678.14816142361</x:v>
      </x:c>
      <x:c r="C926" t="str">
        <x:v>2025-01</x:v>
      </x:c>
      <x:c r="D926" t="str">
        <x:v>CUS-0428</x:v>
      </x:c>
      <x:c r="E926" t="str">
        <x:v>Scotland</x:v>
      </x:c>
      <x:c r="F926" t="str">
        <x:v>Store</x:v>
      </x:c>
      <x:c r="G926" t="str">
        <x:v>Electronics</x:v>
      </x:c>
      <x:c r="H926" t="str">
        <x:v>Bluetooth Speaker</x:v>
      </x:c>
      <x:c r="I926" t="n">
        <x:v>5</x:v>
      </x:c>
      <x:c r="J926" s="4" t="n">
        <x:v>64.17</x:v>
      </x:c>
      <x:c r="K926" s="4" t="n">
        <x:v>34</x:v>
      </x:c>
      <x:c r="L926" s="5" t="n">
        <x:v>0</x:v>
      </x:c>
      <x:c r="M926" s="4" t="n">
        <x:f>ROUND(I926*J926*(1-L926),2)</x:f>
        <x:v>320.85</x:v>
      </x:c>
      <x:c r="N926" s="4" t="n">
        <x:f>ROUND(I926*K926,2)</x:f>
        <x:v>170</x:v>
      </x:c>
      <x:c r="O926" s="4" t="n">
        <x:f>ROUND(M926-N926,2)</x:f>
        <x:v>150.85</x:v>
      </x:c>
      <x:c r="P926" s="6" t="n">
        <x:v>5</x:v>
      </x:c>
      <x:c r="Q926" t="str">
        <x:v>No</x:v>
      </x:c>
    </x:row>
    <x:row r="927">
      <x:c r="A927" t="str">
        <x:v>ORD-00091</x:v>
      </x:c>
      <x:c r="B927" s="3" t="n">
        <x:v>45678.3101516088</x:v>
      </x:c>
      <x:c r="C927" t="str">
        <x:v>2025-01</x:v>
      </x:c>
      <x:c r="D927" t="str">
        <x:v>CUS-0011</x:v>
      </x:c>
      <x:c r="E927" t="str">
        <x:v>South West</x:v>
      </x:c>
      <x:c r="F927" t="str">
        <x:v>Store</x:v>
      </x:c>
      <x:c r="G927" t="str">
        <x:v>Sports</x:v>
      </x:c>
      <x:c r="H927" t="str">
        <x:v>Fitness Tracker</x:v>
      </x:c>
      <x:c r="I927" t="n">
        <x:v>1</x:v>
      </x:c>
      <x:c r="J927" s="4" t="n">
        <x:v>55.73</x:v>
      </x:c>
      <x:c r="K927" s="4" t="n">
        <x:v>27</x:v>
      </x:c>
      <x:c r="L927" s="5" t="n">
        <x:v>0.05</x:v>
      </x:c>
      <x:c r="M927" s="4" t="n">
        <x:f>ROUND(I927*J927*(1-L927),2)</x:f>
        <x:v>52.94</x:v>
      </x:c>
      <x:c r="N927" s="4" t="n">
        <x:f>ROUND(I927*K927,2)</x:f>
        <x:v>27</x:v>
      </x:c>
      <x:c r="O927" s="4" t="n">
        <x:f>ROUND(M927-N927,2)</x:f>
        <x:v>25.94</x:v>
      </x:c>
      <x:c r="P927" s="6" t="n">
        <x:v>3.6</x:v>
      </x:c>
      <x:c r="Q927" t="str">
        <x:v>No</x:v>
      </x:c>
    </x:row>
    <x:row r="928">
      <x:c r="A928" t="str">
        <x:v>ORD-00836</x:v>
      </x:c>
      <x:c r="B928" s="3" t="n">
        <x:v>45678.556482175925</x:v>
      </x:c>
      <x:c r="C928" t="str">
        <x:v>2025-01</x:v>
      </x:c>
      <x:c r="D928" t="str">
        <x:v>CUS-0420</x:v>
      </x:c>
      <x:c r="E928" t="str">
        <x:v>North West</x:v>
      </x:c>
      <x:c r="F928" t="str">
        <x:v>Online</x:v>
      </x:c>
      <x:c r="G928" t="str">
        <x:v>Home</x:v>
      </x:c>
      <x:c r="H928" t="str">
        <x:v>Coffee Maker</x:v>
      </x:c>
      <x:c r="I928" t="n">
        <x:v>1</x:v>
      </x:c>
      <x:c r="J928" s="4" t="n">
        <x:v>71.87</x:v>
      </x:c>
      <x:c r="K928" s="4" t="n">
        <x:v>41</x:v>
      </x:c>
      <x:c r="L928" s="5" t="n">
        <x:v>0</x:v>
      </x:c>
      <x:c r="M928" s="4" t="n">
        <x:f>ROUND(I928*J928*(1-L928),2)</x:f>
        <x:v>71.87</x:v>
      </x:c>
      <x:c r="N928" s="4" t="n">
        <x:f>ROUND(I928*K928,2)</x:f>
        <x:v>41</x:v>
      </x:c>
      <x:c r="O928" s="4" t="n">
        <x:f>ROUND(M928-N928,2)</x:f>
        <x:v>30.87</x:v>
      </x:c>
      <x:c r="P928" s="6" t="n">
        <x:v>3.4</x:v>
      </x:c>
      <x:c r="Q928" t="str">
        <x:v>No</x:v>
      </x:c>
    </x:row>
    <x:row r="929">
      <x:c r="A929" t="str">
        <x:v>ORD-01168</x:v>
      </x:c>
      <x:c r="B929" s="3" t="n">
        <x:v>45678.866439641206</x:v>
      </x:c>
      <x:c r="C929" t="str">
        <x:v>2025-01</x:v>
      </x:c>
      <x:c r="D929" t="str">
        <x:v>CUS-0032</x:v>
      </x:c>
      <x:c r="E929" t="str">
        <x:v>North East</x:v>
      </x:c>
      <x:c r="F929" t="str">
        <x:v>Store</x:v>
      </x:c>
      <x:c r="G929" t="str">
        <x:v>Books</x:v>
      </x:c>
      <x:c r="H929" t="str">
        <x:v>Business Intelligence Guide</x:v>
      </x:c>
      <x:c r="I929" t="n">
        <x:v>2</x:v>
      </x:c>
      <x:c r="J929" s="4" t="n">
        <x:v>35.37</x:v>
      </x:c>
      <x:c r="K929" s="4" t="n">
        <x:v>12</x:v>
      </x:c>
      <x:c r="L929" s="5" t="n">
        <x:v>0.15</x:v>
      </x:c>
      <x:c r="M929" s="4" t="n">
        <x:f>ROUND(I929*J929*(1-L929),2)</x:f>
        <x:v>60.13</x:v>
      </x:c>
      <x:c r="N929" s="4" t="n">
        <x:f>ROUND(I929*K929,2)</x:f>
        <x:v>24</x:v>
      </x:c>
      <x:c r="O929" s="4" t="n">
        <x:f>ROUND(M929-N929,2)</x:f>
        <x:v>36.13</x:v>
      </x:c>
      <x:c r="P929" s="6" t="n">
        <x:v>4.5</x:v>
      </x:c>
      <x:c r="Q929" t="str">
        <x:v>Yes</x:v>
      </x:c>
    </x:row>
    <x:row r="930">
      <x:c r="A930" t="str">
        <x:v>ORD-00714</x:v>
      </x:c>
      <x:c r="B930" s="3" t="n">
        <x:v>45679.27023962963</x:v>
      </x:c>
      <x:c r="C930" t="str">
        <x:v>2025-01</x:v>
      </x:c>
      <x:c r="D930" t="str">
        <x:v>CUS-0195</x:v>
      </x:c>
      <x:c r="E930" t="str">
        <x:v>London</x:v>
      </x:c>
      <x:c r="F930" t="str">
        <x:v>Marketplace</x:v>
      </x:c>
      <x:c r="G930" t="str">
        <x:v>Fashion</x:v>
      </x:c>
      <x:c r="H930" t="str">
        <x:v>Classic Trainers</x:v>
      </x:c>
      <x:c r="I930" t="n">
        <x:v>5</x:v>
      </x:c>
      <x:c r="J930" s="4" t="n">
        <x:v>71.81</x:v>
      </x:c>
      <x:c r="K930" s="4" t="n">
        <x:v>32</x:v>
      </x:c>
      <x:c r="L930" s="5" t="n">
        <x:v>0</x:v>
      </x:c>
      <x:c r="M930" s="4" t="n">
        <x:f>ROUND(I930*J930*(1-L930),2)</x:f>
        <x:v>359.05</x:v>
      </x:c>
      <x:c r="N930" s="4" t="n">
        <x:f>ROUND(I930*K930,2)</x:f>
        <x:v>160</x:v>
      </x:c>
      <x:c r="O930" s="4" t="n">
        <x:f>ROUND(M930-N930,2)</x:f>
        <x:v>199.05</x:v>
      </x:c>
      <x:c r="P930" s="6" t="n">
        <x:v>3.5</x:v>
      </x:c>
      <x:c r="Q930" t="str">
        <x:v>No</x:v>
      </x:c>
    </x:row>
    <x:row r="931">
      <x:c r="A931" t="str">
        <x:v>ORD-00505</x:v>
      </x:c>
      <x:c r="B931" s="3" t="n">
        <x:v>45679.540750960645</x:v>
      </x:c>
      <x:c r="C931" t="str">
        <x:v>2025-01</x:v>
      </x:c>
      <x:c r="D931" t="str">
        <x:v>CUS-0466</x:v>
      </x:c>
      <x:c r="E931" t="str">
        <x:v>North West</x:v>
      </x:c>
      <x:c r="F931" t="str">
        <x:v>Online</x:v>
      </x:c>
      <x:c r="G931" t="str">
        <x:v>Sports</x:v>
      </x:c>
      <x:c r="H931" t="str">
        <x:v>Fitness Tracker</x:v>
      </x:c>
      <x:c r="I931" t="n">
        <x:v>2</x:v>
      </x:c>
      <x:c r="J931" s="4" t="n">
        <x:v>54.73</x:v>
      </x:c>
      <x:c r="K931" s="4" t="n">
        <x:v>27</x:v>
      </x:c>
      <x:c r="L931" s="5" t="n">
        <x:v>0</x:v>
      </x:c>
      <x:c r="M931" s="4" t="n">
        <x:f>ROUND(I931*J931*(1-L931),2)</x:f>
        <x:v>109.46</x:v>
      </x:c>
      <x:c r="N931" s="4" t="n">
        <x:f>ROUND(I931*K931,2)</x:f>
        <x:v>54</x:v>
      </x:c>
      <x:c r="O931" s="4" t="n">
        <x:f>ROUND(M931-N931,2)</x:f>
        <x:v>55.46</x:v>
      </x:c>
      <x:c r="P931" s="6" t="n">
        <x:v>5</x:v>
      </x:c>
      <x:c r="Q931" t="str">
        <x:v>No</x:v>
      </x:c>
    </x:row>
    <x:row r="932">
      <x:c r="A932" t="str">
        <x:v>ORD-00235</x:v>
      </x:c>
      <x:c r="B932" s="3" t="n">
        <x:v>45679.968028055555</x:v>
      </x:c>
      <x:c r="C932" t="str">
        <x:v>2025-01</x:v>
      </x:c>
      <x:c r="D932" t="str">
        <x:v>CUS-0186</x:v>
      </x:c>
      <x:c r="E932" t="str">
        <x:v>South West</x:v>
      </x:c>
      <x:c r="F932" t="str">
        <x:v>Online</x:v>
      </x:c>
      <x:c r="G932" t="str">
        <x:v>Beauty</x:v>
      </x:c>
      <x:c r="H932" t="str">
        <x:v>Skin Care Set</x:v>
      </x:c>
      <x:c r="I932" t="n">
        <x:v>4</x:v>
      </x:c>
      <x:c r="J932" s="4" t="n">
        <x:v>45.43</x:v>
      </x:c>
      <x:c r="K932" s="4" t="n">
        <x:v>18</x:v>
      </x:c>
      <x:c r="L932" s="5" t="n">
        <x:v>0.1</x:v>
      </x:c>
      <x:c r="M932" s="4" t="n">
        <x:f>ROUND(I932*J932*(1-L932),2)</x:f>
        <x:v>163.55</x:v>
      </x:c>
      <x:c r="N932" s="4" t="n">
        <x:f>ROUND(I932*K932,2)</x:f>
        <x:v>72</x:v>
      </x:c>
      <x:c r="O932" s="4" t="n">
        <x:f>ROUND(M932-N932,2)</x:f>
        <x:v>91.55</x:v>
      </x:c>
      <x:c r="P932" s="6" t="n">
        <x:v>3.3</x:v>
      </x:c>
      <x:c r="Q932" t="str">
        <x:v>No</x:v>
      </x:c>
    </x:row>
    <x:row r="933">
      <x:c r="A933" t="str">
        <x:v>ORD-01157</x:v>
      </x:c>
      <x:c r="B933" s="3" t="n">
        <x:v>45680.06375107639</x:v>
      </x:c>
      <x:c r="C933" t="str">
        <x:v>2025-01</x:v>
      </x:c>
      <x:c r="D933" t="str">
        <x:v>CUS-0114</x:v>
      </x:c>
      <x:c r="E933" t="str">
        <x:v>North West</x:v>
      </x:c>
      <x:c r="F933" t="str">
        <x:v>Store</x:v>
      </x:c>
      <x:c r="G933" t="str">
        <x:v>Electronics</x:v>
      </x:c>
      <x:c r="H933" t="str">
        <x:v>Wireless Headphones</x:v>
      </x:c>
      <x:c r="I933" t="n">
        <x:v>5</x:v>
      </x:c>
      <x:c r="J933" s="4" t="n">
        <x:v>92.44</x:v>
      </x:c>
      <x:c r="K933" s="4" t="n">
        <x:v>48</x:v>
      </x:c>
      <x:c r="L933" s="5" t="n">
        <x:v>0</x:v>
      </x:c>
      <x:c r="M933" s="4" t="n">
        <x:f>ROUND(I933*J933*(1-L933),2)</x:f>
        <x:v>462.2</x:v>
      </x:c>
      <x:c r="N933" s="4" t="n">
        <x:f>ROUND(I933*K933,2)</x:f>
        <x:v>240</x:v>
      </x:c>
      <x:c r="O933" s="4" t="n">
        <x:f>ROUND(M933-N933,2)</x:f>
        <x:v>222.2</x:v>
      </x:c>
      <x:c r="P933" s="6" t="n">
        <x:v>4.9</x:v>
      </x:c>
      <x:c r="Q933" t="str">
        <x:v>Yes</x:v>
      </x:c>
    </x:row>
    <x:row r="934">
      <x:c r="A934" t="str">
        <x:v>ORD-00928</x:v>
      </x:c>
      <x:c r="B934" s="3" t="n">
        <x:v>45681.179858703705</x:v>
      </x:c>
      <x:c r="C934" t="str">
        <x:v>2025-01</x:v>
      </x:c>
      <x:c r="D934" t="str">
        <x:v>CUS-0210</x:v>
      </x:c>
      <x:c r="E934" t="str">
        <x:v>Wales</x:v>
      </x:c>
      <x:c r="F934" t="str">
        <x:v>Store</x:v>
      </x:c>
      <x:c r="G934" t="str">
        <x:v>Books</x:v>
      </x:c>
      <x:c r="H934" t="str">
        <x:v>Business Intelligence Guide</x:v>
      </x:c>
      <x:c r="I934" t="n">
        <x:v>4</x:v>
      </x:c>
      <x:c r="J934" s="4" t="n">
        <x:v>36.2</x:v>
      </x:c>
      <x:c r="K934" s="4" t="n">
        <x:v>12</x:v>
      </x:c>
      <x:c r="L934" s="5" t="n">
        <x:v>0.05</x:v>
      </x:c>
      <x:c r="M934" s="4" t="n">
        <x:f>ROUND(I934*J934*(1-L934),2)</x:f>
        <x:v>137.56</x:v>
      </x:c>
      <x:c r="N934" s="4" t="n">
        <x:f>ROUND(I934*K934,2)</x:f>
        <x:v>48</x:v>
      </x:c>
      <x:c r="O934" s="4" t="n">
        <x:f>ROUND(M934-N934,2)</x:f>
        <x:v>89.56</x:v>
      </x:c>
      <x:c r="P934" s="6" t="n">
        <x:v>4.3</x:v>
      </x:c>
      <x:c r="Q934" t="str">
        <x:v>No</x:v>
      </x:c>
    </x:row>
    <x:row r="935">
      <x:c r="A935" t="str">
        <x:v>ORD-00183</x:v>
      </x:c>
      <x:c r="B935" s="3" t="n">
        <x:v>45681.2092271875</x:v>
      </x:c>
      <x:c r="C935" t="str">
        <x:v>2025-01</x:v>
      </x:c>
      <x:c r="D935" t="str">
        <x:v>CUS-0141</x:v>
      </x:c>
      <x:c r="E935" t="str">
        <x:v>Scotland</x:v>
      </x:c>
      <x:c r="F935" t="str">
        <x:v>Store</x:v>
      </x:c>
      <x:c r="G935" t="str">
        <x:v>Books</x:v>
      </x:c>
      <x:c r="H935" t="str">
        <x:v>Data Analytics Handbook</x:v>
      </x:c>
      <x:c r="I935" t="n">
        <x:v>3</x:v>
      </x:c>
      <x:c r="J935" s="4" t="n">
        <x:v>41.61</x:v>
      </x:c>
      <x:c r="K935" s="4" t="n">
        <x:v>14</x:v>
      </x:c>
      <x:c r="L935" s="5" t="n">
        <x:v>0</x:v>
      </x:c>
      <x:c r="M935" s="4" t="n">
        <x:f>ROUND(I935*J935*(1-L935),2)</x:f>
        <x:v>124.83</x:v>
      </x:c>
      <x:c r="N935" s="4" t="n">
        <x:f>ROUND(I935*K935,2)</x:f>
        <x:v>42</x:v>
      </x:c>
      <x:c r="O935" s="4" t="n">
        <x:f>ROUND(M935-N935,2)</x:f>
        <x:v>82.83</x:v>
      </x:c>
      <x:c r="P935" s="6" t="n">
        <x:v>3.7</x:v>
      </x:c>
      <x:c r="Q935" t="str">
        <x:v>No</x:v>
      </x:c>
    </x:row>
    <x:row r="936">
      <x:c r="A936" t="str">
        <x:v>ORD-01284</x:v>
      </x:c>
      <x:c r="B936" s="3" t="n">
        <x:v>45682.92900709491</x:v>
      </x:c>
      <x:c r="C936" t="str">
        <x:v>2025-01</x:v>
      </x:c>
      <x:c r="D936" t="str">
        <x:v>CUS-0315</x:v>
      </x:c>
      <x:c r="E936" t="str">
        <x:v>Scotland</x:v>
      </x:c>
      <x:c r="F936" t="str">
        <x:v>Online</x:v>
      </x:c>
      <x:c r="G936" t="str">
        <x:v>Home</x:v>
      </x:c>
      <x:c r="H936" t="str">
        <x:v>Air Fryer</x:v>
      </x:c>
      <x:c r="I936" t="n">
        <x:v>2</x:v>
      </x:c>
      <x:c r="J936" s="4" t="n">
        <x:v>121.18</x:v>
      </x:c>
      <x:c r="K936" s="4" t="n">
        <x:v>69</x:v>
      </x:c>
      <x:c r="L936" s="5" t="n">
        <x:v>0.2</x:v>
      </x:c>
      <x:c r="M936" s="4" t="n">
        <x:f>ROUND(I936*J936*(1-L936),2)</x:f>
        <x:v>193.89</x:v>
      </x:c>
      <x:c r="N936" s="4" t="n">
        <x:f>ROUND(I936*K936,2)</x:f>
        <x:v>138</x:v>
      </x:c>
      <x:c r="O936" s="4" t="n">
        <x:f>ROUND(M936-N936,2)</x:f>
        <x:v>55.89</x:v>
      </x:c>
      <x:c r="P936" s="6" t="n">
        <x:v>4.7</x:v>
      </x:c>
      <x:c r="Q936" t="str">
        <x:v>No</x:v>
      </x:c>
    </x:row>
    <x:row r="937">
      <x:c r="A937" t="str">
        <x:v>ORD-01153</x:v>
      </x:c>
      <x:c r="B937" s="3" t="n">
        <x:v>45684.097462314814</x:v>
      </x:c>
      <x:c r="C937" t="str">
        <x:v>2025-01</x:v>
      </x:c>
      <x:c r="D937" t="str">
        <x:v>CUS-0556</x:v>
      </x:c>
      <x:c r="E937" t="str">
        <x:v>Scotland</x:v>
      </x:c>
      <x:c r="F937" t="str">
        <x:v>Store</x:v>
      </x:c>
      <x:c r="G937" t="str">
        <x:v>Fashion</x:v>
      </x:c>
      <x:c r="H937" t="str">
        <x:v>Winter Jacket</x:v>
      </x:c>
      <x:c r="I937" t="n">
        <x:v>4</x:v>
      </x:c>
      <x:c r="J937" s="4" t="n">
        <x:v>92.81</x:v>
      </x:c>
      <x:c r="K937" s="4" t="n">
        <x:v>46</x:v>
      </x:c>
      <x:c r="L937" s="5" t="n">
        <x:v>0</x:v>
      </x:c>
      <x:c r="M937" s="4" t="n">
        <x:f>ROUND(I937*J937*(1-L937),2)</x:f>
        <x:v>371.24</x:v>
      </x:c>
      <x:c r="N937" s="4" t="n">
        <x:f>ROUND(I937*K937,2)</x:f>
        <x:v>184</x:v>
      </x:c>
      <x:c r="O937" s="4" t="n">
        <x:f>ROUND(M937-N937,2)</x:f>
        <x:v>187.24</x:v>
      </x:c>
      <x:c r="P937" s="6" t="n">
        <x:v>3.2</x:v>
      </x:c>
      <x:c r="Q937" t="str">
        <x:v>No</x:v>
      </x:c>
    </x:row>
    <x:row r="938">
      <x:c r="A938" t="str">
        <x:v>ORD-01241</x:v>
      </x:c>
      <x:c r="B938" s="3" t="n">
        <x:v>45684.19402224537</x:v>
      </x:c>
      <x:c r="C938" t="str">
        <x:v>2025-01</x:v>
      </x:c>
      <x:c r="D938" t="str">
        <x:v>CUS-0128</x:v>
      </x:c>
      <x:c r="E938" t="str">
        <x:v>Midlands</x:v>
      </x:c>
      <x:c r="F938" t="str">
        <x:v>Marketplace</x:v>
      </x:c>
      <x:c r="G938" t="str">
        <x:v>Beauty</x:v>
      </x:c>
      <x:c r="H938" t="str">
        <x:v>Skin Care Set</x:v>
      </x:c>
      <x:c r="I938" t="n">
        <x:v>4</x:v>
      </x:c>
      <x:c r="J938" s="4" t="n">
        <x:v>45.94</x:v>
      </x:c>
      <x:c r="K938" s="4" t="n">
        <x:v>18</x:v>
      </x:c>
      <x:c r="L938" s="5" t="n">
        <x:v>0</x:v>
      </x:c>
      <x:c r="M938" s="4" t="n">
        <x:f>ROUND(I938*J938*(1-L938),2)</x:f>
        <x:v>183.76</x:v>
      </x:c>
      <x:c r="N938" s="4" t="n">
        <x:f>ROUND(I938*K938,2)</x:f>
        <x:v>72</x:v>
      </x:c>
      <x:c r="O938" s="4" t="n">
        <x:f>ROUND(M938-N938,2)</x:f>
        <x:v>111.76</x:v>
      </x:c>
      <x:c r="P938" s="6" t="n">
        <x:v>4.2</x:v>
      </x:c>
      <x:c r="Q938" t="str">
        <x:v>No</x:v>
      </x:c>
    </x:row>
    <x:row r="939">
      <x:c r="A939" t="str">
        <x:v>ORD-00922</x:v>
      </x:c>
      <x:c r="B939" s="3" t="n">
        <x:v>45684.37280409722</x:v>
      </x:c>
      <x:c r="C939" t="str">
        <x:v>2025-01</x:v>
      </x:c>
      <x:c r="D939" t="str">
        <x:v>CUS-0252</x:v>
      </x:c>
      <x:c r="E939" t="str">
        <x:v>South East</x:v>
      </x:c>
      <x:c r="F939" t="str">
        <x:v>Marketplace</x:v>
      </x:c>
      <x:c r="G939" t="str">
        <x:v>Sports</x:v>
      </x:c>
      <x:c r="H939" t="str">
        <x:v>Running Shoes</x:v>
      </x:c>
      <x:c r="I939" t="n">
        <x:v>5</x:v>
      </x:c>
      <x:c r="J939" s="4" t="n">
        <x:v>83.74</x:v>
      </x:c>
      <x:c r="K939" s="4" t="n">
        <x:v>38</x:v>
      </x:c>
      <x:c r="L939" s="5" t="n">
        <x:v>0.05</x:v>
      </x:c>
      <x:c r="M939" s="4" t="n">
        <x:f>ROUND(I939*J939*(1-L939),2)</x:f>
        <x:v>397.77</x:v>
      </x:c>
      <x:c r="N939" s="4" t="n">
        <x:f>ROUND(I939*K939,2)</x:f>
        <x:v>190</x:v>
      </x:c>
      <x:c r="O939" s="4" t="n">
        <x:f>ROUND(M939-N939,2)</x:f>
        <x:v>207.77</x:v>
      </x:c>
      <x:c r="P939" s="6" t="n">
        <x:v>4.6</x:v>
      </x:c>
      <x:c r="Q939" t="str">
        <x:v>No</x:v>
      </x:c>
    </x:row>
    <x:row r="940">
      <x:c r="A940" t="str">
        <x:v>ORD-01447</x:v>
      </x:c>
      <x:c r="B940" s="3" t="n">
        <x:v>45684.548851527776</x:v>
      </x:c>
      <x:c r="C940" t="str">
        <x:v>2025-01</x:v>
      </x:c>
      <x:c r="D940" t="str">
        <x:v>CUS-0050</x:v>
      </x:c>
      <x:c r="E940" t="str">
        <x:v>South East</x:v>
      </x:c>
      <x:c r="F940" t="str">
        <x:v>Marketplace</x:v>
      </x:c>
      <x:c r="G940" t="str">
        <x:v>Beauty</x:v>
      </x:c>
      <x:c r="H940" t="str">
        <x:v>Hair Dryer</x:v>
      </x:c>
      <x:c r="I940" t="n">
        <x:v>5</x:v>
      </x:c>
      <x:c r="J940" s="4" t="n">
        <x:v>61.23</x:v>
      </x:c>
      <x:c r="K940" s="4" t="n">
        <x:v>29</x:v>
      </x:c>
      <x:c r="L940" s="5" t="n">
        <x:v>0</x:v>
      </x:c>
      <x:c r="M940" s="4" t="n">
        <x:f>ROUND(I940*J940*(1-L940),2)</x:f>
        <x:v>306.15</x:v>
      </x:c>
      <x:c r="N940" s="4" t="n">
        <x:f>ROUND(I940*K940,2)</x:f>
        <x:v>145</x:v>
      </x:c>
      <x:c r="O940" s="4" t="n">
        <x:f>ROUND(M940-N940,2)</x:f>
        <x:v>161.15</x:v>
      </x:c>
      <x:c r="P940" s="6" t="n">
        <x:v>4.8</x:v>
      </x:c>
      <x:c r="Q940" t="str">
        <x:v>Yes</x:v>
      </x:c>
    </x:row>
    <x:row r="941">
      <x:c r="A941" t="str">
        <x:v>ORD-00046</x:v>
      </x:c>
      <x:c r="B941" s="3" t="n">
        <x:v>45684.7190962963</x:v>
      </x:c>
      <x:c r="C941" t="str">
        <x:v>2025-01</x:v>
      </x:c>
      <x:c r="D941" t="str">
        <x:v>CUS-0094</x:v>
      </x:c>
      <x:c r="E941" t="str">
        <x:v>North East</x:v>
      </x:c>
      <x:c r="F941" t="str">
        <x:v>Online</x:v>
      </x:c>
      <x:c r="G941" t="str">
        <x:v>Electronics</x:v>
      </x:c>
      <x:c r="H941" t="str">
        <x:v>Wireless Headphones</x:v>
      </x:c>
      <x:c r="I941" t="n">
        <x:v>1</x:v>
      </x:c>
      <x:c r="J941" s="4" t="n">
        <x:v>91.83</x:v>
      </x:c>
      <x:c r="K941" s="4" t="n">
        <x:v>48</x:v>
      </x:c>
      <x:c r="L941" s="5" t="n">
        <x:v>0</x:v>
      </x:c>
      <x:c r="M941" s="4" t="n">
        <x:f>ROUND(I941*J941*(1-L941),2)</x:f>
        <x:v>91.83</x:v>
      </x:c>
      <x:c r="N941" s="4" t="n">
        <x:f>ROUND(I941*K941,2)</x:f>
        <x:v>48</x:v>
      </x:c>
      <x:c r="O941" s="4" t="n">
        <x:f>ROUND(M941-N941,2)</x:f>
        <x:v>43.83</x:v>
      </x:c>
      <x:c r="P941" s="6" t="n">
        <x:v>4.6</x:v>
      </x:c>
      <x:c r="Q941" t="str">
        <x:v>No</x:v>
      </x:c>
    </x:row>
    <x:row r="942">
      <x:c r="A942" t="str">
        <x:v>ORD-00219</x:v>
      </x:c>
      <x:c r="B942" s="3" t="n">
        <x:v>45685.218063506945</x:v>
      </x:c>
      <x:c r="C942" t="str">
        <x:v>2025-01</x:v>
      </x:c>
      <x:c r="D942" t="str">
        <x:v>CUS-0502</x:v>
      </x:c>
      <x:c r="E942" t="str">
        <x:v>Scotland</x:v>
      </x:c>
      <x:c r="F942" t="str">
        <x:v>Online</x:v>
      </x:c>
      <x:c r="G942" t="str">
        <x:v>Beauty</x:v>
      </x:c>
      <x:c r="H942" t="str">
        <x:v>Skin Care Set</x:v>
      </x:c>
      <x:c r="I942" t="n">
        <x:v>3</x:v>
      </x:c>
      <x:c r="J942" s="4" t="n">
        <x:v>47.17</x:v>
      </x:c>
      <x:c r="K942" s="4" t="n">
        <x:v>18</x:v>
      </x:c>
      <x:c r="L942" s="5" t="n">
        <x:v>0.2</x:v>
      </x:c>
      <x:c r="M942" s="4" t="n">
        <x:f>ROUND(I942*J942*(1-L942),2)</x:f>
        <x:v>113.21</x:v>
      </x:c>
      <x:c r="N942" s="4" t="n">
        <x:f>ROUND(I942*K942,2)</x:f>
        <x:v>54</x:v>
      </x:c>
      <x:c r="O942" s="4" t="n">
        <x:f>ROUND(M942-N942,2)</x:f>
        <x:v>59.21</x:v>
      </x:c>
      <x:c r="P942" s="6" t="n">
        <x:v>4.6</x:v>
      </x:c>
      <x:c r="Q942" t="str">
        <x:v>No</x:v>
      </x:c>
    </x:row>
    <x:row r="943">
      <x:c r="A943" t="str">
        <x:v>ORD-01450</x:v>
      </x:c>
      <x:c r="B943" s="3" t="n">
        <x:v>45685.465467581016</x:v>
      </x:c>
      <x:c r="C943" t="str">
        <x:v>2025-01</x:v>
      </x:c>
      <x:c r="D943" t="str">
        <x:v>CUS-0558</x:v>
      </x:c>
      <x:c r="E943" t="str">
        <x:v>South West</x:v>
      </x:c>
      <x:c r="F943" t="str">
        <x:v>Marketplace</x:v>
      </x:c>
      <x:c r="G943" t="str">
        <x:v>Books</x:v>
      </x:c>
      <x:c r="H943" t="str">
        <x:v>Data Analytics Handbook</x:v>
      </x:c>
      <x:c r="I943" t="n">
        <x:v>3</x:v>
      </x:c>
      <x:c r="J943" s="4" t="n">
        <x:v>38.9</x:v>
      </x:c>
      <x:c r="K943" s="4" t="n">
        <x:v>14</x:v>
      </x:c>
      <x:c r="L943" s="5" t="n">
        <x:v>0</x:v>
      </x:c>
      <x:c r="M943" s="4" t="n">
        <x:f>ROUND(I943*J943*(1-L943),2)</x:f>
        <x:v>116.7</x:v>
      </x:c>
      <x:c r="N943" s="4" t="n">
        <x:f>ROUND(I943*K943,2)</x:f>
        <x:v>42</x:v>
      </x:c>
      <x:c r="O943" s="4" t="n">
        <x:f>ROUND(M943-N943,2)</x:f>
        <x:v>74.7</x:v>
      </x:c>
      <x:c r="P943" s="6" t="n">
        <x:v>5</x:v>
      </x:c>
      <x:c r="Q943" t="str">
        <x:v>No</x:v>
      </x:c>
    </x:row>
    <x:row r="944">
      <x:c r="A944" t="str">
        <x:v>ORD-00649</x:v>
      </x:c>
      <x:c r="B944" s="3" t="n">
        <x:v>45686.070771875</x:v>
      </x:c>
      <x:c r="C944" t="str">
        <x:v>2025-01</x:v>
      </x:c>
      <x:c r="D944" t="str">
        <x:v>CUS-0522</x:v>
      </x:c>
      <x:c r="E944" t="str">
        <x:v>Wales</x:v>
      </x:c>
      <x:c r="F944" t="str">
        <x:v>Online</x:v>
      </x:c>
      <x:c r="G944" t="str">
        <x:v>Electronics</x:v>
      </x:c>
      <x:c r="H944" t="str">
        <x:v>Smart Watch</x:v>
      </x:c>
      <x:c r="I944" t="n">
        <x:v>3</x:v>
      </x:c>
      <x:c r="J944" s="4" t="n">
        <x:v>156.45</x:v>
      </x:c>
      <x:c r="K944" s="4" t="n">
        <x:v>92</x:v>
      </x:c>
      <x:c r="L944" s="5" t="n">
        <x:v>0</x:v>
      </x:c>
      <x:c r="M944" s="4" t="n">
        <x:f>ROUND(I944*J944*(1-L944),2)</x:f>
        <x:v>469.35</x:v>
      </x:c>
      <x:c r="N944" s="4" t="n">
        <x:f>ROUND(I944*K944,2)</x:f>
        <x:v>276</x:v>
      </x:c>
      <x:c r="O944" s="4" t="n">
        <x:f>ROUND(M944-N944,2)</x:f>
        <x:v>193.35</x:v>
      </x:c>
      <x:c r="P944" s="6" t="n">
        <x:v>3.7</x:v>
      </x:c>
      <x:c r="Q944" t="str">
        <x:v>No</x:v>
      </x:c>
    </x:row>
    <x:row r="945">
      <x:c r="A945" t="str">
        <x:v>ORD-00086</x:v>
      </x:c>
      <x:c r="B945" s="3" t="n">
        <x:v>45686.174217824075</x:v>
      </x:c>
      <x:c r="C945" t="str">
        <x:v>2025-01</x:v>
      </x:c>
      <x:c r="D945" t="str">
        <x:v>CUS-0115</x:v>
      </x:c>
      <x:c r="E945" t="str">
        <x:v>Midlands</x:v>
      </x:c>
      <x:c r="F945" t="str">
        <x:v>Store</x:v>
      </x:c>
      <x:c r="G945" t="str">
        <x:v>Books</x:v>
      </x:c>
      <x:c r="H945" t="str">
        <x:v>Business Intelligence Guide</x:v>
      </x:c>
      <x:c r="I945" t="n">
        <x:v>1</x:v>
      </x:c>
      <x:c r="J945" s="4" t="n">
        <x:v>34.64</x:v>
      </x:c>
      <x:c r="K945" s="4" t="n">
        <x:v>12</x:v>
      </x:c>
      <x:c r="L945" s="5" t="n">
        <x:v>0.05</x:v>
      </x:c>
      <x:c r="M945" s="4" t="n">
        <x:f>ROUND(I945*J945*(1-L945),2)</x:f>
        <x:v>32.91</x:v>
      </x:c>
      <x:c r="N945" s="4" t="n">
        <x:f>ROUND(I945*K945,2)</x:f>
        <x:v>12</x:v>
      </x:c>
      <x:c r="O945" s="4" t="n">
        <x:f>ROUND(M945-N945,2)</x:f>
        <x:v>20.91</x:v>
      </x:c>
      <x:c r="P945" s="6" t="n">
        <x:v>5</x:v>
      </x:c>
      <x:c r="Q945" t="str">
        <x:v>No</x:v>
      </x:c>
    </x:row>
    <x:row r="946">
      <x:c r="A946" t="str">
        <x:v>ORD-00024</x:v>
      </x:c>
      <x:c r="B946" s="3" t="n">
        <x:v>45686.212818541666</x:v>
      </x:c>
      <x:c r="C946" t="str">
        <x:v>2025-01</x:v>
      </x:c>
      <x:c r="D946" t="str">
        <x:v>CUS-0090</x:v>
      </x:c>
      <x:c r="E946" t="str">
        <x:v>Scotland</x:v>
      </x:c>
      <x:c r="F946" t="str">
        <x:v>Marketplace</x:v>
      </x:c>
      <x:c r="G946" t="str">
        <x:v>Books</x:v>
      </x:c>
      <x:c r="H946" t="str">
        <x:v>Business Intelligence Guide</x:v>
      </x:c>
      <x:c r="I946" t="n">
        <x:v>4</x:v>
      </x:c>
      <x:c r="J946" s="4" t="n">
        <x:v>33.64</x:v>
      </x:c>
      <x:c r="K946" s="4" t="n">
        <x:v>12</x:v>
      </x:c>
      <x:c r="L946" s="5" t="n">
        <x:v>0</x:v>
      </x:c>
      <x:c r="M946" s="4" t="n">
        <x:f>ROUND(I946*J946*(1-L946),2)</x:f>
        <x:v>134.56</x:v>
      </x:c>
      <x:c r="N946" s="4" t="n">
        <x:f>ROUND(I946*K946,2)</x:f>
        <x:v>48</x:v>
      </x:c>
      <x:c r="O946" s="4" t="n">
        <x:f>ROUND(M946-N946,2)</x:f>
        <x:v>86.56</x:v>
      </x:c>
      <x:c r="P946" s="6" t="n">
        <x:v>4.8</x:v>
      </x:c>
      <x:c r="Q946" t="str">
        <x:v>No</x:v>
      </x:c>
    </x:row>
    <x:row r="947">
      <x:c r="A947" t="str">
        <x:v>ORD-00955</x:v>
      </x:c>
      <x:c r="B947" s="3" t="n">
        <x:v>45686.34360528935</x:v>
      </x:c>
      <x:c r="C947" t="str">
        <x:v>2025-01</x:v>
      </x:c>
      <x:c r="D947" t="str">
        <x:v>CUS-0066</x:v>
      </x:c>
      <x:c r="E947" t="str">
        <x:v>Wales</x:v>
      </x:c>
      <x:c r="F947" t="str">
        <x:v>Marketplace</x:v>
      </x:c>
      <x:c r="G947" t="str">
        <x:v>Electronics</x:v>
      </x:c>
      <x:c r="H947" t="str">
        <x:v>Bluetooth Speaker</x:v>
      </x:c>
      <x:c r="I947" t="n">
        <x:v>5</x:v>
      </x:c>
      <x:c r="J947" s="4" t="n">
        <x:v>66.22</x:v>
      </x:c>
      <x:c r="K947" s="4" t="n">
        <x:v>34</x:v>
      </x:c>
      <x:c r="L947" s="5" t="n">
        <x:v>0.1</x:v>
      </x:c>
      <x:c r="M947" s="4" t="n">
        <x:f>ROUND(I947*J947*(1-L947),2)</x:f>
        <x:v>297.99</x:v>
      </x:c>
      <x:c r="N947" s="4" t="n">
        <x:f>ROUND(I947*K947,2)</x:f>
        <x:v>170</x:v>
      </x:c>
      <x:c r="O947" s="4" t="n">
        <x:f>ROUND(M947-N947,2)</x:f>
        <x:v>127.99</x:v>
      </x:c>
      <x:c r="P947" s="6" t="n">
        <x:v>3.7</x:v>
      </x:c>
      <x:c r="Q947" t="str">
        <x:v>No</x:v>
      </x:c>
    </x:row>
    <x:row r="948">
      <x:c r="A948" t="str">
        <x:v>ORD-01500</x:v>
      </x:c>
      <x:c r="B948" s="3" t="n">
        <x:v>45686.67066851852</x:v>
      </x:c>
      <x:c r="C948" t="str">
        <x:v>2025-01</x:v>
      </x:c>
      <x:c r="D948" t="str">
        <x:v>CUS-0563</x:v>
      </x:c>
      <x:c r="E948" t="str">
        <x:v>London</x:v>
      </x:c>
      <x:c r="F948" t="str">
        <x:v>Store</x:v>
      </x:c>
      <x:c r="G948" t="str">
        <x:v>Books</x:v>
      </x:c>
      <x:c r="H948" t="str">
        <x:v>Business Intelligence Guide</x:v>
      </x:c>
      <x:c r="I948" t="n">
        <x:v>3</x:v>
      </x:c>
      <x:c r="J948" s="4" t="n">
        <x:v>35.4</x:v>
      </x:c>
      <x:c r="K948" s="4" t="n">
        <x:v>12</x:v>
      </x:c>
      <x:c r="L948" s="5" t="n">
        <x:v>0.05</x:v>
      </x:c>
      <x:c r="M948" s="4" t="n">
        <x:f>ROUND(I948*J948*(1-L948),2)</x:f>
        <x:v>100.89</x:v>
      </x:c>
      <x:c r="N948" s="4" t="n">
        <x:f>ROUND(I948*K948,2)</x:f>
        <x:v>36</x:v>
      </x:c>
      <x:c r="O948" s="4" t="n">
        <x:f>ROUND(M948-N948,2)</x:f>
        <x:v>64.89</x:v>
      </x:c>
      <x:c r="P948" s="6" t="n">
        <x:v>3.7</x:v>
      </x:c>
      <x:c r="Q948" t="str">
        <x:v>No</x:v>
      </x:c>
    </x:row>
    <x:row r="949">
      <x:c r="A949" t="str">
        <x:v>ORD-01410</x:v>
      </x:c>
      <x:c r="B949" s="3" t="n">
        <x:v>45686.841284155096</x:v>
      </x:c>
      <x:c r="C949" t="str">
        <x:v>2025-01</x:v>
      </x:c>
      <x:c r="D949" t="str">
        <x:v>CUS-0312</x:v>
      </x:c>
      <x:c r="E949" t="str">
        <x:v>North East</x:v>
      </x:c>
      <x:c r="F949" t="str">
        <x:v>Marketplace</x:v>
      </x:c>
      <x:c r="G949" t="str">
        <x:v>Books</x:v>
      </x:c>
      <x:c r="H949" t="str">
        <x:v>Business Intelligence Guide</x:v>
      </x:c>
      <x:c r="I949" t="n">
        <x:v>5</x:v>
      </x:c>
      <x:c r="J949" s="4" t="n">
        <x:v>34.59</x:v>
      </x:c>
      <x:c r="K949" s="4" t="n">
        <x:v>12</x:v>
      </x:c>
      <x:c r="L949" s="5" t="n">
        <x:v>0</x:v>
      </x:c>
      <x:c r="M949" s="4" t="n">
        <x:f>ROUND(I949*J949*(1-L949),2)</x:f>
        <x:v>172.95</x:v>
      </x:c>
      <x:c r="N949" s="4" t="n">
        <x:f>ROUND(I949*K949,2)</x:f>
        <x:v>60</x:v>
      </x:c>
      <x:c r="O949" s="4" t="n">
        <x:f>ROUND(M949-N949,2)</x:f>
        <x:v>112.95</x:v>
      </x:c>
      <x:c r="P949" s="6" t="n">
        <x:v>4</x:v>
      </x:c>
      <x:c r="Q949" t="str">
        <x:v>No</x:v>
      </x:c>
    </x:row>
    <x:row r="950">
      <x:c r="A950" t="str">
        <x:v>ORD-00819</x:v>
      </x:c>
      <x:c r="B950" s="3" t="n">
        <x:v>45686.90605255787</x:v>
      </x:c>
      <x:c r="C950" t="str">
        <x:v>2025-01</x:v>
      </x:c>
      <x:c r="D950" t="str">
        <x:v>CUS-0037</x:v>
      </x:c>
      <x:c r="E950" t="str">
        <x:v>Scotland</x:v>
      </x:c>
      <x:c r="F950" t="str">
        <x:v>Marketplace</x:v>
      </x:c>
      <x:c r="G950" t="str">
        <x:v>Fashion</x:v>
      </x:c>
      <x:c r="H950" t="str">
        <x:v>Backpack</x:v>
      </x:c>
      <x:c r="I950" t="n">
        <x:v>5</x:v>
      </x:c>
      <x:c r="J950" s="4" t="n">
        <x:v>47.81</x:v>
      </x:c>
      <x:c r="K950" s="4" t="n">
        <x:v>21</x:v>
      </x:c>
      <x:c r="L950" s="5" t="n">
        <x:v>0</x:v>
      </x:c>
      <x:c r="M950" s="4" t="n">
        <x:f>ROUND(I950*J950*(1-L950),2)</x:f>
        <x:v>239.05</x:v>
      </x:c>
      <x:c r="N950" s="4" t="n">
        <x:f>ROUND(I950*K950,2)</x:f>
        <x:v>105</x:v>
      </x:c>
      <x:c r="O950" s="4" t="n">
        <x:f>ROUND(M950-N950,2)</x:f>
        <x:v>134.05</x:v>
      </x:c>
      <x:c r="P950" s="6" t="n">
        <x:v>3.3</x:v>
      </x:c>
      <x:c r="Q950" t="str">
        <x:v>No</x:v>
      </x:c>
    </x:row>
    <x:row r="951">
      <x:c r="A951" t="str">
        <x:v>ORD-01131</x:v>
      </x:c>
      <x:c r="B951" s="3" t="n">
        <x:v>45687.03701912037</x:v>
      </x:c>
      <x:c r="C951" t="str">
        <x:v>2025-01</x:v>
      </x:c>
      <x:c r="D951" t="str">
        <x:v>CUS-0037</x:v>
      </x:c>
      <x:c r="E951" t="str">
        <x:v>North West</x:v>
      </x:c>
      <x:c r="F951" t="str">
        <x:v>Online</x:v>
      </x:c>
      <x:c r="G951" t="str">
        <x:v>Home</x:v>
      </x:c>
      <x:c r="H951" t="str">
        <x:v>Air Fryer</x:v>
      </x:c>
      <x:c r="I951" t="n">
        <x:v>2</x:v>
      </x:c>
      <x:c r="J951" s="4" t="n">
        <x:v>123.61</x:v>
      </x:c>
      <x:c r="K951" s="4" t="n">
        <x:v>69</x:v>
      </x:c>
      <x:c r="L951" s="5" t="n">
        <x:v>0</x:v>
      </x:c>
      <x:c r="M951" s="4" t="n">
        <x:f>ROUND(I951*J951*(1-L951),2)</x:f>
        <x:v>247.22</x:v>
      </x:c>
      <x:c r="N951" s="4" t="n">
        <x:f>ROUND(I951*K951,2)</x:f>
        <x:v>138</x:v>
      </x:c>
      <x:c r="O951" s="4" t="n">
        <x:f>ROUND(M951-N951,2)</x:f>
        <x:v>109.22</x:v>
      </x:c>
      <x:c r="P951" s="6" t="n">
        <x:v>4.5</x:v>
      </x:c>
      <x:c r="Q951" t="str">
        <x:v>No</x:v>
      </x:c>
    </x:row>
    <x:row r="952">
      <x:c r="A952" t="str">
        <x:v>ORD-00813</x:v>
      </x:c>
      <x:c r="B952" s="3" t="n">
        <x:v>45687.086524895836</x:v>
      </x:c>
      <x:c r="C952" t="str">
        <x:v>2025-01</x:v>
      </x:c>
      <x:c r="D952" t="str">
        <x:v>CUS-0219</x:v>
      </x:c>
      <x:c r="E952" t="str">
        <x:v>North West</x:v>
      </x:c>
      <x:c r="F952" t="str">
        <x:v>Store</x:v>
      </x:c>
      <x:c r="G952" t="str">
        <x:v>Electronics</x:v>
      </x:c>
      <x:c r="H952" t="str">
        <x:v>Bluetooth Speaker</x:v>
      </x:c>
      <x:c r="I952" t="n">
        <x:v>2</x:v>
      </x:c>
      <x:c r="J952" s="4" t="n">
        <x:v>64.89</x:v>
      </x:c>
      <x:c r="K952" s="4" t="n">
        <x:v>34</x:v>
      </x:c>
      <x:c r="L952" s="5" t="n">
        <x:v>0.15</x:v>
      </x:c>
      <x:c r="M952" s="4" t="n">
        <x:f>ROUND(I952*J952*(1-L952),2)</x:f>
        <x:v>110.31</x:v>
      </x:c>
      <x:c r="N952" s="4" t="n">
        <x:f>ROUND(I952*K952,2)</x:f>
        <x:v>68</x:v>
      </x:c>
      <x:c r="O952" s="4" t="n">
        <x:f>ROUND(M952-N952,2)</x:f>
        <x:v>42.31</x:v>
      </x:c>
      <x:c r="P952" s="6" t="n">
        <x:v>5</x:v>
      </x:c>
      <x:c r="Q952" t="str">
        <x:v>No</x:v>
      </x:c>
    </x:row>
    <x:row r="953">
      <x:c r="A953" t="str">
        <x:v>ORD-00786</x:v>
      </x:c>
      <x:c r="B953" s="3" t="n">
        <x:v>45687.208482222224</x:v>
      </x:c>
      <x:c r="C953" t="str">
        <x:v>2025-01</x:v>
      </x:c>
      <x:c r="D953" t="str">
        <x:v>CUS-0498</x:v>
      </x:c>
      <x:c r="E953" t="str">
        <x:v>South West</x:v>
      </x:c>
      <x:c r="F953" t="str">
        <x:v>Online</x:v>
      </x:c>
      <x:c r="G953" t="str">
        <x:v>Home</x:v>
      </x:c>
      <x:c r="H953" t="str">
        <x:v>Coffee Maker</x:v>
      </x:c>
      <x:c r="I953" t="n">
        <x:v>4</x:v>
      </x:c>
      <x:c r="J953" s="4" t="n">
        <x:v>72.24</x:v>
      </x:c>
      <x:c r="K953" s="4" t="n">
        <x:v>41</x:v>
      </x:c>
      <x:c r="L953" s="5" t="n">
        <x:v>0</x:v>
      </x:c>
      <x:c r="M953" s="4" t="n">
        <x:f>ROUND(I953*J953*(1-L953),2)</x:f>
        <x:v>288.96</x:v>
      </x:c>
      <x:c r="N953" s="4" t="n">
        <x:f>ROUND(I953*K953,2)</x:f>
        <x:v>164</x:v>
      </x:c>
      <x:c r="O953" s="4" t="n">
        <x:f>ROUND(M953-N953,2)</x:f>
        <x:v>124.96</x:v>
      </x:c>
      <x:c r="P953" s="6" t="n">
        <x:v>4.8</x:v>
      </x:c>
      <x:c r="Q953" t="str">
        <x:v>No</x:v>
      </x:c>
    </x:row>
    <x:row r="954">
      <x:c r="A954" t="str">
        <x:v>ORD-01650</x:v>
      </x:c>
      <x:c r="B954" s="3" t="n">
        <x:v>45687.353233738424</x:v>
      </x:c>
      <x:c r="C954" t="str">
        <x:v>2025-01</x:v>
      </x:c>
      <x:c r="D954" t="str">
        <x:v>CUS-0391</x:v>
      </x:c>
      <x:c r="E954" t="str">
        <x:v>London</x:v>
      </x:c>
      <x:c r="F954" t="str">
        <x:v>Online</x:v>
      </x:c>
      <x:c r="G954" t="str">
        <x:v>Home</x:v>
      </x:c>
      <x:c r="H954" t="str">
        <x:v>Air Fryer</x:v>
      </x:c>
      <x:c r="I954" t="n">
        <x:v>2</x:v>
      </x:c>
      <x:c r="J954" s="4" t="n">
        <x:v>114.56</x:v>
      </x:c>
      <x:c r="K954" s="4" t="n">
        <x:v>69</x:v>
      </x:c>
      <x:c r="L954" s="5" t="n">
        <x:v>0.05</x:v>
      </x:c>
      <x:c r="M954" s="4" t="n">
        <x:f>ROUND(I954*J954*(1-L954),2)</x:f>
        <x:v>217.66</x:v>
      </x:c>
      <x:c r="N954" s="4" t="n">
        <x:f>ROUND(I954*K954,2)</x:f>
        <x:v>138</x:v>
      </x:c>
      <x:c r="O954" s="4" t="n">
        <x:f>ROUND(M954-N954,2)</x:f>
        <x:v>79.66</x:v>
      </x:c>
      <x:c r="P954" s="6" t="n">
        <x:v>4.1</x:v>
      </x:c>
      <x:c r="Q954" t="str">
        <x:v>No</x:v>
      </x:c>
    </x:row>
    <x:row r="955">
      <x:c r="A955" t="str">
        <x:v>ORD-01681</x:v>
      </x:c>
      <x:c r="B955" s="3" t="n">
        <x:v>45687.43004868056</x:v>
      </x:c>
      <x:c r="C955" t="str">
        <x:v>2025-01</x:v>
      </x:c>
      <x:c r="D955" t="str">
        <x:v>CUS-0228</x:v>
      </x:c>
      <x:c r="E955" t="str">
        <x:v>London</x:v>
      </x:c>
      <x:c r="F955" t="str">
        <x:v>Online</x:v>
      </x:c>
      <x:c r="G955" t="str">
        <x:v>Sports</x:v>
      </x:c>
      <x:c r="H955" t="str">
        <x:v>Yoga Mat</x:v>
      </x:c>
      <x:c r="I955" t="n">
        <x:v>2</x:v>
      </x:c>
      <x:c r="J955" s="4" t="n">
        <x:v>29.38</x:v>
      </x:c>
      <x:c r="K955" s="4" t="n">
        <x:v>12</x:v>
      </x:c>
      <x:c r="L955" s="5" t="n">
        <x:v>0.2</x:v>
      </x:c>
      <x:c r="M955" s="4" t="n">
        <x:f>ROUND(I955*J955*(1-L955),2)</x:f>
        <x:v>47.01</x:v>
      </x:c>
      <x:c r="N955" s="4" t="n">
        <x:f>ROUND(I955*K955,2)</x:f>
        <x:v>24</x:v>
      </x:c>
      <x:c r="O955" s="4" t="n">
        <x:f>ROUND(M955-N955,2)</x:f>
        <x:v>23.01</x:v>
      </x:c>
      <x:c r="P955" s="6" t="n">
        <x:v>4.3</x:v>
      </x:c>
      <x:c r="Q955" t="str">
        <x:v>No</x:v>
      </x:c>
    </x:row>
    <x:row r="956">
      <x:c r="A956" t="str">
        <x:v>ORD-00557</x:v>
      </x:c>
      <x:c r="B956" s="3" t="n">
        <x:v>45687.55496851852</x:v>
      </x:c>
      <x:c r="C956" t="str">
        <x:v>2025-01</x:v>
      </x:c>
      <x:c r="D956" t="str">
        <x:v>CUS-0492</x:v>
      </x:c>
      <x:c r="E956" t="str">
        <x:v>South East</x:v>
      </x:c>
      <x:c r="F956" t="str">
        <x:v>Store</x:v>
      </x:c>
      <x:c r="G956" t="str">
        <x:v>Home</x:v>
      </x:c>
      <x:c r="H956" t="str">
        <x:v>Air Fryer</x:v>
      </x:c>
      <x:c r="I956" t="n">
        <x:v>3</x:v>
      </x:c>
      <x:c r="J956" s="4" t="n">
        <x:v>115.7</x:v>
      </x:c>
      <x:c r="K956" s="4" t="n">
        <x:v>69</x:v>
      </x:c>
      <x:c r="L956" s="5" t="n">
        <x:v>0.05</x:v>
      </x:c>
      <x:c r="M956" s="4" t="n">
        <x:f>ROUND(I956*J956*(1-L956),2)</x:f>
        <x:v>329.75</x:v>
      </x:c>
      <x:c r="N956" s="4" t="n">
        <x:f>ROUND(I956*K956,2)</x:f>
        <x:v>207</x:v>
      </x:c>
      <x:c r="O956" s="4" t="n">
        <x:f>ROUND(M956-N956,2)</x:f>
        <x:v>122.75</x:v>
      </x:c>
      <x:c r="P956" s="6" t="n">
        <x:v>5</x:v>
      </x:c>
      <x:c r="Q956" t="str">
        <x:v>No</x:v>
      </x:c>
    </x:row>
    <x:row r="957">
      <x:c r="A957" t="str">
        <x:v>ORD-01452</x:v>
      </x:c>
      <x:c r="B957" s="3" t="n">
        <x:v>45687.93726878472</x:v>
      </x:c>
      <x:c r="C957" t="str">
        <x:v>2025-01</x:v>
      </x:c>
      <x:c r="D957" t="str">
        <x:v>CUS-0285</x:v>
      </x:c>
      <x:c r="E957" t="str">
        <x:v>Scotland</x:v>
      </x:c>
      <x:c r="F957" t="str">
        <x:v>Online</x:v>
      </x:c>
      <x:c r="G957" t="str">
        <x:v>Electronics</x:v>
      </x:c>
      <x:c r="H957" t="str">
        <x:v>Wireless Headphones</x:v>
      </x:c>
      <x:c r="I957" t="n">
        <x:v>5</x:v>
      </x:c>
      <x:c r="J957" s="4" t="n">
        <x:v>93.98</x:v>
      </x:c>
      <x:c r="K957" s="4" t="n">
        <x:v>48</x:v>
      </x:c>
      <x:c r="L957" s="5" t="n">
        <x:v>0</x:v>
      </x:c>
      <x:c r="M957" s="4" t="n">
        <x:f>ROUND(I957*J957*(1-L957),2)</x:f>
        <x:v>469.9</x:v>
      </x:c>
      <x:c r="N957" s="4" t="n">
        <x:f>ROUND(I957*K957,2)</x:f>
        <x:v>240</x:v>
      </x:c>
      <x:c r="O957" s="4" t="n">
        <x:f>ROUND(M957-N957,2)</x:f>
        <x:v>229.9</x:v>
      </x:c>
      <x:c r="P957" s="6" t="n">
        <x:v>4.1</x:v>
      </x:c>
      <x:c r="Q957" t="str">
        <x:v>No</x:v>
      </x:c>
    </x:row>
    <x:row r="958">
      <x:c r="A958" t="str">
        <x:v>ORD-00671</x:v>
      </x:c>
      <x:c r="B958" s="3" t="n">
        <x:v>45688.16009842593</x:v>
      </x:c>
      <x:c r="C958" t="str">
        <x:v>2025-01</x:v>
      </x:c>
      <x:c r="D958" t="str">
        <x:v>CUS-0305</x:v>
      </x:c>
      <x:c r="E958" t="str">
        <x:v>South West</x:v>
      </x:c>
      <x:c r="F958" t="str">
        <x:v>Marketplace</x:v>
      </x:c>
      <x:c r="G958" t="str">
        <x:v>Electronics</x:v>
      </x:c>
      <x:c r="H958" t="str">
        <x:v>Smart Watch</x:v>
      </x:c>
      <x:c r="I958" t="n">
        <x:v>3</x:v>
      </x:c>
      <x:c r="J958" s="4" t="n">
        <x:v>155.41</x:v>
      </x:c>
      <x:c r="K958" s="4" t="n">
        <x:v>92</x:v>
      </x:c>
      <x:c r="L958" s="5" t="n">
        <x:v>0.2</x:v>
      </x:c>
      <x:c r="M958" s="4" t="n">
        <x:f>ROUND(I958*J958*(1-L958),2)</x:f>
        <x:v>372.98</x:v>
      </x:c>
      <x:c r="N958" s="4" t="n">
        <x:f>ROUND(I958*K958,2)</x:f>
        <x:v>276</x:v>
      </x:c>
      <x:c r="O958" s="4" t="n">
        <x:f>ROUND(M958-N958,2)</x:f>
        <x:v>96.98</x:v>
      </x:c>
      <x:c r="P958" s="6" t="n">
        <x:v>4</x:v>
      </x:c>
      <x:c r="Q958" t="str">
        <x:v>No</x:v>
      </x:c>
    </x:row>
    <x:row r="959">
      <x:c r="A959" t="str">
        <x:v>ORD-00767</x:v>
      </x:c>
      <x:c r="B959" s="3" t="n">
        <x:v>45688.683225</x:v>
      </x:c>
      <x:c r="C959" t="str">
        <x:v>2025-01</x:v>
      </x:c>
      <x:c r="D959" t="str">
        <x:v>CUS-0381</x:v>
      </x:c>
      <x:c r="E959" t="str">
        <x:v>North East</x:v>
      </x:c>
      <x:c r="F959" t="str">
        <x:v>Store</x:v>
      </x:c>
      <x:c r="G959" t="str">
        <x:v>Books</x:v>
      </x:c>
      <x:c r="H959" t="str">
        <x:v>Data Analytics Handbook</x:v>
      </x:c>
      <x:c r="I959" t="n">
        <x:v>4</x:v>
      </x:c>
      <x:c r="J959" s="4" t="n">
        <x:v>38.28</x:v>
      </x:c>
      <x:c r="K959" s="4" t="n">
        <x:v>14</x:v>
      </x:c>
      <x:c r="L959" s="5" t="n">
        <x:v>0.05</x:v>
      </x:c>
      <x:c r="M959" s="4" t="n">
        <x:f>ROUND(I959*J959*(1-L959),2)</x:f>
        <x:v>145.46</x:v>
      </x:c>
      <x:c r="N959" s="4" t="n">
        <x:f>ROUND(I959*K959,2)</x:f>
        <x:v>56</x:v>
      </x:c>
      <x:c r="O959" s="4" t="n">
        <x:f>ROUND(M959-N959,2)</x:f>
        <x:v>89.46</x:v>
      </x:c>
      <x:c r="P959" s="6" t="n">
        <x:v>3.7</x:v>
      </x:c>
      <x:c r="Q959" t="str">
        <x:v>No</x:v>
      </x:c>
    </x:row>
    <x:row r="960">
      <x:c r="A960" t="str">
        <x:v>ORD-00897</x:v>
      </x:c>
      <x:c r="B960" s="3" t="n">
        <x:v>45688.929576296294</x:v>
      </x:c>
      <x:c r="C960" t="str">
        <x:v>2025-01</x:v>
      </x:c>
      <x:c r="D960" t="str">
        <x:v>CUS-0534</x:v>
      </x:c>
      <x:c r="E960" t="str">
        <x:v>Midlands</x:v>
      </x:c>
      <x:c r="F960" t="str">
        <x:v>Online</x:v>
      </x:c>
      <x:c r="G960" t="str">
        <x:v>Fashion</x:v>
      </x:c>
      <x:c r="H960" t="str">
        <x:v>Backpack</x:v>
      </x:c>
      <x:c r="I960" t="n">
        <x:v>5</x:v>
      </x:c>
      <x:c r="J960" s="4" t="n">
        <x:v>47.68</x:v>
      </x:c>
      <x:c r="K960" s="4" t="n">
        <x:v>21</x:v>
      </x:c>
      <x:c r="L960" s="5" t="n">
        <x:v>0.2</x:v>
      </x:c>
      <x:c r="M960" s="4" t="n">
        <x:f>ROUND(I960*J960*(1-L960),2)</x:f>
        <x:v>190.72</x:v>
      </x:c>
      <x:c r="N960" s="4" t="n">
        <x:f>ROUND(I960*K960,2)</x:f>
        <x:v>105</x:v>
      </x:c>
      <x:c r="O960" s="4" t="n">
        <x:f>ROUND(M960-N960,2)</x:f>
        <x:v>85.72</x:v>
      </x:c>
      <x:c r="P960" s="6" t="n">
        <x:v>4.1</x:v>
      </x:c>
      <x:c r="Q960" t="str">
        <x:v>No</x:v>
      </x:c>
    </x:row>
    <x:row r="961">
      <x:c r="A961" t="str">
        <x:v>ORD-01714</x:v>
      </x:c>
      <x:c r="B961" s="3" t="n">
        <x:v>45689.370095474536</x:v>
      </x:c>
      <x:c r="C961" t="str">
        <x:v>2025-02</x:v>
      </x:c>
      <x:c r="D961" t="str">
        <x:v>CUS-0312</x:v>
      </x:c>
      <x:c r="E961" t="str">
        <x:v>London</x:v>
      </x:c>
      <x:c r="F961" t="str">
        <x:v>Online</x:v>
      </x:c>
      <x:c r="G961" t="str">
        <x:v>Electronics</x:v>
      </x:c>
      <x:c r="H961" t="str">
        <x:v>Smart Watch</x:v>
      </x:c>
      <x:c r="I961" t="n">
        <x:v>1</x:v>
      </x:c>
      <x:c r="J961" s="4" t="n">
        <x:v>154.06</x:v>
      </x:c>
      <x:c r="K961" s="4" t="n">
        <x:v>92</x:v>
      </x:c>
      <x:c r="L961" s="5" t="n">
        <x:v>0</x:v>
      </x:c>
      <x:c r="M961" s="4" t="n">
        <x:f>ROUND(I961*J961*(1-L961),2)</x:f>
        <x:v>154.06</x:v>
      </x:c>
      <x:c r="N961" s="4" t="n">
        <x:f>ROUND(I961*K961,2)</x:f>
        <x:v>92</x:v>
      </x:c>
      <x:c r="O961" s="4" t="n">
        <x:f>ROUND(M961-N961,2)</x:f>
        <x:v>62.06</x:v>
      </x:c>
      <x:c r="P961" s="6" t="n">
        <x:v>3.2</x:v>
      </x:c>
      <x:c r="Q961" t="str">
        <x:v>No</x:v>
      </x:c>
    </x:row>
    <x:row r="962">
      <x:c r="A962" t="str">
        <x:v>ORD-01716</x:v>
      </x:c>
      <x:c r="B962" s="3" t="n">
        <x:v>45689.42601372685</x:v>
      </x:c>
      <x:c r="C962" t="str">
        <x:v>2025-02</x:v>
      </x:c>
      <x:c r="D962" t="str">
        <x:v>CUS-0597</x:v>
      </x:c>
      <x:c r="E962" t="str">
        <x:v>North West</x:v>
      </x:c>
      <x:c r="F962" t="str">
        <x:v>Store</x:v>
      </x:c>
      <x:c r="G962" t="str">
        <x:v>Fashion</x:v>
      </x:c>
      <x:c r="H962" t="str">
        <x:v>Winter Jacket</x:v>
      </x:c>
      <x:c r="I962" t="n">
        <x:v>2</x:v>
      </x:c>
      <x:c r="J962" s="4" t="n">
        <x:v>93.71</x:v>
      </x:c>
      <x:c r="K962" s="4" t="n">
        <x:v>46</x:v>
      </x:c>
      <x:c r="L962" s="5" t="n">
        <x:v>0.05</x:v>
      </x:c>
      <x:c r="M962" s="4" t="n">
        <x:f>ROUND(I962*J962*(1-L962),2)</x:f>
        <x:v>178.05</x:v>
      </x:c>
      <x:c r="N962" s="4" t="n">
        <x:f>ROUND(I962*K962,2)</x:f>
        <x:v>92</x:v>
      </x:c>
      <x:c r="O962" s="4" t="n">
        <x:f>ROUND(M962-N962,2)</x:f>
        <x:v>86.05</x:v>
      </x:c>
      <x:c r="P962" s="6" t="n">
        <x:v>4.7</x:v>
      </x:c>
      <x:c r="Q962" t="str">
        <x:v>No</x:v>
      </x:c>
    </x:row>
    <x:row r="963">
      <x:c r="A963" t="str">
        <x:v>ORD-01306</x:v>
      </x:c>
      <x:c r="B963" s="3" t="n">
        <x:v>45689.810118009256</x:v>
      </x:c>
      <x:c r="C963" t="str">
        <x:v>2025-02</x:v>
      </x:c>
      <x:c r="D963" t="str">
        <x:v>CUS-0407</x:v>
      </x:c>
      <x:c r="E963" t="str">
        <x:v>London</x:v>
      </x:c>
      <x:c r="F963" t="str">
        <x:v>Store</x:v>
      </x:c>
      <x:c r="G963" t="str">
        <x:v>Sports</x:v>
      </x:c>
      <x:c r="H963" t="str">
        <x:v>Running Shoes</x:v>
      </x:c>
      <x:c r="I963" t="n">
        <x:v>1</x:v>
      </x:c>
      <x:c r="J963" s="4" t="n">
        <x:v>76.46</x:v>
      </x:c>
      <x:c r="K963" s="4" t="n">
        <x:v>38</x:v>
      </x:c>
      <x:c r="L963" s="5" t="n">
        <x:v>0.1</x:v>
      </x:c>
      <x:c r="M963" s="4" t="n">
        <x:f>ROUND(I963*J963*(1-L963),2)</x:f>
        <x:v>68.81</x:v>
      </x:c>
      <x:c r="N963" s="4" t="n">
        <x:f>ROUND(I963*K963,2)</x:f>
        <x:v>38</x:v>
      </x:c>
      <x:c r="O963" s="4" t="n">
        <x:f>ROUND(M963-N963,2)</x:f>
        <x:v>30.81</x:v>
      </x:c>
      <x:c r="P963" s="6" t="n">
        <x:v>3.5</x:v>
      </x:c>
      <x:c r="Q963" t="str">
        <x:v>No</x:v>
      </x:c>
    </x:row>
    <x:row r="964">
      <x:c r="A964" t="str">
        <x:v>ORD-01332</x:v>
      </x:c>
      <x:c r="B964" s="3" t="n">
        <x:v>45689.95150079861</x:v>
      </x:c>
      <x:c r="C964" t="str">
        <x:v>2025-02</x:v>
      </x:c>
      <x:c r="D964" t="str">
        <x:v>CUS-0204</x:v>
      </x:c>
      <x:c r="E964" t="str">
        <x:v>North East</x:v>
      </x:c>
      <x:c r="F964" t="str">
        <x:v>Online</x:v>
      </x:c>
      <x:c r="G964" t="str">
        <x:v>Beauty</x:v>
      </x:c>
      <x:c r="H964" t="str">
        <x:v>Skin Care Set</x:v>
      </x:c>
      <x:c r="I964" t="n">
        <x:v>1</x:v>
      </x:c>
      <x:c r="J964" s="4" t="n">
        <x:v>44.13</x:v>
      </x:c>
      <x:c r="K964" s="4" t="n">
        <x:v>18</x:v>
      </x:c>
      <x:c r="L964" s="5" t="n">
        <x:v>0</x:v>
      </x:c>
      <x:c r="M964" s="4" t="n">
        <x:f>ROUND(I964*J964*(1-L964),2)</x:f>
        <x:v>44.13</x:v>
      </x:c>
      <x:c r="N964" s="4" t="n">
        <x:f>ROUND(I964*K964,2)</x:f>
        <x:v>18</x:v>
      </x:c>
      <x:c r="O964" s="4" t="n">
        <x:f>ROUND(M964-N964,2)</x:f>
        <x:v>26.13</x:v>
      </x:c>
      <x:c r="P964" s="6" t="n">
        <x:v>4.1</x:v>
      </x:c>
      <x:c r="Q964" t="str">
        <x:v>No</x:v>
      </x:c>
    </x:row>
    <x:row r="965">
      <x:c r="A965" t="str">
        <x:v>ORD-01453</x:v>
      </x:c>
      <x:c r="B965" s="3" t="n">
        <x:v>45690.348704386575</x:v>
      </x:c>
      <x:c r="C965" t="str">
        <x:v>2025-02</x:v>
      </x:c>
      <x:c r="D965" t="str">
        <x:v>CUS-0028</x:v>
      </x:c>
      <x:c r="E965" t="str">
        <x:v>South East</x:v>
      </x:c>
      <x:c r="F965" t="str">
        <x:v>Marketplace</x:v>
      </x:c>
      <x:c r="G965" t="str">
        <x:v>Sports</x:v>
      </x:c>
      <x:c r="H965" t="str">
        <x:v>Yoga Mat</x:v>
      </x:c>
      <x:c r="I965" t="n">
        <x:v>4</x:v>
      </x:c>
      <x:c r="J965" s="4" t="n">
        <x:v>31.05</x:v>
      </x:c>
      <x:c r="K965" s="4" t="n">
        <x:v>12</x:v>
      </x:c>
      <x:c r="L965" s="5" t="n">
        <x:v>0.2</x:v>
      </x:c>
      <x:c r="M965" s="4" t="n">
        <x:f>ROUND(I965*J965*(1-L965),2)</x:f>
        <x:v>99.36</x:v>
      </x:c>
      <x:c r="N965" s="4" t="n">
        <x:f>ROUND(I965*K965,2)</x:f>
        <x:v>48</x:v>
      </x:c>
      <x:c r="O965" s="4" t="n">
        <x:f>ROUND(M965-N965,2)</x:f>
        <x:v>51.36</x:v>
      </x:c>
      <x:c r="P965" s="6" t="n">
        <x:v>4.1</x:v>
      </x:c>
      <x:c r="Q965" t="str">
        <x:v>No</x:v>
      </x:c>
    </x:row>
    <x:row r="966">
      <x:c r="A966" t="str">
        <x:v>ORD-00726</x:v>
      </x:c>
      <x:c r="B966" s="3" t="n">
        <x:v>45690.73860621528</x:v>
      </x:c>
      <x:c r="C966" t="str">
        <x:v>2025-02</x:v>
      </x:c>
      <x:c r="D966" t="str">
        <x:v>CUS-0255</x:v>
      </x:c>
      <x:c r="E966" t="str">
        <x:v>Scotland</x:v>
      </x:c>
      <x:c r="F966" t="str">
        <x:v>Store</x:v>
      </x:c>
      <x:c r="G966" t="str">
        <x:v>Sports</x:v>
      </x:c>
      <x:c r="H966" t="str">
        <x:v>Fitness Tracker</x:v>
      </x:c>
      <x:c r="I966" t="n">
        <x:v>3</x:v>
      </x:c>
      <x:c r="J966" s="4" t="n">
        <x:v>53.2</x:v>
      </x:c>
      <x:c r="K966" s="4" t="n">
        <x:v>27</x:v>
      </x:c>
      <x:c r="L966" s="5" t="n">
        <x:v>0.1</x:v>
      </x:c>
      <x:c r="M966" s="4" t="n">
        <x:f>ROUND(I966*J966*(1-L966),2)</x:f>
        <x:v>143.64</x:v>
      </x:c>
      <x:c r="N966" s="4" t="n">
        <x:f>ROUND(I966*K966,2)</x:f>
        <x:v>81</x:v>
      </x:c>
      <x:c r="O966" s="4" t="n">
        <x:f>ROUND(M966-N966,2)</x:f>
        <x:v>62.64</x:v>
      </x:c>
      <x:c r="P966" s="6" t="n">
        <x:v>3.3</x:v>
      </x:c>
      <x:c r="Q966" t="str">
        <x:v>No</x:v>
      </x:c>
    </x:row>
    <x:row r="967">
      <x:c r="A967" t="str">
        <x:v>ORD-00118</x:v>
      </x:c>
      <x:c r="B967" s="3" t="n">
        <x:v>45691.719320324075</x:v>
      </x:c>
      <x:c r="C967" t="str">
        <x:v>2025-02</x:v>
      </x:c>
      <x:c r="D967" t="str">
        <x:v>CUS-0482</x:v>
      </x:c>
      <x:c r="E967" t="str">
        <x:v>London</x:v>
      </x:c>
      <x:c r="F967" t="str">
        <x:v>Online</x:v>
      </x:c>
      <x:c r="G967" t="str">
        <x:v>Fashion</x:v>
      </x:c>
      <x:c r="H967" t="str">
        <x:v>Classic Trainers</x:v>
      </x:c>
      <x:c r="I967" t="n">
        <x:v>4</x:v>
      </x:c>
      <x:c r="J967" s="4" t="n">
        <x:v>69.17</x:v>
      </x:c>
      <x:c r="K967" s="4" t="n">
        <x:v>32</x:v>
      </x:c>
      <x:c r="L967" s="5" t="n">
        <x:v>0</x:v>
      </x:c>
      <x:c r="M967" s="4" t="n">
        <x:f>ROUND(I967*J967*(1-L967),2)</x:f>
        <x:v>276.68</x:v>
      </x:c>
      <x:c r="N967" s="4" t="n">
        <x:f>ROUND(I967*K967,2)</x:f>
        <x:v>128</x:v>
      </x:c>
      <x:c r="O967" s="4" t="n">
        <x:f>ROUND(M967-N967,2)</x:f>
        <x:v>148.68</x:v>
      </x:c>
      <x:c r="P967" s="6" t="n">
        <x:v>3.9</x:v>
      </x:c>
      <x:c r="Q967" t="str">
        <x:v>No</x:v>
      </x:c>
    </x:row>
    <x:row r="968">
      <x:c r="A968" t="str">
        <x:v>ORD-01438</x:v>
      </x:c>
      <x:c r="B968" s="3" t="n">
        <x:v>45692.375833784725</x:v>
      </x:c>
      <x:c r="C968" t="str">
        <x:v>2025-02</x:v>
      </x:c>
      <x:c r="D968" t="str">
        <x:v>CUS-0537</x:v>
      </x:c>
      <x:c r="E968" t="str">
        <x:v>North East</x:v>
      </x:c>
      <x:c r="F968" t="str">
        <x:v>Online</x:v>
      </x:c>
      <x:c r="G968" t="str">
        <x:v>Fashion</x:v>
      </x:c>
      <x:c r="H968" t="str">
        <x:v>Classic Trainers</x:v>
      </x:c>
      <x:c r="I968" t="n">
        <x:v>4</x:v>
      </x:c>
      <x:c r="J968" s="4" t="n">
        <x:v>67.14</x:v>
      </x:c>
      <x:c r="K968" s="4" t="n">
        <x:v>32</x:v>
      </x:c>
      <x:c r="L968" s="5" t="n">
        <x:v>0.2</x:v>
      </x:c>
      <x:c r="M968" s="4" t="n">
        <x:f>ROUND(I968*J968*(1-L968),2)</x:f>
        <x:v>214.85</x:v>
      </x:c>
      <x:c r="N968" s="4" t="n">
        <x:f>ROUND(I968*K968,2)</x:f>
        <x:v>128</x:v>
      </x:c>
      <x:c r="O968" s="4" t="n">
        <x:f>ROUND(M968-N968,2)</x:f>
        <x:v>86.85</x:v>
      </x:c>
      <x:c r="P968" s="6" t="n">
        <x:v>3.7</x:v>
      </x:c>
      <x:c r="Q968" t="str">
        <x:v>No</x:v>
      </x:c>
    </x:row>
    <x:row r="969">
      <x:c r="A969" t="str">
        <x:v>ORD-01518</x:v>
      </x:c>
      <x:c r="B969" s="3" t="n">
        <x:v>45693.265929988425</x:v>
      </x:c>
      <x:c r="C969" t="str">
        <x:v>2025-02</x:v>
      </x:c>
      <x:c r="D969" t="str">
        <x:v>CUS-0605</x:v>
      </x:c>
      <x:c r="E969" t="str">
        <x:v>North West</x:v>
      </x:c>
      <x:c r="F969" t="str">
        <x:v>Store</x:v>
      </x:c>
      <x:c r="G969" t="str">
        <x:v>Home</x:v>
      </x:c>
      <x:c r="H969" t="str">
        <x:v>Air Fryer</x:v>
      </x:c>
      <x:c r="I969" t="n">
        <x:v>5</x:v>
      </x:c>
      <x:c r="J969" s="4" t="n">
        <x:v>125.41</x:v>
      </x:c>
      <x:c r="K969" s="4" t="n">
        <x:v>69</x:v>
      </x:c>
      <x:c r="L969" s="5" t="n">
        <x:v>0.2</x:v>
      </x:c>
      <x:c r="M969" s="4" t="n">
        <x:f>ROUND(I969*J969*(1-L969),2)</x:f>
        <x:v>501.64</x:v>
      </x:c>
      <x:c r="N969" s="4" t="n">
        <x:f>ROUND(I969*K969,2)</x:f>
        <x:v>345</x:v>
      </x:c>
      <x:c r="O969" s="4" t="n">
        <x:f>ROUND(M969-N969,2)</x:f>
        <x:v>156.64</x:v>
      </x:c>
      <x:c r="P969" s="6" t="n">
        <x:v>4.7</x:v>
      </x:c>
      <x:c r="Q969" t="str">
        <x:v>No</x:v>
      </x:c>
    </x:row>
    <x:row r="970">
      <x:c r="A970" t="str">
        <x:v>ORD-00718</x:v>
      </x:c>
      <x:c r="B970" s="3" t="n">
        <x:v>45693.34919991898</x:v>
      </x:c>
      <x:c r="C970" t="str">
        <x:v>2025-02</x:v>
      </x:c>
      <x:c r="D970" t="str">
        <x:v>CUS-0396</x:v>
      </x:c>
      <x:c r="E970" t="str">
        <x:v>South West</x:v>
      </x:c>
      <x:c r="F970" t="str">
        <x:v>Online</x:v>
      </x:c>
      <x:c r="G970" t="str">
        <x:v>Electronics</x:v>
      </x:c>
      <x:c r="H970" t="str">
        <x:v>Bluetooth Speaker</x:v>
      </x:c>
      <x:c r="I970" t="n">
        <x:v>3</x:v>
      </x:c>
      <x:c r="J970" s="4" t="n">
        <x:v>61.8</x:v>
      </x:c>
      <x:c r="K970" s="4" t="n">
        <x:v>34</x:v>
      </x:c>
      <x:c r="L970" s="5" t="n">
        <x:v>0</x:v>
      </x:c>
      <x:c r="M970" s="4" t="n">
        <x:f>ROUND(I970*J970*(1-L970),2)</x:f>
        <x:v>185.4</x:v>
      </x:c>
      <x:c r="N970" s="4" t="n">
        <x:f>ROUND(I970*K970,2)</x:f>
        <x:v>102</x:v>
      </x:c>
      <x:c r="O970" s="4" t="n">
        <x:f>ROUND(M970-N970,2)</x:f>
        <x:v>83.4</x:v>
      </x:c>
      <x:c r="P970" s="6" t="n">
        <x:v>5</x:v>
      </x:c>
      <x:c r="Q970" t="str">
        <x:v>No</x:v>
      </x:c>
    </x:row>
    <x:row r="971">
      <x:c r="A971" t="str">
        <x:v>ORD-00653</x:v>
      </x:c>
      <x:c r="B971" s="3" t="n">
        <x:v>45693.52380671296</x:v>
      </x:c>
      <x:c r="C971" t="str">
        <x:v>2025-02</x:v>
      </x:c>
      <x:c r="D971" t="str">
        <x:v>CUS-0524</x:v>
      </x:c>
      <x:c r="E971" t="str">
        <x:v>London</x:v>
      </x:c>
      <x:c r="F971" t="str">
        <x:v>Store</x:v>
      </x:c>
      <x:c r="G971" t="str">
        <x:v>Home</x:v>
      </x:c>
      <x:c r="H971" t="str">
        <x:v>Air Fryer</x:v>
      </x:c>
      <x:c r="I971" t="n">
        <x:v>4</x:v>
      </x:c>
      <x:c r="J971" s="4" t="n">
        <x:v>125.95</x:v>
      </x:c>
      <x:c r="K971" s="4" t="n">
        <x:v>69</x:v>
      </x:c>
      <x:c r="L971" s="5" t="n">
        <x:v>0</x:v>
      </x:c>
      <x:c r="M971" s="4" t="n">
        <x:f>ROUND(I971*J971*(1-L971),2)</x:f>
        <x:v>503.8</x:v>
      </x:c>
      <x:c r="N971" s="4" t="n">
        <x:f>ROUND(I971*K971,2)</x:f>
        <x:v>276</x:v>
      </x:c>
      <x:c r="O971" s="4" t="n">
        <x:f>ROUND(M971-N971,2)</x:f>
        <x:v>227.8</x:v>
      </x:c>
      <x:c r="P971" s="6" t="n">
        <x:v>5</x:v>
      </x:c>
      <x:c r="Q971" t="str">
        <x:v>No</x:v>
      </x:c>
    </x:row>
    <x:row r="972">
      <x:c r="A972" t="str">
        <x:v>ORD-01066</x:v>
      </x:c>
      <x:c r="B972" s="3" t="n">
        <x:v>45693.62320065972</x:v>
      </x:c>
      <x:c r="C972" t="str">
        <x:v>2025-02</x:v>
      </x:c>
      <x:c r="D972" t="str">
        <x:v>CUS-0165</x:v>
      </x:c>
      <x:c r="E972" t="str">
        <x:v>Wales</x:v>
      </x:c>
      <x:c r="F972" t="str">
        <x:v>Marketplace</x:v>
      </x:c>
      <x:c r="G972" t="str">
        <x:v>Books</x:v>
      </x:c>
      <x:c r="H972" t="str">
        <x:v>Data Analytics Handbook</x:v>
      </x:c>
      <x:c r="I972" t="n">
        <x:v>5</x:v>
      </x:c>
      <x:c r="J972" s="4" t="n">
        <x:v>40.59</x:v>
      </x:c>
      <x:c r="K972" s="4" t="n">
        <x:v>14</x:v>
      </x:c>
      <x:c r="L972" s="5" t="n">
        <x:v>0</x:v>
      </x:c>
      <x:c r="M972" s="4" t="n">
        <x:f>ROUND(I972*J972*(1-L972),2)</x:f>
        <x:v>202.95</x:v>
      </x:c>
      <x:c r="N972" s="4" t="n">
        <x:f>ROUND(I972*K972,2)</x:f>
        <x:v>70</x:v>
      </x:c>
      <x:c r="O972" s="4" t="n">
        <x:f>ROUND(M972-N972,2)</x:f>
        <x:v>132.95</x:v>
      </x:c>
      <x:c r="P972" s="6" t="n">
        <x:v>3.5</x:v>
      </x:c>
      <x:c r="Q972" t="str">
        <x:v>No</x:v>
      </x:c>
    </x:row>
    <x:row r="973">
      <x:c r="A973" t="str">
        <x:v>ORD-01224</x:v>
      </x:c>
      <x:c r="B973" s="3" t="n">
        <x:v>45694.09322634259</x:v>
      </x:c>
      <x:c r="C973" t="str">
        <x:v>2025-02</x:v>
      </x:c>
      <x:c r="D973" t="str">
        <x:v>CUS-0496</x:v>
      </x:c>
      <x:c r="E973" t="str">
        <x:v>Scotland</x:v>
      </x:c>
      <x:c r="F973" t="str">
        <x:v>Marketplace</x:v>
      </x:c>
      <x:c r="G973" t="str">
        <x:v>Fashion</x:v>
      </x:c>
      <x:c r="H973" t="str">
        <x:v>Backpack</x:v>
      </x:c>
      <x:c r="I973" t="n">
        <x:v>3</x:v>
      </x:c>
      <x:c r="J973" s="4" t="n">
        <x:v>51.77</x:v>
      </x:c>
      <x:c r="K973" s="4" t="n">
        <x:v>21</x:v>
      </x:c>
      <x:c r="L973" s="5" t="n">
        <x:v>0</x:v>
      </x:c>
      <x:c r="M973" s="4" t="n">
        <x:f>ROUND(I973*J973*(1-L973),2)</x:f>
        <x:v>155.31</x:v>
      </x:c>
      <x:c r="N973" s="4" t="n">
        <x:f>ROUND(I973*K973,2)</x:f>
        <x:v>63</x:v>
      </x:c>
      <x:c r="O973" s="4" t="n">
        <x:f>ROUND(M973-N973,2)</x:f>
        <x:v>92.31</x:v>
      </x:c>
      <x:c r="P973" s="6" t="n">
        <x:v>4.4</x:v>
      </x:c>
      <x:c r="Q973" t="str">
        <x:v>No</x:v>
      </x:c>
    </x:row>
    <x:row r="974">
      <x:c r="A974" t="str">
        <x:v>ORD-00299</x:v>
      </x:c>
      <x:c r="B974" s="3" t="n">
        <x:v>45694.23508673611</x:v>
      </x:c>
      <x:c r="C974" t="str">
        <x:v>2025-02</x:v>
      </x:c>
      <x:c r="D974" t="str">
        <x:v>CUS-0426</x:v>
      </x:c>
      <x:c r="E974" t="str">
        <x:v>North West</x:v>
      </x:c>
      <x:c r="F974" t="str">
        <x:v>Marketplace</x:v>
      </x:c>
      <x:c r="G974" t="str">
        <x:v>Electronics</x:v>
      </x:c>
      <x:c r="H974" t="str">
        <x:v>Smart Watch</x:v>
      </x:c>
      <x:c r="I974" t="n">
        <x:v>2</x:v>
      </x:c>
      <x:c r="J974" s="4" t="n">
        <x:v>153.93</x:v>
      </x:c>
      <x:c r="K974" s="4" t="n">
        <x:v>92</x:v>
      </x:c>
      <x:c r="L974" s="5" t="n">
        <x:v>0.1</x:v>
      </x:c>
      <x:c r="M974" s="4" t="n">
        <x:f>ROUND(I974*J974*(1-L974),2)</x:f>
        <x:v>277.07</x:v>
      </x:c>
      <x:c r="N974" s="4" t="n">
        <x:f>ROUND(I974*K974,2)</x:f>
        <x:v>184</x:v>
      </x:c>
      <x:c r="O974" s="4" t="n">
        <x:f>ROUND(M974-N974,2)</x:f>
        <x:v>93.07</x:v>
      </x:c>
      <x:c r="P974" s="6" t="n">
        <x:v>4.5</x:v>
      </x:c>
      <x:c r="Q974" t="str">
        <x:v>No</x:v>
      </x:c>
    </x:row>
    <x:row r="975">
      <x:c r="A975" t="str">
        <x:v>ORD-00737</x:v>
      </x:c>
      <x:c r="B975" s="3" t="n">
        <x:v>45694.77475511574</x:v>
      </x:c>
      <x:c r="C975" t="str">
        <x:v>2025-02</x:v>
      </x:c>
      <x:c r="D975" t="str">
        <x:v>CUS-0036</x:v>
      </x:c>
      <x:c r="E975" t="str">
        <x:v>Midlands</x:v>
      </x:c>
      <x:c r="F975" t="str">
        <x:v>Store</x:v>
      </x:c>
      <x:c r="G975" t="str">
        <x:v>Fashion</x:v>
      </x:c>
      <x:c r="H975" t="str">
        <x:v>Backpack</x:v>
      </x:c>
      <x:c r="I975" t="n">
        <x:v>1</x:v>
      </x:c>
      <x:c r="J975" s="4" t="n">
        <x:v>50.3</x:v>
      </x:c>
      <x:c r="K975" s="4" t="n">
        <x:v>21</x:v>
      </x:c>
      <x:c r="L975" s="5" t="n">
        <x:v>0.15</x:v>
      </x:c>
      <x:c r="M975" s="4" t="n">
        <x:f>ROUND(I975*J975*(1-L975),2)</x:f>
        <x:v>42.76</x:v>
      </x:c>
      <x:c r="N975" s="4" t="n">
        <x:f>ROUND(I975*K975,2)</x:f>
        <x:v>21</x:v>
      </x:c>
      <x:c r="O975" s="4" t="n">
        <x:f>ROUND(M975-N975,2)</x:f>
        <x:v>21.76</x:v>
      </x:c>
      <x:c r="P975" s="6" t="n">
        <x:v>4.5</x:v>
      </x:c>
      <x:c r="Q975" t="str">
        <x:v>No</x:v>
      </x:c>
    </x:row>
    <x:row r="976">
      <x:c r="A976" t="str">
        <x:v>ORD-00435</x:v>
      </x:c>
      <x:c r="B976" s="3" t="n">
        <x:v>45695.19640835648</x:v>
      </x:c>
      <x:c r="C976" t="str">
        <x:v>2025-02</x:v>
      </x:c>
      <x:c r="D976" t="str">
        <x:v>CUS-0280</x:v>
      </x:c>
      <x:c r="E976" t="str">
        <x:v>North East</x:v>
      </x:c>
      <x:c r="F976" t="str">
        <x:v>Online</x:v>
      </x:c>
      <x:c r="G976" t="str">
        <x:v>Electronics</x:v>
      </x:c>
      <x:c r="H976" t="str">
        <x:v>Smart Watch</x:v>
      </x:c>
      <x:c r="I976" t="n">
        <x:v>3</x:v>
      </x:c>
      <x:c r="J976" s="4" t="n">
        <x:v>166.55</x:v>
      </x:c>
      <x:c r="K976" s="4" t="n">
        <x:v>92</x:v>
      </x:c>
      <x:c r="L976" s="5" t="n">
        <x:v>0.15</x:v>
      </x:c>
      <x:c r="M976" s="4" t="n">
        <x:f>ROUND(I976*J976*(1-L976),2)</x:f>
        <x:v>424.7</x:v>
      </x:c>
      <x:c r="N976" s="4" t="n">
        <x:f>ROUND(I976*K976,2)</x:f>
        <x:v>276</x:v>
      </x:c>
      <x:c r="O976" s="4" t="n">
        <x:f>ROUND(M976-N976,2)</x:f>
        <x:v>148.7</x:v>
      </x:c>
      <x:c r="P976" s="6" t="n">
        <x:v>4.8</x:v>
      </x:c>
      <x:c r="Q976" t="str">
        <x:v>Yes</x:v>
      </x:c>
    </x:row>
    <x:row r="977">
      <x:c r="A977" t="str">
        <x:v>ORD-01191</x:v>
      </x:c>
      <x:c r="B977" s="3" t="n">
        <x:v>45695.575595173614</x:v>
      </x:c>
      <x:c r="C977" t="str">
        <x:v>2025-02</x:v>
      </x:c>
      <x:c r="D977" t="str">
        <x:v>CUS-0236</x:v>
      </x:c>
      <x:c r="E977" t="str">
        <x:v>London</x:v>
      </x:c>
      <x:c r="F977" t="str">
        <x:v>Online</x:v>
      </x:c>
      <x:c r="G977" t="str">
        <x:v>Fashion</x:v>
      </x:c>
      <x:c r="H977" t="str">
        <x:v>Classic Trainers</x:v>
      </x:c>
      <x:c r="I977" t="n">
        <x:v>1</x:v>
      </x:c>
      <x:c r="J977" s="4" t="n">
        <x:v>71.01</x:v>
      </x:c>
      <x:c r="K977" s="4" t="n">
        <x:v>32</x:v>
      </x:c>
      <x:c r="L977" s="5" t="n">
        <x:v>0</x:v>
      </x:c>
      <x:c r="M977" s="4" t="n">
        <x:f>ROUND(I977*J977*(1-L977),2)</x:f>
        <x:v>71.01</x:v>
      </x:c>
      <x:c r="N977" s="4" t="n">
        <x:f>ROUND(I977*K977,2)</x:f>
        <x:v>32</x:v>
      </x:c>
      <x:c r="O977" s="4" t="n">
        <x:f>ROUND(M977-N977,2)</x:f>
        <x:v>39.01</x:v>
      </x:c>
      <x:c r="P977" s="6" t="n">
        <x:v>3.3</x:v>
      </x:c>
      <x:c r="Q977" t="str">
        <x:v>No</x:v>
      </x:c>
    </x:row>
    <x:row r="978">
      <x:c r="A978" t="str">
        <x:v>ORD-00584</x:v>
      </x:c>
      <x:c r="B978" s="3" t="n">
        <x:v>45695.60442045139</x:v>
      </x:c>
      <x:c r="C978" t="str">
        <x:v>2025-02</x:v>
      </x:c>
      <x:c r="D978" t="str">
        <x:v>CUS-0418</x:v>
      </x:c>
      <x:c r="E978" t="str">
        <x:v>South East</x:v>
      </x:c>
      <x:c r="F978" t="str">
        <x:v>Online</x:v>
      </x:c>
      <x:c r="G978" t="str">
        <x:v>Sports</x:v>
      </x:c>
      <x:c r="H978" t="str">
        <x:v>Running Shoes</x:v>
      </x:c>
      <x:c r="I978" t="n">
        <x:v>1</x:v>
      </x:c>
      <x:c r="J978" s="4" t="n">
        <x:v>79.18</x:v>
      </x:c>
      <x:c r="K978" s="4" t="n">
        <x:v>38</x:v>
      </x:c>
      <x:c r="L978" s="5" t="n">
        <x:v>0.05</x:v>
      </x:c>
      <x:c r="M978" s="4" t="n">
        <x:f>ROUND(I978*J978*(1-L978),2)</x:f>
        <x:v>75.22</x:v>
      </x:c>
      <x:c r="N978" s="4" t="n">
        <x:f>ROUND(I978*K978,2)</x:f>
        <x:v>38</x:v>
      </x:c>
      <x:c r="O978" s="4" t="n">
        <x:f>ROUND(M978-N978,2)</x:f>
        <x:v>37.22</x:v>
      </x:c>
      <x:c r="P978" s="6" t="n">
        <x:v>4.7</x:v>
      </x:c>
      <x:c r="Q978" t="str">
        <x:v>No</x:v>
      </x:c>
    </x:row>
    <x:row r="979">
      <x:c r="A979" t="str">
        <x:v>ORD-00345</x:v>
      </x:c>
      <x:c r="B979" s="3" t="n">
        <x:v>45695.623289780095</x:v>
      </x:c>
      <x:c r="C979" t="str">
        <x:v>2025-02</x:v>
      </x:c>
      <x:c r="D979" t="str">
        <x:v>CUS-0337</x:v>
      </x:c>
      <x:c r="E979" t="str">
        <x:v>Scotland</x:v>
      </x:c>
      <x:c r="F979" t="str">
        <x:v>Marketplace</x:v>
      </x:c>
      <x:c r="G979" t="str">
        <x:v>Sports</x:v>
      </x:c>
      <x:c r="H979" t="str">
        <x:v>Yoga Mat</x:v>
      </x:c>
      <x:c r="I979" t="n">
        <x:v>4</x:v>
      </x:c>
      <x:c r="J979" s="4" t="n">
        <x:v>31.14</x:v>
      </x:c>
      <x:c r="K979" s="4" t="n">
        <x:v>12</x:v>
      </x:c>
      <x:c r="L979" s="5" t="n">
        <x:v>0.05</x:v>
      </x:c>
      <x:c r="M979" s="4" t="n">
        <x:f>ROUND(I979*J979*(1-L979),2)</x:f>
        <x:v>118.33</x:v>
      </x:c>
      <x:c r="N979" s="4" t="n">
        <x:f>ROUND(I979*K979,2)</x:f>
        <x:v>48</x:v>
      </x:c>
      <x:c r="O979" s="4" t="n">
        <x:f>ROUND(M979-N979,2)</x:f>
        <x:v>70.33</x:v>
      </x:c>
      <x:c r="P979" s="6" t="n">
        <x:v>4.2</x:v>
      </x:c>
      <x:c r="Q979" t="str">
        <x:v>No</x:v>
      </x:c>
    </x:row>
    <x:row r="980">
      <x:c r="A980" t="str">
        <x:v>ORD-00747</x:v>
      </x:c>
      <x:c r="B980" s="3" t="n">
        <x:v>45696.215703483795</x:v>
      </x:c>
      <x:c r="C980" t="str">
        <x:v>2025-02</x:v>
      </x:c>
      <x:c r="D980" t="str">
        <x:v>CUS-0481</x:v>
      </x:c>
      <x:c r="E980" t="str">
        <x:v>North East</x:v>
      </x:c>
      <x:c r="F980" t="str">
        <x:v>Online</x:v>
      </x:c>
      <x:c r="G980" t="str">
        <x:v>Home</x:v>
      </x:c>
      <x:c r="H980" t="str">
        <x:v>Air Fryer</x:v>
      </x:c>
      <x:c r="I980" t="n">
        <x:v>3</x:v>
      </x:c>
      <x:c r="J980" s="4" t="n">
        <x:v>120.43</x:v>
      </x:c>
      <x:c r="K980" s="4" t="n">
        <x:v>69</x:v>
      </x:c>
      <x:c r="L980" s="5" t="n">
        <x:v>0.1</x:v>
      </x:c>
      <x:c r="M980" s="4" t="n">
        <x:f>ROUND(I980*J980*(1-L980),2)</x:f>
        <x:v>325.16</x:v>
      </x:c>
      <x:c r="N980" s="4" t="n">
        <x:f>ROUND(I980*K980,2)</x:f>
        <x:v>207</x:v>
      </x:c>
      <x:c r="O980" s="4" t="n">
        <x:f>ROUND(M980-N980,2)</x:f>
        <x:v>118.16</x:v>
      </x:c>
      <x:c r="P980" s="6" t="n">
        <x:v>4.4</x:v>
      </x:c>
      <x:c r="Q980" t="str">
        <x:v>No</x:v>
      </x:c>
    </x:row>
    <x:row r="981">
      <x:c r="A981" t="str">
        <x:v>ORD-01299</x:v>
      </x:c>
      <x:c r="B981" s="3" t="n">
        <x:v>45696.50543767361</x:v>
      </x:c>
      <x:c r="C981" t="str">
        <x:v>2025-02</x:v>
      </x:c>
      <x:c r="D981" t="str">
        <x:v>CUS-0396</x:v>
      </x:c>
      <x:c r="E981" t="str">
        <x:v>Wales</x:v>
      </x:c>
      <x:c r="F981" t="str">
        <x:v>Store</x:v>
      </x:c>
      <x:c r="G981" t="str">
        <x:v>Books</x:v>
      </x:c>
      <x:c r="H981" t="str">
        <x:v>Data Analytics Handbook</x:v>
      </x:c>
      <x:c r="I981" t="n">
        <x:v>2</x:v>
      </x:c>
      <x:c r="J981" s="4" t="n">
        <x:v>40.82</x:v>
      </x:c>
      <x:c r="K981" s="4" t="n">
        <x:v>14</x:v>
      </x:c>
      <x:c r="L981" s="5" t="n">
        <x:v>0.15</x:v>
      </x:c>
      <x:c r="M981" s="4" t="n">
        <x:f>ROUND(I981*J981*(1-L981),2)</x:f>
        <x:v>69.39</x:v>
      </x:c>
      <x:c r="N981" s="4" t="n">
        <x:f>ROUND(I981*K981,2)</x:f>
        <x:v>28</x:v>
      </x:c>
      <x:c r="O981" s="4" t="n">
        <x:f>ROUND(M981-N981,2)</x:f>
        <x:v>41.39</x:v>
      </x:c>
      <x:c r="P981" s="6" t="n">
        <x:v>3.9</x:v>
      </x:c>
      <x:c r="Q981" t="str">
        <x:v>No</x:v>
      </x:c>
    </x:row>
    <x:row r="982">
      <x:c r="A982" t="str">
        <x:v>ORD-00322</x:v>
      </x:c>
      <x:c r="B982" s="3" t="n">
        <x:v>45697.909515914354</x:v>
      </x:c>
      <x:c r="C982" t="str">
        <x:v>2025-02</x:v>
      </x:c>
      <x:c r="D982" t="str">
        <x:v>CUS-0135</x:v>
      </x:c>
      <x:c r="E982" t="str">
        <x:v>Midlands</x:v>
      </x:c>
      <x:c r="F982" t="str">
        <x:v>Store</x:v>
      </x:c>
      <x:c r="G982" t="str">
        <x:v>Sports</x:v>
      </x:c>
      <x:c r="H982" t="str">
        <x:v>Running Shoes</x:v>
      </x:c>
      <x:c r="I982" t="n">
        <x:v>4</x:v>
      </x:c>
      <x:c r="J982" s="4" t="n">
        <x:v>82.95</x:v>
      </x:c>
      <x:c r="K982" s="4" t="n">
        <x:v>38</x:v>
      </x:c>
      <x:c r="L982" s="5" t="n">
        <x:v>0.1</x:v>
      </x:c>
      <x:c r="M982" s="4" t="n">
        <x:f>ROUND(I982*J982*(1-L982),2)</x:f>
        <x:v>298.62</x:v>
      </x:c>
      <x:c r="N982" s="4" t="n">
        <x:f>ROUND(I982*K982,2)</x:f>
        <x:v>152</x:v>
      </x:c>
      <x:c r="O982" s="4" t="n">
        <x:f>ROUND(M982-N982,2)</x:f>
        <x:v>146.62</x:v>
      </x:c>
      <x:c r="P982" s="6" t="n">
        <x:v>4.1</x:v>
      </x:c>
      <x:c r="Q982" t="str">
        <x:v>Yes</x:v>
      </x:c>
    </x:row>
    <x:row r="983">
      <x:c r="A983" t="str">
        <x:v>ORD-00878</x:v>
      </x:c>
      <x:c r="B983" s="3" t="n">
        <x:v>45698.785045324075</x:v>
      </x:c>
      <x:c r="C983" t="str">
        <x:v>2025-02</x:v>
      </x:c>
      <x:c r="D983" t="str">
        <x:v>CUS-0452</x:v>
      </x:c>
      <x:c r="E983" t="str">
        <x:v>North West</x:v>
      </x:c>
      <x:c r="F983" t="str">
        <x:v>Marketplace</x:v>
      </x:c>
      <x:c r="G983" t="str">
        <x:v>Beauty</x:v>
      </x:c>
      <x:c r="H983" t="str">
        <x:v>Skin Care Set</x:v>
      </x:c>
      <x:c r="I983" t="n">
        <x:v>1</x:v>
      </x:c>
      <x:c r="J983" s="4" t="n">
        <x:v>43.99</x:v>
      </x:c>
      <x:c r="K983" s="4" t="n">
        <x:v>18</x:v>
      </x:c>
      <x:c r="L983" s="5" t="n">
        <x:v>0.05</x:v>
      </x:c>
      <x:c r="M983" s="4" t="n">
        <x:f>ROUND(I983*J983*(1-L983),2)</x:f>
        <x:v>41.79</x:v>
      </x:c>
      <x:c r="N983" s="4" t="n">
        <x:f>ROUND(I983*K983,2)</x:f>
        <x:v>18</x:v>
      </x:c>
      <x:c r="O983" s="4" t="n">
        <x:f>ROUND(M983-N983,2)</x:f>
        <x:v>23.79</x:v>
      </x:c>
      <x:c r="P983" s="6" t="n">
        <x:v>3.4</x:v>
      </x:c>
      <x:c r="Q983" t="str">
        <x:v>No</x:v>
      </x:c>
    </x:row>
    <x:row r="984">
      <x:c r="A984" t="str">
        <x:v>ORD-00271</x:v>
      </x:c>
      <x:c r="B984" s="3" t="n">
        <x:v>45699.49202553241</x:v>
      </x:c>
      <x:c r="C984" t="str">
        <x:v>2025-02</x:v>
      </x:c>
      <x:c r="D984" t="str">
        <x:v>CUS-0122</x:v>
      </x:c>
      <x:c r="E984" t="str">
        <x:v>Wales</x:v>
      </x:c>
      <x:c r="F984" t="str">
        <x:v>Store</x:v>
      </x:c>
      <x:c r="G984" t="str">
        <x:v>Beauty</x:v>
      </x:c>
      <x:c r="H984" t="str">
        <x:v>Hair Dryer</x:v>
      </x:c>
      <x:c r="I984" t="n">
        <x:v>1</x:v>
      </x:c>
      <x:c r="J984" s="4" t="n">
        <x:v>62.77</x:v>
      </x:c>
      <x:c r="K984" s="4" t="n">
        <x:v>29</x:v>
      </x:c>
      <x:c r="L984" s="5" t="n">
        <x:v>0</x:v>
      </x:c>
      <x:c r="M984" s="4" t="n">
        <x:f>ROUND(I984*J984*(1-L984),2)</x:f>
        <x:v>62.77</x:v>
      </x:c>
      <x:c r="N984" s="4" t="n">
        <x:f>ROUND(I984*K984,2)</x:f>
        <x:v>29</x:v>
      </x:c>
      <x:c r="O984" s="4" t="n">
        <x:f>ROUND(M984-N984,2)</x:f>
        <x:v>33.77</x:v>
      </x:c>
      <x:c r="P984" s="6" t="n">
        <x:v>4.2</x:v>
      </x:c>
      <x:c r="Q984" t="str">
        <x:v>No</x:v>
      </x:c>
    </x:row>
    <x:row r="985">
      <x:c r="A985" t="str">
        <x:v>ORD-00947</x:v>
      </x:c>
      <x:c r="B985" s="3" t="n">
        <x:v>45700.98464164352</x:v>
      </x:c>
      <x:c r="C985" t="str">
        <x:v>2025-02</x:v>
      </x:c>
      <x:c r="D985" t="str">
        <x:v>CUS-0620</x:v>
      </x:c>
      <x:c r="E985" t="str">
        <x:v>North East</x:v>
      </x:c>
      <x:c r="F985" t="str">
        <x:v>Store</x:v>
      </x:c>
      <x:c r="G985" t="str">
        <x:v>Home</x:v>
      </x:c>
      <x:c r="H985" t="str">
        <x:v>Air Fryer</x:v>
      </x:c>
      <x:c r="I985" t="n">
        <x:v>3</x:v>
      </x:c>
      <x:c r="J985" s="4" t="n">
        <x:v>119.63</x:v>
      </x:c>
      <x:c r="K985" s="4" t="n">
        <x:v>69</x:v>
      </x:c>
      <x:c r="L985" s="5" t="n">
        <x:v>0</x:v>
      </x:c>
      <x:c r="M985" s="4" t="n">
        <x:f>ROUND(I985*J985*(1-L985),2)</x:f>
        <x:v>358.89</x:v>
      </x:c>
      <x:c r="N985" s="4" t="n">
        <x:f>ROUND(I985*K985,2)</x:f>
        <x:v>207</x:v>
      </x:c>
      <x:c r="O985" s="4" t="n">
        <x:f>ROUND(M985-N985,2)</x:f>
        <x:v>151.89</x:v>
      </x:c>
      <x:c r="P985" s="6" t="n">
        <x:v>3.6</x:v>
      </x:c>
      <x:c r="Q985" t="str">
        <x:v>No</x:v>
      </x:c>
    </x:row>
    <x:row r="986">
      <x:c r="A986" t="str">
        <x:v>ORD-01413</x:v>
      </x:c>
      <x:c r="B986" s="3" t="n">
        <x:v>45702.31312666667</x:v>
      </x:c>
      <x:c r="C986" t="str">
        <x:v>2025-02</x:v>
      </x:c>
      <x:c r="D986" t="str">
        <x:v>CUS-0083</x:v>
      </x:c>
      <x:c r="E986" t="str">
        <x:v>North West</x:v>
      </x:c>
      <x:c r="F986" t="str">
        <x:v>Online</x:v>
      </x:c>
      <x:c r="G986" t="str">
        <x:v>Sports</x:v>
      </x:c>
      <x:c r="H986" t="str">
        <x:v>Running Shoes</x:v>
      </x:c>
      <x:c r="I986" t="n">
        <x:v>5</x:v>
      </x:c>
      <x:c r="J986" s="4" t="n">
        <x:v>79.64</x:v>
      </x:c>
      <x:c r="K986" s="4" t="n">
        <x:v>38</x:v>
      </x:c>
      <x:c r="L986" s="5" t="n">
        <x:v>0</x:v>
      </x:c>
      <x:c r="M986" s="4" t="n">
        <x:f>ROUND(I986*J986*(1-L986),2)</x:f>
        <x:v>398.2</x:v>
      </x:c>
      <x:c r="N986" s="4" t="n">
        <x:f>ROUND(I986*K986,2)</x:f>
        <x:v>190</x:v>
      </x:c>
      <x:c r="O986" s="4" t="n">
        <x:f>ROUND(M986-N986,2)</x:f>
        <x:v>208.2</x:v>
      </x:c>
      <x:c r="P986" s="6" t="n">
        <x:v>4.7</x:v>
      </x:c>
      <x:c r="Q986" t="str">
        <x:v>Yes</x:v>
      </x:c>
    </x:row>
    <x:row r="987">
      <x:c r="A987" t="str">
        <x:v>ORD-00750</x:v>
      </x:c>
      <x:c r="B987" s="3" t="n">
        <x:v>45702.410718969906</x:v>
      </x:c>
      <x:c r="C987" t="str">
        <x:v>2025-02</x:v>
      </x:c>
      <x:c r="D987" t="str">
        <x:v>CUS-0349</x:v>
      </x:c>
      <x:c r="E987" t="str">
        <x:v>North East</x:v>
      </x:c>
      <x:c r="F987" t="str">
        <x:v>Store</x:v>
      </x:c>
      <x:c r="G987" t="str">
        <x:v>Books</x:v>
      </x:c>
      <x:c r="H987" t="str">
        <x:v>Business Intelligence Guide</x:v>
      </x:c>
      <x:c r="I987" t="n">
        <x:v>4</x:v>
      </x:c>
      <x:c r="J987" s="4" t="n">
        <x:v>35.81</x:v>
      </x:c>
      <x:c r="K987" s="4" t="n">
        <x:v>12</x:v>
      </x:c>
      <x:c r="L987" s="5" t="n">
        <x:v>0</x:v>
      </x:c>
      <x:c r="M987" s="4" t="n">
        <x:f>ROUND(I987*J987*(1-L987),2)</x:f>
        <x:v>143.24</x:v>
      </x:c>
      <x:c r="N987" s="4" t="n">
        <x:f>ROUND(I987*K987,2)</x:f>
        <x:v>48</x:v>
      </x:c>
      <x:c r="O987" s="4" t="n">
        <x:f>ROUND(M987-N987,2)</x:f>
        <x:v>95.24</x:v>
      </x:c>
      <x:c r="P987" s="6" t="n">
        <x:v>3.9</x:v>
      </x:c>
      <x:c r="Q987" t="str">
        <x:v>No</x:v>
      </x:c>
    </x:row>
    <x:row r="988">
      <x:c r="A988" t="str">
        <x:v>ORD-01331</x:v>
      </x:c>
      <x:c r="B988" s="3" t="n">
        <x:v>45702.49653193287</x:v>
      </x:c>
      <x:c r="C988" t="str">
        <x:v>2025-02</x:v>
      </x:c>
      <x:c r="D988" t="str">
        <x:v>CUS-0249</x:v>
      </x:c>
      <x:c r="E988" t="str">
        <x:v>Midlands</x:v>
      </x:c>
      <x:c r="F988" t="str">
        <x:v>Store</x:v>
      </x:c>
      <x:c r="G988" t="str">
        <x:v>Fashion</x:v>
      </x:c>
      <x:c r="H988" t="str">
        <x:v>Winter Jacket</x:v>
      </x:c>
      <x:c r="I988" t="n">
        <x:v>3</x:v>
      </x:c>
      <x:c r="J988" s="4" t="n">
        <x:v>96.25</x:v>
      </x:c>
      <x:c r="K988" s="4" t="n">
        <x:v>46</x:v>
      </x:c>
      <x:c r="L988" s="5" t="n">
        <x:v>0.2</x:v>
      </x:c>
      <x:c r="M988" s="4" t="n">
        <x:f>ROUND(I988*J988*(1-L988),2)</x:f>
        <x:v>231</x:v>
      </x:c>
      <x:c r="N988" s="4" t="n">
        <x:f>ROUND(I988*K988,2)</x:f>
        <x:v>138</x:v>
      </x:c>
      <x:c r="O988" s="4" t="n">
        <x:f>ROUND(M988-N988,2)</x:f>
        <x:v>93</x:v>
      </x:c>
      <x:c r="P988" s="6" t="n">
        <x:v>3.5</x:v>
      </x:c>
      <x:c r="Q988" t="str">
        <x:v>No</x:v>
      </x:c>
    </x:row>
    <x:row r="989">
      <x:c r="A989" t="str">
        <x:v>ORD-00035</x:v>
      </x:c>
      <x:c r="B989" s="3" t="n">
        <x:v>45702.66434993056</x:v>
      </x:c>
      <x:c r="C989" t="str">
        <x:v>2025-02</x:v>
      </x:c>
      <x:c r="D989" t="str">
        <x:v>CUS-0078</x:v>
      </x:c>
      <x:c r="E989" t="str">
        <x:v>North East</x:v>
      </x:c>
      <x:c r="F989" t="str">
        <x:v>Store</x:v>
      </x:c>
      <x:c r="G989" t="str">
        <x:v>Home</x:v>
      </x:c>
      <x:c r="H989" t="str">
        <x:v>Air Fryer</x:v>
      </x:c>
      <x:c r="I989" t="n">
        <x:v>4</x:v>
      </x:c>
      <x:c r="J989" s="4" t="n">
        <x:v>115.33</x:v>
      </x:c>
      <x:c r="K989" s="4" t="n">
        <x:v>69</x:v>
      </x:c>
      <x:c r="L989" s="5" t="n">
        <x:v>0.05</x:v>
      </x:c>
      <x:c r="M989" s="4" t="n">
        <x:f>ROUND(I989*J989*(1-L989),2)</x:f>
        <x:v>438.25</x:v>
      </x:c>
      <x:c r="N989" s="4" t="n">
        <x:f>ROUND(I989*K989,2)</x:f>
        <x:v>276</x:v>
      </x:c>
      <x:c r="O989" s="4" t="n">
        <x:f>ROUND(M989-N989,2)</x:f>
        <x:v>162.25</x:v>
      </x:c>
      <x:c r="P989" s="6" t="n">
        <x:v>3.8</x:v>
      </x:c>
      <x:c r="Q989" t="str">
        <x:v>No</x:v>
      </x:c>
    </x:row>
    <x:row r="990">
      <x:c r="A990" t="str">
        <x:v>ORD-00242</x:v>
      </x:c>
      <x:c r="B990" s="3" t="n">
        <x:v>45702.87622694444</x:v>
      </x:c>
      <x:c r="C990" t="str">
        <x:v>2025-02</x:v>
      </x:c>
      <x:c r="D990" t="str">
        <x:v>CUS-0082</x:v>
      </x:c>
      <x:c r="E990" t="str">
        <x:v>Scotland</x:v>
      </x:c>
      <x:c r="F990" t="str">
        <x:v>Store</x:v>
      </x:c>
      <x:c r="G990" t="str">
        <x:v>Sports</x:v>
      </x:c>
      <x:c r="H990" t="str">
        <x:v>Running Shoes</x:v>
      </x:c>
      <x:c r="I990" t="n">
        <x:v>2</x:v>
      </x:c>
      <x:c r="J990" s="4" t="n">
        <x:v>76.36</x:v>
      </x:c>
      <x:c r="K990" s="4" t="n">
        <x:v>38</x:v>
      </x:c>
      <x:c r="L990" s="5" t="n">
        <x:v>0.05</x:v>
      </x:c>
      <x:c r="M990" s="4" t="n">
        <x:f>ROUND(I990*J990*(1-L990),2)</x:f>
        <x:v>145.08</x:v>
      </x:c>
      <x:c r="N990" s="4" t="n">
        <x:f>ROUND(I990*K990,2)</x:f>
        <x:v>76</x:v>
      </x:c>
      <x:c r="O990" s="4" t="n">
        <x:f>ROUND(M990-N990,2)</x:f>
        <x:v>69.08</x:v>
      </x:c>
      <x:c r="P990" s="6" t="n">
        <x:v>3.5</x:v>
      </x:c>
      <x:c r="Q990" t="str">
        <x:v>No</x:v>
      </x:c>
    </x:row>
    <x:row r="991">
      <x:c r="A991" t="str">
        <x:v>ORD-00425</x:v>
      </x:c>
      <x:c r="B991" s="3" t="n">
        <x:v>45703.341846076386</x:v>
      </x:c>
      <x:c r="C991" t="str">
        <x:v>2025-02</x:v>
      </x:c>
      <x:c r="D991" t="str">
        <x:v>CUS-0372</x:v>
      </x:c>
      <x:c r="E991" t="str">
        <x:v>Wales</x:v>
      </x:c>
      <x:c r="F991" t="str">
        <x:v>Store</x:v>
      </x:c>
      <x:c r="G991" t="str">
        <x:v>Electronics</x:v>
      </x:c>
      <x:c r="H991" t="str">
        <x:v>Smart Watch</x:v>
      </x:c>
      <x:c r="I991" t="n">
        <x:v>2</x:v>
      </x:c>
      <x:c r="J991" s="4" t="n">
        <x:v>161.06</x:v>
      </x:c>
      <x:c r="K991" s="4" t="n">
        <x:v>92</x:v>
      </x:c>
      <x:c r="L991" s="5" t="n">
        <x:v>0.15</x:v>
      </x:c>
      <x:c r="M991" s="4" t="n">
        <x:f>ROUND(I991*J991*(1-L991),2)</x:f>
        <x:v>273.8</x:v>
      </x:c>
      <x:c r="N991" s="4" t="n">
        <x:f>ROUND(I991*K991,2)</x:f>
        <x:v>184</x:v>
      </x:c>
      <x:c r="O991" s="4" t="n">
        <x:f>ROUND(M991-N991,2)</x:f>
        <x:v>89.8</x:v>
      </x:c>
      <x:c r="P991" s="6" t="n">
        <x:v>4.8</x:v>
      </x:c>
      <x:c r="Q991" t="str">
        <x:v>Yes</x:v>
      </x:c>
    </x:row>
    <x:row r="992">
      <x:c r="A992" t="str">
        <x:v>ORD-00478</x:v>
      </x:c>
      <x:c r="B992" s="3" t="n">
        <x:v>45703.3863259375</x:v>
      </x:c>
      <x:c r="C992" t="str">
        <x:v>2025-02</x:v>
      </x:c>
      <x:c r="D992" t="str">
        <x:v>CUS-0080</x:v>
      </x:c>
      <x:c r="E992" t="str">
        <x:v>North East</x:v>
      </x:c>
      <x:c r="F992" t="str">
        <x:v>Online</x:v>
      </x:c>
      <x:c r="G992" t="str">
        <x:v>Sports</x:v>
      </x:c>
      <x:c r="H992" t="str">
        <x:v>Fitness Tracker</x:v>
      </x:c>
      <x:c r="I992" t="n">
        <x:v>2</x:v>
      </x:c>
      <x:c r="J992" s="4" t="n">
        <x:v>55.96</x:v>
      </x:c>
      <x:c r="K992" s="4" t="n">
        <x:v>27</x:v>
      </x:c>
      <x:c r="L992" s="5" t="n">
        <x:v>0.1</x:v>
      </x:c>
      <x:c r="M992" s="4" t="n">
        <x:f>ROUND(I992*J992*(1-L992),2)</x:f>
        <x:v>100.73</x:v>
      </x:c>
      <x:c r="N992" s="4" t="n">
        <x:f>ROUND(I992*K992,2)</x:f>
        <x:v>54</x:v>
      </x:c>
      <x:c r="O992" s="4" t="n">
        <x:f>ROUND(M992-N992,2)</x:f>
        <x:v>46.73</x:v>
      </x:c>
      <x:c r="P992" s="6" t="n">
        <x:v>4.6</x:v>
      </x:c>
      <x:c r="Q992" t="str">
        <x:v>No</x:v>
      </x:c>
    </x:row>
    <x:row r="993">
      <x:c r="A993" t="str">
        <x:v>ORD-01691</x:v>
      </x:c>
      <x:c r="B993" s="3" t="n">
        <x:v>45703.72361025463</x:v>
      </x:c>
      <x:c r="C993" t="str">
        <x:v>2025-02</x:v>
      </x:c>
      <x:c r="D993" t="str">
        <x:v>CUS-0480</x:v>
      </x:c>
      <x:c r="E993" t="str">
        <x:v>South West</x:v>
      </x:c>
      <x:c r="F993" t="str">
        <x:v>Marketplace</x:v>
      </x:c>
      <x:c r="G993" t="str">
        <x:v>Fashion</x:v>
      </x:c>
      <x:c r="H993" t="str">
        <x:v>Winter Jacket</x:v>
      </x:c>
      <x:c r="I993" t="n">
        <x:v>3</x:v>
      </x:c>
      <x:c r="J993" s="4" t="n">
        <x:v>96.12</x:v>
      </x:c>
      <x:c r="K993" s="4" t="n">
        <x:v>46</x:v>
      </x:c>
      <x:c r="L993" s="5" t="n">
        <x:v>0</x:v>
      </x:c>
      <x:c r="M993" s="4" t="n">
        <x:f>ROUND(I993*J993*(1-L993),2)</x:f>
        <x:v>288.36</x:v>
      </x:c>
      <x:c r="N993" s="4" t="n">
        <x:f>ROUND(I993*K993,2)</x:f>
        <x:v>138</x:v>
      </x:c>
      <x:c r="O993" s="4" t="n">
        <x:f>ROUND(M993-N993,2)</x:f>
        <x:v>150.36</x:v>
      </x:c>
      <x:c r="P993" s="6" t="n">
        <x:v>3.8</x:v>
      </x:c>
      <x:c r="Q993" t="str">
        <x:v>No</x:v>
      </x:c>
    </x:row>
    <x:row r="994">
      <x:c r="A994" t="str">
        <x:v>ORD-00966</x:v>
      </x:c>
      <x:c r="B994" s="3" t="n">
        <x:v>45704.79669599537</x:v>
      </x:c>
      <x:c r="C994" t="str">
        <x:v>2025-02</x:v>
      </x:c>
      <x:c r="D994" t="str">
        <x:v>CUS-0518</x:v>
      </x:c>
      <x:c r="E994" t="str">
        <x:v>Wales</x:v>
      </x:c>
      <x:c r="F994" t="str">
        <x:v>Marketplace</x:v>
      </x:c>
      <x:c r="G994" t="str">
        <x:v>Sports</x:v>
      </x:c>
      <x:c r="H994" t="str">
        <x:v>Running Shoes</x:v>
      </x:c>
      <x:c r="I994" t="n">
        <x:v>2</x:v>
      </x:c>
      <x:c r="J994" s="4" t="n">
        <x:v>76.88</x:v>
      </x:c>
      <x:c r="K994" s="4" t="n">
        <x:v>38</x:v>
      </x:c>
      <x:c r="L994" s="5" t="n">
        <x:v>0</x:v>
      </x:c>
      <x:c r="M994" s="4" t="n">
        <x:f>ROUND(I994*J994*(1-L994),2)</x:f>
        <x:v>153.76</x:v>
      </x:c>
      <x:c r="N994" s="4" t="n">
        <x:f>ROUND(I994*K994,2)</x:f>
        <x:v>76</x:v>
      </x:c>
      <x:c r="O994" s="4" t="n">
        <x:f>ROUND(M994-N994,2)</x:f>
        <x:v>77.76</x:v>
      </x:c>
      <x:c r="P994" s="6" t="n">
        <x:v>3.3</x:v>
      </x:c>
      <x:c r="Q994" t="str">
        <x:v>No</x:v>
      </x:c>
    </x:row>
    <x:row r="995">
      <x:c r="A995" t="str">
        <x:v>ORD-00788</x:v>
      </x:c>
      <x:c r="B995" s="3" t="n">
        <x:v>45705.608628738424</x:v>
      </x:c>
      <x:c r="C995" t="str">
        <x:v>2025-02</x:v>
      </x:c>
      <x:c r="D995" t="str">
        <x:v>CUS-0223</x:v>
      </x:c>
      <x:c r="E995" t="str">
        <x:v>Scotland</x:v>
      </x:c>
      <x:c r="F995" t="str">
        <x:v>Online</x:v>
      </x:c>
      <x:c r="G995" t="str">
        <x:v>Fashion</x:v>
      </x:c>
      <x:c r="H995" t="str">
        <x:v>Classic Trainers</x:v>
      </x:c>
      <x:c r="I995" t="n">
        <x:v>1</x:v>
      </x:c>
      <x:c r="J995" s="4" t="n">
        <x:v>66.71</x:v>
      </x:c>
      <x:c r="K995" s="4" t="n">
        <x:v>32</x:v>
      </x:c>
      <x:c r="L995" s="5" t="n">
        <x:v>0</x:v>
      </x:c>
      <x:c r="M995" s="4" t="n">
        <x:f>ROUND(I995*J995*(1-L995),2)</x:f>
        <x:v>66.71</x:v>
      </x:c>
      <x:c r="N995" s="4" t="n">
        <x:f>ROUND(I995*K995,2)</x:f>
        <x:v>32</x:v>
      </x:c>
      <x:c r="O995" s="4" t="n">
        <x:f>ROUND(M995-N995,2)</x:f>
        <x:v>34.71</x:v>
      </x:c>
      <x:c r="P995" s="6" t="n">
        <x:v>4.5</x:v>
      </x:c>
      <x:c r="Q995" t="str">
        <x:v>No</x:v>
      </x:c>
    </x:row>
    <x:row r="996">
      <x:c r="A996" t="str">
        <x:v>ORD-00309</x:v>
      </x:c>
      <x:c r="B996" s="3" t="n">
        <x:v>45706.163552962964</x:v>
      </x:c>
      <x:c r="C996" t="str">
        <x:v>2025-02</x:v>
      </x:c>
      <x:c r="D996" t="str">
        <x:v>CUS-0467</x:v>
      </x:c>
      <x:c r="E996" t="str">
        <x:v>North East</x:v>
      </x:c>
      <x:c r="F996" t="str">
        <x:v>Store</x:v>
      </x:c>
      <x:c r="G996" t="str">
        <x:v>Electronics</x:v>
      </x:c>
      <x:c r="H996" t="str">
        <x:v>Wireless Headphones</x:v>
      </x:c>
      <x:c r="I996" t="n">
        <x:v>2</x:v>
      </x:c>
      <x:c r="J996" s="4" t="n">
        <x:v>94.37</x:v>
      </x:c>
      <x:c r="K996" s="4" t="n">
        <x:v>48</x:v>
      </x:c>
      <x:c r="L996" s="5" t="n">
        <x:v>0</x:v>
      </x:c>
      <x:c r="M996" s="4" t="n">
        <x:f>ROUND(I996*J996*(1-L996),2)</x:f>
        <x:v>188.74</x:v>
      </x:c>
      <x:c r="N996" s="4" t="n">
        <x:f>ROUND(I996*K996,2)</x:f>
        <x:v>96</x:v>
      </x:c>
      <x:c r="O996" s="4" t="n">
        <x:f>ROUND(M996-N996,2)</x:f>
        <x:v>92.74</x:v>
      </x:c>
      <x:c r="P996" s="6" t="n">
        <x:v>3.9</x:v>
      </x:c>
      <x:c r="Q996" t="str">
        <x:v>No</x:v>
      </x:c>
    </x:row>
    <x:row r="997">
      <x:c r="A997" t="str">
        <x:v>ORD-01682</x:v>
      </x:c>
      <x:c r="B997" s="3" t="n">
        <x:v>45706.77846987268</x:v>
      </x:c>
      <x:c r="C997" t="str">
        <x:v>2025-02</x:v>
      </x:c>
      <x:c r="D997" t="str">
        <x:v>CUS-0264</x:v>
      </x:c>
      <x:c r="E997" t="str">
        <x:v>North East</x:v>
      </x:c>
      <x:c r="F997" t="str">
        <x:v>Store</x:v>
      </x:c>
      <x:c r="G997" t="str">
        <x:v>Electronics</x:v>
      </x:c>
      <x:c r="H997" t="str">
        <x:v>Bluetooth Speaker</x:v>
      </x:c>
      <x:c r="I997" t="n">
        <x:v>1</x:v>
      </x:c>
      <x:c r="J997" s="4" t="n">
        <x:v>65.21</x:v>
      </x:c>
      <x:c r="K997" s="4" t="n">
        <x:v>34</x:v>
      </x:c>
      <x:c r="L997" s="5" t="n">
        <x:v>0.05</x:v>
      </x:c>
      <x:c r="M997" s="4" t="n">
        <x:f>ROUND(I997*J997*(1-L997),2)</x:f>
        <x:v>61.95</x:v>
      </x:c>
      <x:c r="N997" s="4" t="n">
        <x:f>ROUND(I997*K997,2)</x:f>
        <x:v>34</x:v>
      </x:c>
      <x:c r="O997" s="4" t="n">
        <x:f>ROUND(M997-N997,2)</x:f>
        <x:v>27.95</x:v>
      </x:c>
      <x:c r="P997" s="6" t="n">
        <x:v>3.8</x:v>
      </x:c>
      <x:c r="Q997" t="str">
        <x:v>No</x:v>
      </x:c>
    </x:row>
    <x:row r="998">
      <x:c r="A998" t="str">
        <x:v>ORD-01054</x:v>
      </x:c>
      <x:c r="B998" s="3" t="n">
        <x:v>45706.7894605787</x:v>
      </x:c>
      <x:c r="C998" t="str">
        <x:v>2025-02</x:v>
      </x:c>
      <x:c r="D998" t="str">
        <x:v>CUS-0002</x:v>
      </x:c>
      <x:c r="E998" t="str">
        <x:v>Midlands</x:v>
      </x:c>
      <x:c r="F998" t="str">
        <x:v>Online</x:v>
      </x:c>
      <x:c r="G998" t="str">
        <x:v>Home</x:v>
      </x:c>
      <x:c r="H998" t="str">
        <x:v>Coffee Maker</x:v>
      </x:c>
      <x:c r="I998" t="n">
        <x:v>3</x:v>
      </x:c>
      <x:c r="J998" s="4" t="n">
        <x:v>72.44</x:v>
      </x:c>
      <x:c r="K998" s="4" t="n">
        <x:v>41</x:v>
      </x:c>
      <x:c r="L998" s="5" t="n">
        <x:v>0.05</x:v>
      </x:c>
      <x:c r="M998" s="4" t="n">
        <x:f>ROUND(I998*J998*(1-L998),2)</x:f>
        <x:v>206.45</x:v>
      </x:c>
      <x:c r="N998" s="4" t="n">
        <x:f>ROUND(I998*K998,2)</x:f>
        <x:v>123</x:v>
      </x:c>
      <x:c r="O998" s="4" t="n">
        <x:f>ROUND(M998-N998,2)</x:f>
        <x:v>83.45</x:v>
      </x:c>
      <x:c r="P998" s="6" t="n">
        <x:v>4.6</x:v>
      </x:c>
      <x:c r="Q998" t="str">
        <x:v>No</x:v>
      </x:c>
    </x:row>
    <x:row r="999">
      <x:c r="A999" t="str">
        <x:v>ORD-00256</x:v>
      </x:c>
      <x:c r="B999" s="3" t="n">
        <x:v>45706.839341631945</x:v>
      </x:c>
      <x:c r="C999" t="str">
        <x:v>2025-02</x:v>
      </x:c>
      <x:c r="D999" t="str">
        <x:v>CUS-0017</x:v>
      </x:c>
      <x:c r="E999" t="str">
        <x:v>North East</x:v>
      </x:c>
      <x:c r="F999" t="str">
        <x:v>Marketplace</x:v>
      </x:c>
      <x:c r="G999" t="str">
        <x:v>Books</x:v>
      </x:c>
      <x:c r="H999" t="str">
        <x:v>Business Intelligence Guide</x:v>
      </x:c>
      <x:c r="I999" t="n">
        <x:v>5</x:v>
      </x:c>
      <x:c r="J999" s="4" t="n">
        <x:v>35.25</x:v>
      </x:c>
      <x:c r="K999" s="4" t="n">
        <x:v>12</x:v>
      </x:c>
      <x:c r="L999" s="5" t="n">
        <x:v>0.2</x:v>
      </x:c>
      <x:c r="M999" s="4" t="n">
        <x:f>ROUND(I999*J999*(1-L999),2)</x:f>
        <x:v>141</x:v>
      </x:c>
      <x:c r="N999" s="4" t="n">
        <x:f>ROUND(I999*K999,2)</x:f>
        <x:v>60</x:v>
      </x:c>
      <x:c r="O999" s="4" t="n">
        <x:f>ROUND(M999-N999,2)</x:f>
        <x:v>81</x:v>
      </x:c>
      <x:c r="P999" s="6" t="n">
        <x:v>4.3</x:v>
      </x:c>
      <x:c r="Q999" t="str">
        <x:v>No</x:v>
      </x:c>
    </x:row>
    <x:row r="1000">
      <x:c r="A1000" t="str">
        <x:v>ORD-01685</x:v>
      </x:c>
      <x:c r="B1000" s="3" t="n">
        <x:v>45707.92927783565</x:v>
      </x:c>
      <x:c r="C1000" t="str">
        <x:v>2025-02</x:v>
      </x:c>
      <x:c r="D1000" t="str">
        <x:v>CUS-0063</x:v>
      </x:c>
      <x:c r="E1000" t="str">
        <x:v>Wales</x:v>
      </x:c>
      <x:c r="F1000" t="str">
        <x:v>Online</x:v>
      </x:c>
      <x:c r="G1000" t="str">
        <x:v>Home</x:v>
      </x:c>
      <x:c r="H1000" t="str">
        <x:v>Coffee Maker</x:v>
      </x:c>
      <x:c r="I1000" t="n">
        <x:v>1</x:v>
      </x:c>
      <x:c r="J1000" s="4" t="n">
        <x:v>77.77</x:v>
      </x:c>
      <x:c r="K1000" s="4" t="n">
        <x:v>41</x:v>
      </x:c>
      <x:c r="L1000" s="5" t="n">
        <x:v>0.2</x:v>
      </x:c>
      <x:c r="M1000" s="4" t="n">
        <x:f>ROUND(I1000*J1000*(1-L1000),2)</x:f>
        <x:v>62.22</x:v>
      </x:c>
      <x:c r="N1000" s="4" t="n">
        <x:f>ROUND(I1000*K1000,2)</x:f>
        <x:v>41</x:v>
      </x:c>
      <x:c r="O1000" s="4" t="n">
        <x:f>ROUND(M1000-N1000,2)</x:f>
        <x:v>21.22</x:v>
      </x:c>
      <x:c r="P1000" s="6" t="n">
        <x:v>4.6</x:v>
      </x:c>
      <x:c r="Q1000" t="str">
        <x:v>No</x:v>
      </x:c>
    </x:row>
    <x:row r="1001">
      <x:c r="A1001" t="str">
        <x:v>ORD-00640</x:v>
      </x:c>
      <x:c r="B1001" s="3" t="n">
        <x:v>45708.38151584491</x:v>
      </x:c>
      <x:c r="C1001" t="str">
        <x:v>2025-02</x:v>
      </x:c>
      <x:c r="D1001" t="str">
        <x:v>CUS-0549</x:v>
      </x:c>
      <x:c r="E1001" t="str">
        <x:v>Wales</x:v>
      </x:c>
      <x:c r="F1001" t="str">
        <x:v>Marketplace</x:v>
      </x:c>
      <x:c r="G1001" t="str">
        <x:v>Sports</x:v>
      </x:c>
      <x:c r="H1001" t="str">
        <x:v>Running Shoes</x:v>
      </x:c>
      <x:c r="I1001" t="n">
        <x:v>1</x:v>
      </x:c>
      <x:c r="J1001" s="4" t="n">
        <x:v>77.32</x:v>
      </x:c>
      <x:c r="K1001" s="4" t="n">
        <x:v>38</x:v>
      </x:c>
      <x:c r="L1001" s="5" t="n">
        <x:v>0.05</x:v>
      </x:c>
      <x:c r="M1001" s="4" t="n">
        <x:f>ROUND(I1001*J1001*(1-L1001),2)</x:f>
        <x:v>73.45</x:v>
      </x:c>
      <x:c r="N1001" s="4" t="n">
        <x:f>ROUND(I1001*K1001,2)</x:f>
        <x:v>38</x:v>
      </x:c>
      <x:c r="O1001" s="4" t="n">
        <x:f>ROUND(M1001-N1001,2)</x:f>
        <x:v>35.45</x:v>
      </x:c>
      <x:c r="P1001" s="6" t="n">
        <x:v>4.8</x:v>
      </x:c>
      <x:c r="Q1001" t="str">
        <x:v>No</x:v>
      </x:c>
    </x:row>
    <x:row r="1002">
      <x:c r="A1002" t="str">
        <x:v>ORD-00933</x:v>
      </x:c>
      <x:c r="B1002" s="3" t="n">
        <x:v>45708.388458981484</x:v>
      </x:c>
      <x:c r="C1002" t="str">
        <x:v>2025-02</x:v>
      </x:c>
      <x:c r="D1002" t="str">
        <x:v>CUS-0464</x:v>
      </x:c>
      <x:c r="E1002" t="str">
        <x:v>South West</x:v>
      </x:c>
      <x:c r="F1002" t="str">
        <x:v>Marketplace</x:v>
      </x:c>
      <x:c r="G1002" t="str">
        <x:v>Home</x:v>
      </x:c>
      <x:c r="H1002" t="str">
        <x:v>Coffee Maker</x:v>
      </x:c>
      <x:c r="I1002" t="n">
        <x:v>2</x:v>
      </x:c>
      <x:c r="J1002" s="4" t="n">
        <x:v>73.38</x:v>
      </x:c>
      <x:c r="K1002" s="4" t="n">
        <x:v>41</x:v>
      </x:c>
      <x:c r="L1002" s="5" t="n">
        <x:v>0.15</x:v>
      </x:c>
      <x:c r="M1002" s="4" t="n">
        <x:f>ROUND(I1002*J1002*(1-L1002),2)</x:f>
        <x:v>124.75</x:v>
      </x:c>
      <x:c r="N1002" s="4" t="n">
        <x:f>ROUND(I1002*K1002,2)</x:f>
        <x:v>82</x:v>
      </x:c>
      <x:c r="O1002" s="4" t="n">
        <x:f>ROUND(M1002-N1002,2)</x:f>
        <x:v>42.75</x:v>
      </x:c>
      <x:c r="P1002" s="6" t="n">
        <x:v>5</x:v>
      </x:c>
      <x:c r="Q1002" t="str">
        <x:v>No</x:v>
      </x:c>
    </x:row>
    <x:row r="1003">
      <x:c r="A1003" t="str">
        <x:v>ORD-00146</x:v>
      </x:c>
      <x:c r="B1003" s="3" t="n">
        <x:v>45708.63257725695</x:v>
      </x:c>
      <x:c r="C1003" t="str">
        <x:v>2025-02</x:v>
      </x:c>
      <x:c r="D1003" t="str">
        <x:v>CUS-0019</x:v>
      </x:c>
      <x:c r="E1003" t="str">
        <x:v>Midlands</x:v>
      </x:c>
      <x:c r="F1003" t="str">
        <x:v>Online</x:v>
      </x:c>
      <x:c r="G1003" t="str">
        <x:v>Beauty</x:v>
      </x:c>
      <x:c r="H1003" t="str">
        <x:v>Hair Dryer</x:v>
      </x:c>
      <x:c r="I1003" t="n">
        <x:v>4</x:v>
      </x:c>
      <x:c r="J1003" s="4" t="n">
        <x:v>62.56</x:v>
      </x:c>
      <x:c r="K1003" s="4" t="n">
        <x:v>29</x:v>
      </x:c>
      <x:c r="L1003" s="5" t="n">
        <x:v>0.05</x:v>
      </x:c>
      <x:c r="M1003" s="4" t="n">
        <x:f>ROUND(I1003*J1003*(1-L1003),2)</x:f>
        <x:v>237.73</x:v>
      </x:c>
      <x:c r="N1003" s="4" t="n">
        <x:f>ROUND(I1003*K1003,2)</x:f>
        <x:v>116</x:v>
      </x:c>
      <x:c r="O1003" s="4" t="n">
        <x:f>ROUND(M1003-N1003,2)</x:f>
        <x:v>121.73</x:v>
      </x:c>
      <x:c r="P1003" s="6" t="n">
        <x:v>3.4</x:v>
      </x:c>
      <x:c r="Q1003" t="str">
        <x:v>No</x:v>
      </x:c>
    </x:row>
    <x:row r="1004">
      <x:c r="A1004" t="str">
        <x:v>ORD-00571</x:v>
      </x:c>
      <x:c r="B1004" s="3" t="n">
        <x:v>45708.87228048611</x:v>
      </x:c>
      <x:c r="C1004" t="str">
        <x:v>2025-02</x:v>
      </x:c>
      <x:c r="D1004" t="str">
        <x:v>CUS-0431</x:v>
      </x:c>
      <x:c r="E1004" t="str">
        <x:v>North West</x:v>
      </x:c>
      <x:c r="F1004" t="str">
        <x:v>Online</x:v>
      </x:c>
      <x:c r="G1004" t="str">
        <x:v>Sports</x:v>
      </x:c>
      <x:c r="H1004" t="str">
        <x:v>Running Shoes</x:v>
      </x:c>
      <x:c r="I1004" t="n">
        <x:v>1</x:v>
      </x:c>
      <x:c r="J1004" s="4" t="n">
        <x:v>76.27</x:v>
      </x:c>
      <x:c r="K1004" s="4" t="n">
        <x:v>38</x:v>
      </x:c>
      <x:c r="L1004" s="5" t="n">
        <x:v>0</x:v>
      </x:c>
      <x:c r="M1004" s="4" t="n">
        <x:f>ROUND(I1004*J1004*(1-L1004),2)</x:f>
        <x:v>76.27</x:v>
      </x:c>
      <x:c r="N1004" s="4" t="n">
        <x:f>ROUND(I1004*K1004,2)</x:f>
        <x:v>38</x:v>
      </x:c>
      <x:c r="O1004" s="4" t="n">
        <x:f>ROUND(M1004-N1004,2)</x:f>
        <x:v>38.27</x:v>
      </x:c>
      <x:c r="P1004" s="6" t="n">
        <x:v>3.5</x:v>
      </x:c>
      <x:c r="Q1004" t="str">
        <x:v>No</x:v>
      </x:c>
    </x:row>
    <x:row r="1005">
      <x:c r="A1005" t="str">
        <x:v>ORD-01126</x:v>
      </x:c>
      <x:c r="B1005" s="3" t="n">
        <x:v>45709.20149548611</x:v>
      </x:c>
      <x:c r="C1005" t="str">
        <x:v>2025-02</x:v>
      </x:c>
      <x:c r="D1005" t="str">
        <x:v>CUS-0264</x:v>
      </x:c>
      <x:c r="E1005" t="str">
        <x:v>North East</x:v>
      </x:c>
      <x:c r="F1005" t="str">
        <x:v>Marketplace</x:v>
      </x:c>
      <x:c r="G1005" t="str">
        <x:v>Electronics</x:v>
      </x:c>
      <x:c r="H1005" t="str">
        <x:v>Smart Watch</x:v>
      </x:c>
      <x:c r="I1005" t="n">
        <x:v>1</x:v>
      </x:c>
      <x:c r="J1005" s="4" t="n">
        <x:v>161.42</x:v>
      </x:c>
      <x:c r="K1005" s="4" t="n">
        <x:v>92</x:v>
      </x:c>
      <x:c r="L1005" s="5" t="n">
        <x:v>0</x:v>
      </x:c>
      <x:c r="M1005" s="4" t="n">
        <x:f>ROUND(I1005*J1005*(1-L1005),2)</x:f>
        <x:v>161.42</x:v>
      </x:c>
      <x:c r="N1005" s="4" t="n">
        <x:f>ROUND(I1005*K1005,2)</x:f>
        <x:v>92</x:v>
      </x:c>
      <x:c r="O1005" s="4" t="n">
        <x:f>ROUND(M1005-N1005,2)</x:f>
        <x:v>69.42</x:v>
      </x:c>
      <x:c r="P1005" s="6" t="n">
        <x:v>4.4</x:v>
      </x:c>
      <x:c r="Q1005" t="str">
        <x:v>No</x:v>
      </x:c>
    </x:row>
    <x:row r="1006">
      <x:c r="A1006" t="str">
        <x:v>ORD-00422</x:v>
      </x:c>
      <x:c r="B1006" s="3" t="n">
        <x:v>45709.89883078704</x:v>
      </x:c>
      <x:c r="C1006" t="str">
        <x:v>2025-02</x:v>
      </x:c>
      <x:c r="D1006" t="str">
        <x:v>CUS-0165</x:v>
      </x:c>
      <x:c r="E1006" t="str">
        <x:v>Scotland</x:v>
      </x:c>
      <x:c r="F1006" t="str">
        <x:v>Online</x:v>
      </x:c>
      <x:c r="G1006" t="str">
        <x:v>Electronics</x:v>
      </x:c>
      <x:c r="H1006" t="str">
        <x:v>Bluetooth Speaker</x:v>
      </x:c>
      <x:c r="I1006" t="n">
        <x:v>1</x:v>
      </x:c>
      <x:c r="J1006" s="4" t="n">
        <x:v>66.57</x:v>
      </x:c>
      <x:c r="K1006" s="4" t="n">
        <x:v>34</x:v>
      </x:c>
      <x:c r="L1006" s="5" t="n">
        <x:v>0.05</x:v>
      </x:c>
      <x:c r="M1006" s="4" t="n">
        <x:f>ROUND(I1006*J1006*(1-L1006),2)</x:f>
        <x:v>63.24</x:v>
      </x:c>
      <x:c r="N1006" s="4" t="n">
        <x:f>ROUND(I1006*K1006,2)</x:f>
        <x:v>34</x:v>
      </x:c>
      <x:c r="O1006" s="4" t="n">
        <x:f>ROUND(M1006-N1006,2)</x:f>
        <x:v>29.24</x:v>
      </x:c>
      <x:c r="P1006" s="6" t="n">
        <x:v>4.6</x:v>
      </x:c>
      <x:c r="Q1006" t="str">
        <x:v>No</x:v>
      </x:c>
    </x:row>
    <x:row r="1007">
      <x:c r="A1007" t="str">
        <x:v>ORD-01098</x:v>
      </x:c>
      <x:c r="B1007" s="3" t="n">
        <x:v>45710.444018993054</x:v>
      </x:c>
      <x:c r="C1007" t="str">
        <x:v>2025-02</x:v>
      </x:c>
      <x:c r="D1007" t="str">
        <x:v>CUS-0617</x:v>
      </x:c>
      <x:c r="E1007" t="str">
        <x:v>North West</x:v>
      </x:c>
      <x:c r="F1007" t="str">
        <x:v>Marketplace</x:v>
      </x:c>
      <x:c r="G1007" t="str">
        <x:v>Home</x:v>
      </x:c>
      <x:c r="H1007" t="str">
        <x:v>Air Fryer</x:v>
      </x:c>
      <x:c r="I1007" t="n">
        <x:v>3</x:v>
      </x:c>
      <x:c r="J1007" s="4" t="n">
        <x:v>117.91</x:v>
      </x:c>
      <x:c r="K1007" s="4" t="n">
        <x:v>69</x:v>
      </x:c>
      <x:c r="L1007" s="5" t="n">
        <x:v>0</x:v>
      </x:c>
      <x:c r="M1007" s="4" t="n">
        <x:f>ROUND(I1007*J1007*(1-L1007),2)</x:f>
        <x:v>353.73</x:v>
      </x:c>
      <x:c r="N1007" s="4" t="n">
        <x:f>ROUND(I1007*K1007,2)</x:f>
        <x:v>207</x:v>
      </x:c>
      <x:c r="O1007" s="4" t="n">
        <x:f>ROUND(M1007-N1007,2)</x:f>
        <x:v>146.73</x:v>
      </x:c>
      <x:c r="P1007" s="6" t="n">
        <x:v>5</x:v>
      </x:c>
      <x:c r="Q1007" t="str">
        <x:v>No</x:v>
      </x:c>
    </x:row>
    <x:row r="1008">
      <x:c r="A1008" t="str">
        <x:v>ORD-00646</x:v>
      </x:c>
      <x:c r="B1008" s="3" t="n">
        <x:v>45710.7990705787</x:v>
      </x:c>
      <x:c r="C1008" t="str">
        <x:v>2025-02</x:v>
      </x:c>
      <x:c r="D1008" t="str">
        <x:v>CUS-0413</x:v>
      </x:c>
      <x:c r="E1008" t="str">
        <x:v>South West</x:v>
      </x:c>
      <x:c r="F1008" t="str">
        <x:v>Store</x:v>
      </x:c>
      <x:c r="G1008" t="str">
        <x:v>Beauty</x:v>
      </x:c>
      <x:c r="H1008" t="str">
        <x:v>Hair Dryer</x:v>
      </x:c>
      <x:c r="I1008" t="n">
        <x:v>2</x:v>
      </x:c>
      <x:c r="J1008" s="4" t="n">
        <x:v>61.42</x:v>
      </x:c>
      <x:c r="K1008" s="4" t="n">
        <x:v>29</x:v>
      </x:c>
      <x:c r="L1008" s="5" t="n">
        <x:v>0.2</x:v>
      </x:c>
      <x:c r="M1008" s="4" t="n">
        <x:f>ROUND(I1008*J1008*(1-L1008),2)</x:f>
        <x:v>98.27</x:v>
      </x:c>
      <x:c r="N1008" s="4" t="n">
        <x:f>ROUND(I1008*K1008,2)</x:f>
        <x:v>58</x:v>
      </x:c>
      <x:c r="O1008" s="4" t="n">
        <x:f>ROUND(M1008-N1008,2)</x:f>
        <x:v>40.27</x:v>
      </x:c>
      <x:c r="P1008" s="6" t="n">
        <x:v>5</x:v>
      </x:c>
      <x:c r="Q1008" t="str">
        <x:v>No</x:v>
      </x:c>
    </x:row>
    <x:row r="1009">
      <x:c r="A1009" t="str">
        <x:v>ORD-00887</x:v>
      </x:c>
      <x:c r="B1009" s="3" t="n">
        <x:v>45712.15250496528</x:v>
      </x:c>
      <x:c r="C1009" t="str">
        <x:v>2025-02</x:v>
      </x:c>
      <x:c r="D1009" t="str">
        <x:v>CUS-0450</x:v>
      </x:c>
      <x:c r="E1009" t="str">
        <x:v>South East</x:v>
      </x:c>
      <x:c r="F1009" t="str">
        <x:v>Marketplace</x:v>
      </x:c>
      <x:c r="G1009" t="str">
        <x:v>Books</x:v>
      </x:c>
      <x:c r="H1009" t="str">
        <x:v>Data Analytics Handbook</x:v>
      </x:c>
      <x:c r="I1009" t="n">
        <x:v>2</x:v>
      </x:c>
      <x:c r="J1009" s="4" t="n">
        <x:v>39.42</x:v>
      </x:c>
      <x:c r="K1009" s="4" t="n">
        <x:v>14</x:v>
      </x:c>
      <x:c r="L1009" s="5" t="n">
        <x:v>0.05</x:v>
      </x:c>
      <x:c r="M1009" s="4" t="n">
        <x:f>ROUND(I1009*J1009*(1-L1009),2)</x:f>
        <x:v>74.9</x:v>
      </x:c>
      <x:c r="N1009" s="4" t="n">
        <x:f>ROUND(I1009*K1009,2)</x:f>
        <x:v>28</x:v>
      </x:c>
      <x:c r="O1009" s="4" t="n">
        <x:f>ROUND(M1009-N1009,2)</x:f>
        <x:v>46.9</x:v>
      </x:c>
      <x:c r="P1009" s="6" t="n">
        <x:v>3.3</x:v>
      </x:c>
      <x:c r="Q1009" t="str">
        <x:v>No</x:v>
      </x:c>
    </x:row>
    <x:row r="1010">
      <x:c r="A1010" t="str">
        <x:v>ORD-01568</x:v>
      </x:c>
      <x:c r="B1010" s="3" t="n">
        <x:v>45712.33632054398</x:v>
      </x:c>
      <x:c r="C1010" t="str">
        <x:v>2025-02</x:v>
      </x:c>
      <x:c r="D1010" t="str">
        <x:v>CUS-0321</x:v>
      </x:c>
      <x:c r="E1010" t="str">
        <x:v>London</x:v>
      </x:c>
      <x:c r="F1010" t="str">
        <x:v>Marketplace</x:v>
      </x:c>
      <x:c r="G1010" t="str">
        <x:v>Electronics</x:v>
      </x:c>
      <x:c r="H1010" t="str">
        <x:v>Wireless Headphones</x:v>
      </x:c>
      <x:c r="I1010" t="n">
        <x:v>4</x:v>
      </x:c>
      <x:c r="J1010" s="4" t="n">
        <x:v>93.51</x:v>
      </x:c>
      <x:c r="K1010" s="4" t="n">
        <x:v>48</x:v>
      </x:c>
      <x:c r="L1010" s="5" t="n">
        <x:v>0</x:v>
      </x:c>
      <x:c r="M1010" s="4" t="n">
        <x:f>ROUND(I1010*J1010*(1-L1010),2)</x:f>
        <x:v>374.04</x:v>
      </x:c>
      <x:c r="N1010" s="4" t="n">
        <x:f>ROUND(I1010*K1010,2)</x:f>
        <x:v>192</x:v>
      </x:c>
      <x:c r="O1010" s="4" t="n">
        <x:f>ROUND(M1010-N1010,2)</x:f>
        <x:v>182.04</x:v>
      </x:c>
      <x:c r="P1010" s="6" t="n">
        <x:v>3.8</x:v>
      </x:c>
      <x:c r="Q1010" t="str">
        <x:v>No</x:v>
      </x:c>
    </x:row>
    <x:row r="1011">
      <x:c r="A1011" t="str">
        <x:v>ORD-00618</x:v>
      </x:c>
      <x:c r="B1011" s="3" t="n">
        <x:v>45712.35800892361</x:v>
      </x:c>
      <x:c r="C1011" t="str">
        <x:v>2025-02</x:v>
      </x:c>
      <x:c r="D1011" t="str">
        <x:v>CUS-0352</x:v>
      </x:c>
      <x:c r="E1011" t="str">
        <x:v>Midlands</x:v>
      </x:c>
      <x:c r="F1011" t="str">
        <x:v>Online</x:v>
      </x:c>
      <x:c r="G1011" t="str">
        <x:v>Sports</x:v>
      </x:c>
      <x:c r="H1011" t="str">
        <x:v>Yoga Mat</x:v>
      </x:c>
      <x:c r="I1011" t="n">
        <x:v>5</x:v>
      </x:c>
      <x:c r="J1011" s="4" t="n">
        <x:v>29.47</x:v>
      </x:c>
      <x:c r="K1011" s="4" t="n">
        <x:v>12</x:v>
      </x:c>
      <x:c r="L1011" s="5" t="n">
        <x:v>0.1</x:v>
      </x:c>
      <x:c r="M1011" s="4" t="n">
        <x:f>ROUND(I1011*J1011*(1-L1011),2)</x:f>
        <x:v>132.62</x:v>
      </x:c>
      <x:c r="N1011" s="4" t="n">
        <x:f>ROUND(I1011*K1011,2)</x:f>
        <x:v>60</x:v>
      </x:c>
      <x:c r="O1011" s="4" t="n">
        <x:f>ROUND(M1011-N1011,2)</x:f>
        <x:v>72.62</x:v>
      </x:c>
      <x:c r="P1011" s="6" t="n">
        <x:v>3.4</x:v>
      </x:c>
      <x:c r="Q1011" t="str">
        <x:v>No</x:v>
      </x:c>
    </x:row>
    <x:row r="1012">
      <x:c r="A1012" t="str">
        <x:v>ORD-00132</x:v>
      </x:c>
      <x:c r="B1012" s="3" t="n">
        <x:v>45712.79274550926</x:v>
      </x:c>
      <x:c r="C1012" t="str">
        <x:v>2025-02</x:v>
      </x:c>
      <x:c r="D1012" t="str">
        <x:v>CUS-0290</x:v>
      </x:c>
      <x:c r="E1012" t="str">
        <x:v>North West</x:v>
      </x:c>
      <x:c r="F1012" t="str">
        <x:v>Store</x:v>
      </x:c>
      <x:c r="G1012" t="str">
        <x:v>Fashion</x:v>
      </x:c>
      <x:c r="H1012" t="str">
        <x:v>Classic Trainers</x:v>
      </x:c>
      <x:c r="I1012" t="n">
        <x:v>2</x:v>
      </x:c>
      <x:c r="J1012" s="4" t="n">
        <x:v>66.82</x:v>
      </x:c>
      <x:c r="K1012" s="4" t="n">
        <x:v>32</x:v>
      </x:c>
      <x:c r="L1012" s="5" t="n">
        <x:v>0.15</x:v>
      </x:c>
      <x:c r="M1012" s="4" t="n">
        <x:f>ROUND(I1012*J1012*(1-L1012),2)</x:f>
        <x:v>113.59</x:v>
      </x:c>
      <x:c r="N1012" s="4" t="n">
        <x:f>ROUND(I1012*K1012,2)</x:f>
        <x:v>64</x:v>
      </x:c>
      <x:c r="O1012" s="4" t="n">
        <x:f>ROUND(M1012-N1012,2)</x:f>
        <x:v>49.59</x:v>
      </x:c>
      <x:c r="P1012" s="6" t="n">
        <x:v>3.5</x:v>
      </x:c>
      <x:c r="Q1012" t="str">
        <x:v>No</x:v>
      </x:c>
    </x:row>
    <x:row r="1013">
      <x:c r="A1013" t="str">
        <x:v>ORD-00177</x:v>
      </x:c>
      <x:c r="B1013" s="3" t="n">
        <x:v>45713.08132971065</x:v>
      </x:c>
      <x:c r="C1013" t="str">
        <x:v>2025-02</x:v>
      </x:c>
      <x:c r="D1013" t="str">
        <x:v>CUS-0579</x:v>
      </x:c>
      <x:c r="E1013" t="str">
        <x:v>Scotland</x:v>
      </x:c>
      <x:c r="F1013" t="str">
        <x:v>Marketplace</x:v>
      </x:c>
      <x:c r="G1013" t="str">
        <x:v>Beauty</x:v>
      </x:c>
      <x:c r="H1013" t="str">
        <x:v>Skin Care Set</x:v>
      </x:c>
      <x:c r="I1013" t="n">
        <x:v>2</x:v>
      </x:c>
      <x:c r="J1013" s="4" t="n">
        <x:v>46.18</x:v>
      </x:c>
      <x:c r="K1013" s="4" t="n">
        <x:v>18</x:v>
      </x:c>
      <x:c r="L1013" s="5" t="n">
        <x:v>0</x:v>
      </x:c>
      <x:c r="M1013" s="4" t="n">
        <x:f>ROUND(I1013*J1013*(1-L1013),2)</x:f>
        <x:v>92.36</x:v>
      </x:c>
      <x:c r="N1013" s="4" t="n">
        <x:f>ROUND(I1013*K1013,2)</x:f>
        <x:v>36</x:v>
      </x:c>
      <x:c r="O1013" s="4" t="n">
        <x:f>ROUND(M1013-N1013,2)</x:f>
        <x:v>56.36</x:v>
      </x:c>
      <x:c r="P1013" s="6" t="n">
        <x:v>4.3</x:v>
      </x:c>
      <x:c r="Q1013" t="str">
        <x:v>No</x:v>
      </x:c>
    </x:row>
    <x:row r="1014">
      <x:c r="A1014" t="str">
        <x:v>ORD-00277</x:v>
      </x:c>
      <x:c r="B1014" s="3" t="n">
        <x:v>45713.32664828704</x:v>
      </x:c>
      <x:c r="C1014" t="str">
        <x:v>2025-02</x:v>
      </x:c>
      <x:c r="D1014" t="str">
        <x:v>CUS-0124</x:v>
      </x:c>
      <x:c r="E1014" t="str">
        <x:v>South East</x:v>
      </x:c>
      <x:c r="F1014" t="str">
        <x:v>Store</x:v>
      </x:c>
      <x:c r="G1014" t="str">
        <x:v>Electronics</x:v>
      </x:c>
      <x:c r="H1014" t="str">
        <x:v>Bluetooth Speaker</x:v>
      </x:c>
      <x:c r="I1014" t="n">
        <x:v>2</x:v>
      </x:c>
      <x:c r="J1014" s="4" t="n">
        <x:v>67.06</x:v>
      </x:c>
      <x:c r="K1014" s="4" t="n">
        <x:v>34</x:v>
      </x:c>
      <x:c r="L1014" s="5" t="n">
        <x:v>0</x:v>
      </x:c>
      <x:c r="M1014" s="4" t="n">
        <x:f>ROUND(I1014*J1014*(1-L1014),2)</x:f>
        <x:v>134.12</x:v>
      </x:c>
      <x:c r="N1014" s="4" t="n">
        <x:f>ROUND(I1014*K1014,2)</x:f>
        <x:v>68</x:v>
      </x:c>
      <x:c r="O1014" s="4" t="n">
        <x:f>ROUND(M1014-N1014,2)</x:f>
        <x:v>66.12</x:v>
      </x:c>
      <x:c r="P1014" s="6" t="n">
        <x:v>3.8</x:v>
      </x:c>
      <x:c r="Q1014" t="str">
        <x:v>No</x:v>
      </x:c>
    </x:row>
    <x:row r="1015">
      <x:c r="A1015" t="str">
        <x:v>ORD-01626</x:v>
      </x:c>
      <x:c r="B1015" s="3" t="n">
        <x:v>45713.368337974534</x:v>
      </x:c>
      <x:c r="C1015" t="str">
        <x:v>2025-02</x:v>
      </x:c>
      <x:c r="D1015" t="str">
        <x:v>CUS-0512</x:v>
      </x:c>
      <x:c r="E1015" t="str">
        <x:v>Midlands</x:v>
      </x:c>
      <x:c r="F1015" t="str">
        <x:v>Online</x:v>
      </x:c>
      <x:c r="G1015" t="str">
        <x:v>Home</x:v>
      </x:c>
      <x:c r="H1015" t="str">
        <x:v>Coffee Maker</x:v>
      </x:c>
      <x:c r="I1015" t="n">
        <x:v>2</x:v>
      </x:c>
      <x:c r="J1015" s="4" t="n">
        <x:v>73.24</x:v>
      </x:c>
      <x:c r="K1015" s="4" t="n">
        <x:v>41</x:v>
      </x:c>
      <x:c r="L1015" s="5" t="n">
        <x:v>0.15</x:v>
      </x:c>
      <x:c r="M1015" s="4" t="n">
        <x:f>ROUND(I1015*J1015*(1-L1015),2)</x:f>
        <x:v>124.51</x:v>
      </x:c>
      <x:c r="N1015" s="4" t="n">
        <x:f>ROUND(I1015*K1015,2)</x:f>
        <x:v>82</x:v>
      </x:c>
      <x:c r="O1015" s="4" t="n">
        <x:f>ROUND(M1015-N1015,2)</x:f>
        <x:v>42.51</x:v>
      </x:c>
      <x:c r="P1015" s="6" t="n">
        <x:v>4.1</x:v>
      </x:c>
      <x:c r="Q1015" t="str">
        <x:v>No</x:v>
      </x:c>
    </x:row>
    <x:row r="1016">
      <x:c r="A1016" t="str">
        <x:v>ORD-01760</x:v>
      </x:c>
      <x:c r="B1016" s="3" t="n">
        <x:v>45713.430436215276</x:v>
      </x:c>
      <x:c r="C1016" t="str">
        <x:v>2025-02</x:v>
      </x:c>
      <x:c r="D1016" t="str">
        <x:v>CUS-0491</x:v>
      </x:c>
      <x:c r="E1016" t="str">
        <x:v>Midlands</x:v>
      </x:c>
      <x:c r="F1016" t="str">
        <x:v>Store</x:v>
      </x:c>
      <x:c r="G1016" t="str">
        <x:v>Beauty</x:v>
      </x:c>
      <x:c r="H1016" t="str">
        <x:v>Skin Care Set</x:v>
      </x:c>
      <x:c r="I1016" t="n">
        <x:v>3</x:v>
      </x:c>
      <x:c r="J1016" s="4" t="n">
        <x:v>44.62</x:v>
      </x:c>
      <x:c r="K1016" s="4" t="n">
        <x:v>18</x:v>
      </x:c>
      <x:c r="L1016" s="5" t="n">
        <x:v>0</x:v>
      </x:c>
      <x:c r="M1016" s="4" t="n">
        <x:f>ROUND(I1016*J1016*(1-L1016),2)</x:f>
        <x:v>133.86</x:v>
      </x:c>
      <x:c r="N1016" s="4" t="n">
        <x:f>ROUND(I1016*K1016,2)</x:f>
        <x:v>54</x:v>
      </x:c>
      <x:c r="O1016" s="4" t="n">
        <x:f>ROUND(M1016-N1016,2)</x:f>
        <x:v>79.86</x:v>
      </x:c>
      <x:c r="P1016" s="6" t="n">
        <x:v>5</x:v>
      </x:c>
      <x:c r="Q1016" t="str">
        <x:v>No</x:v>
      </x:c>
    </x:row>
    <x:row r="1017">
      <x:c r="A1017" t="str">
        <x:v>ORD-01781</x:v>
      </x:c>
      <x:c r="B1017" s="3" t="n">
        <x:v>45713.96146859954</x:v>
      </x:c>
      <x:c r="C1017" t="str">
        <x:v>2025-02</x:v>
      </x:c>
      <x:c r="D1017" t="str">
        <x:v>CUS-0106</x:v>
      </x:c>
      <x:c r="E1017" t="str">
        <x:v>Wales</x:v>
      </x:c>
      <x:c r="F1017" t="str">
        <x:v>Store</x:v>
      </x:c>
      <x:c r="G1017" t="str">
        <x:v>Fashion</x:v>
      </x:c>
      <x:c r="H1017" t="str">
        <x:v>Backpack</x:v>
      </x:c>
      <x:c r="I1017" t="n">
        <x:v>4</x:v>
      </x:c>
      <x:c r="J1017" s="4" t="n">
        <x:v>47.77</x:v>
      </x:c>
      <x:c r="K1017" s="4" t="n">
        <x:v>21</x:v>
      </x:c>
      <x:c r="L1017" s="5" t="n">
        <x:v>0</x:v>
      </x:c>
      <x:c r="M1017" s="4" t="n">
        <x:f>ROUND(I1017*J1017*(1-L1017),2)</x:f>
        <x:v>191.08</x:v>
      </x:c>
      <x:c r="N1017" s="4" t="n">
        <x:f>ROUND(I1017*K1017,2)</x:f>
        <x:v>84</x:v>
      </x:c>
      <x:c r="O1017" s="4" t="n">
        <x:f>ROUND(M1017-N1017,2)</x:f>
        <x:v>107.08</x:v>
      </x:c>
      <x:c r="P1017" s="6" t="n">
        <x:v>4.7</x:v>
      </x:c>
      <x:c r="Q1017" t="str">
        <x:v>No</x:v>
      </x:c>
    </x:row>
    <x:row r="1018">
      <x:c r="A1018" t="str">
        <x:v>ORD-01193</x:v>
      </x:c>
      <x:c r="B1018" s="3" t="n">
        <x:v>45713.99160703704</x:v>
      </x:c>
      <x:c r="C1018" t="str">
        <x:v>2025-02</x:v>
      </x:c>
      <x:c r="D1018" t="str">
        <x:v>CUS-0408</x:v>
      </x:c>
      <x:c r="E1018" t="str">
        <x:v>North West</x:v>
      </x:c>
      <x:c r="F1018" t="str">
        <x:v>Marketplace</x:v>
      </x:c>
      <x:c r="G1018" t="str">
        <x:v>Home</x:v>
      </x:c>
      <x:c r="H1018" t="str">
        <x:v>Desk Lamp</x:v>
      </x:c>
      <x:c r="I1018" t="n">
        <x:v>2</x:v>
      </x:c>
      <x:c r="J1018" s="4" t="n">
        <x:v>36.04</x:v>
      </x:c>
      <x:c r="K1018" s="4" t="n">
        <x:v>17</x:v>
      </x:c>
      <x:c r="L1018" s="5" t="n">
        <x:v>0.1</x:v>
      </x:c>
      <x:c r="M1018" s="4" t="n">
        <x:f>ROUND(I1018*J1018*(1-L1018),2)</x:f>
        <x:v>64.87</x:v>
      </x:c>
      <x:c r="N1018" s="4" t="n">
        <x:f>ROUND(I1018*K1018,2)</x:f>
        <x:v>34</x:v>
      </x:c>
      <x:c r="O1018" s="4" t="n">
        <x:f>ROUND(M1018-N1018,2)</x:f>
        <x:v>30.87</x:v>
      </x:c>
      <x:c r="P1018" s="6" t="n">
        <x:v>4.3</x:v>
      </x:c>
      <x:c r="Q1018" t="str">
        <x:v>No</x:v>
      </x:c>
    </x:row>
    <x:row r="1019">
      <x:c r="A1019" t="str">
        <x:v>ORD-00953</x:v>
      </x:c>
      <x:c r="B1019" s="3" t="n">
        <x:v>45714.516577407405</x:v>
      </x:c>
      <x:c r="C1019" t="str">
        <x:v>2025-02</x:v>
      </x:c>
      <x:c r="D1019" t="str">
        <x:v>CUS-0416</x:v>
      </x:c>
      <x:c r="E1019" t="str">
        <x:v>North West</x:v>
      </x:c>
      <x:c r="F1019" t="str">
        <x:v>Marketplace</x:v>
      </x:c>
      <x:c r="G1019" t="str">
        <x:v>Sports</x:v>
      </x:c>
      <x:c r="H1019" t="str">
        <x:v>Running Shoes</x:v>
      </x:c>
      <x:c r="I1019" t="n">
        <x:v>3</x:v>
      </x:c>
      <x:c r="J1019" s="4" t="n">
        <x:v>77.68</x:v>
      </x:c>
      <x:c r="K1019" s="4" t="n">
        <x:v>38</x:v>
      </x:c>
      <x:c r="L1019" s="5" t="n">
        <x:v>0.2</x:v>
      </x:c>
      <x:c r="M1019" s="4" t="n">
        <x:f>ROUND(I1019*J1019*(1-L1019),2)</x:f>
        <x:v>186.43</x:v>
      </x:c>
      <x:c r="N1019" s="4" t="n">
        <x:f>ROUND(I1019*K1019,2)</x:f>
        <x:v>114</x:v>
      </x:c>
      <x:c r="O1019" s="4" t="n">
        <x:f>ROUND(M1019-N1019,2)</x:f>
        <x:v>72.43</x:v>
      </x:c>
      <x:c r="P1019" s="6" t="n">
        <x:v>3.7</x:v>
      </x:c>
      <x:c r="Q1019" t="str">
        <x:v>Yes</x:v>
      </x:c>
    </x:row>
    <x:row r="1020">
      <x:c r="A1020" t="str">
        <x:v>ORD-01589</x:v>
      </x:c>
      <x:c r="B1020" s="3" t="n">
        <x:v>45715.23315425926</x:v>
      </x:c>
      <x:c r="C1020" t="str">
        <x:v>2025-02</x:v>
      </x:c>
      <x:c r="D1020" t="str">
        <x:v>CUS-0217</x:v>
      </x:c>
      <x:c r="E1020" t="str">
        <x:v>South West</x:v>
      </x:c>
      <x:c r="F1020" t="str">
        <x:v>Marketplace</x:v>
      </x:c>
      <x:c r="G1020" t="str">
        <x:v>Home</x:v>
      </x:c>
      <x:c r="H1020" t="str">
        <x:v>Air Fryer</x:v>
      </x:c>
      <x:c r="I1020" t="n">
        <x:v>4</x:v>
      </x:c>
      <x:c r="J1020" s="4" t="n">
        <x:v>124.96</x:v>
      </x:c>
      <x:c r="K1020" s="4" t="n">
        <x:v>69</x:v>
      </x:c>
      <x:c r="L1020" s="5" t="n">
        <x:v>0.05</x:v>
      </x:c>
      <x:c r="M1020" s="4" t="n">
        <x:f>ROUND(I1020*J1020*(1-L1020),2)</x:f>
        <x:v>474.85</x:v>
      </x:c>
      <x:c r="N1020" s="4" t="n">
        <x:f>ROUND(I1020*K1020,2)</x:f>
        <x:v>276</x:v>
      </x:c>
      <x:c r="O1020" s="4" t="n">
        <x:f>ROUND(M1020-N1020,2)</x:f>
        <x:v>198.85</x:v>
      </x:c>
      <x:c r="P1020" s="6" t="n">
        <x:v>4.5</x:v>
      </x:c>
      <x:c r="Q1020" t="str">
        <x:v>No</x:v>
      </x:c>
    </x:row>
    <x:row r="1021">
      <x:c r="A1021" t="str">
        <x:v>ORD-01669</x:v>
      </x:c>
      <x:c r="B1021" s="3" t="n">
        <x:v>45715.47314677083</x:v>
      </x:c>
      <x:c r="C1021" t="str">
        <x:v>2025-02</x:v>
      </x:c>
      <x:c r="D1021" t="str">
        <x:v>CUS-0397</x:v>
      </x:c>
      <x:c r="E1021" t="str">
        <x:v>South East</x:v>
      </x:c>
      <x:c r="F1021" t="str">
        <x:v>Marketplace</x:v>
      </x:c>
      <x:c r="G1021" t="str">
        <x:v>Sports</x:v>
      </x:c>
      <x:c r="H1021" t="str">
        <x:v>Fitness Tracker</x:v>
      </x:c>
      <x:c r="I1021" t="n">
        <x:v>3</x:v>
      </x:c>
      <x:c r="J1021" s="4" t="n">
        <x:v>52.37</x:v>
      </x:c>
      <x:c r="K1021" s="4" t="n">
        <x:v>27</x:v>
      </x:c>
      <x:c r="L1021" s="5" t="n">
        <x:v>0.05</x:v>
      </x:c>
      <x:c r="M1021" s="4" t="n">
        <x:f>ROUND(I1021*J1021*(1-L1021),2)</x:f>
        <x:v>149.25</x:v>
      </x:c>
      <x:c r="N1021" s="4" t="n">
        <x:f>ROUND(I1021*K1021,2)</x:f>
        <x:v>81</x:v>
      </x:c>
      <x:c r="O1021" s="4" t="n">
        <x:f>ROUND(M1021-N1021,2)</x:f>
        <x:v>68.25</x:v>
      </x:c>
      <x:c r="P1021" s="6" t="n">
        <x:v>5</x:v>
      </x:c>
      <x:c r="Q1021" t="str">
        <x:v>No</x:v>
      </x:c>
    </x:row>
    <x:row r="1022">
      <x:c r="A1022" t="str">
        <x:v>ORD-00297</x:v>
      </x:c>
      <x:c r="B1022" s="3" t="n">
        <x:v>45715.713309259256</x:v>
      </x:c>
      <x:c r="C1022" t="str">
        <x:v>2025-02</x:v>
      </x:c>
      <x:c r="D1022" t="str">
        <x:v>CUS-0599</x:v>
      </x:c>
      <x:c r="E1022" t="str">
        <x:v>Wales</x:v>
      </x:c>
      <x:c r="F1022" t="str">
        <x:v>Online</x:v>
      </x:c>
      <x:c r="G1022" t="str">
        <x:v>Electronics</x:v>
      </x:c>
      <x:c r="H1022" t="str">
        <x:v>Bluetooth Speaker</x:v>
      </x:c>
      <x:c r="I1022" t="n">
        <x:v>5</x:v>
      </x:c>
      <x:c r="J1022" s="4" t="n">
        <x:v>62.7</x:v>
      </x:c>
      <x:c r="K1022" s="4" t="n">
        <x:v>34</x:v>
      </x:c>
      <x:c r="L1022" s="5" t="n">
        <x:v>0</x:v>
      </x:c>
      <x:c r="M1022" s="4" t="n">
        <x:f>ROUND(I1022*J1022*(1-L1022),2)</x:f>
        <x:v>313.5</x:v>
      </x:c>
      <x:c r="N1022" s="4" t="n">
        <x:f>ROUND(I1022*K1022,2)</x:f>
        <x:v>170</x:v>
      </x:c>
      <x:c r="O1022" s="4" t="n">
        <x:f>ROUND(M1022-N1022,2)</x:f>
        <x:v>143.5</x:v>
      </x:c>
      <x:c r="P1022" s="6" t="n">
        <x:v>4.8</x:v>
      </x:c>
      <x:c r="Q1022" t="str">
        <x:v>No</x:v>
      </x:c>
    </x:row>
    <x:row r="1023">
      <x:c r="A1023" t="str">
        <x:v>ORD-01707</x:v>
      </x:c>
      <x:c r="B1023" s="3" t="n">
        <x:v>45715.92547148148</x:v>
      </x:c>
      <x:c r="C1023" t="str">
        <x:v>2025-02</x:v>
      </x:c>
      <x:c r="D1023" t="str">
        <x:v>CUS-0156</x:v>
      </x:c>
      <x:c r="E1023" t="str">
        <x:v>Wales</x:v>
      </x:c>
      <x:c r="F1023" t="str">
        <x:v>Marketplace</x:v>
      </x:c>
      <x:c r="G1023" t="str">
        <x:v>Books</x:v>
      </x:c>
      <x:c r="H1023" t="str">
        <x:v>Data Analytics Handbook</x:v>
      </x:c>
      <x:c r="I1023" t="n">
        <x:v>4</x:v>
      </x:c>
      <x:c r="J1023" s="4" t="n">
        <x:v>38.78</x:v>
      </x:c>
      <x:c r="K1023" s="4" t="n">
        <x:v>14</x:v>
      </x:c>
      <x:c r="L1023" s="5" t="n">
        <x:v>0</x:v>
      </x:c>
      <x:c r="M1023" s="4" t="n">
        <x:f>ROUND(I1023*J1023*(1-L1023),2)</x:f>
        <x:v>155.12</x:v>
      </x:c>
      <x:c r="N1023" s="4" t="n">
        <x:f>ROUND(I1023*K1023,2)</x:f>
        <x:v>56</x:v>
      </x:c>
      <x:c r="O1023" s="4" t="n">
        <x:f>ROUND(M1023-N1023,2)</x:f>
        <x:v>99.12</x:v>
      </x:c>
      <x:c r="P1023" s="6" t="n">
        <x:v>5</x:v>
      </x:c>
      <x:c r="Q1023" t="str">
        <x:v>No</x:v>
      </x:c>
    </x:row>
    <x:row r="1024">
      <x:c r="A1024" t="str">
        <x:v>ORD-00234</x:v>
      </x:c>
      <x:c r="B1024" s="3" t="n">
        <x:v>45715.94878644676</x:v>
      </x:c>
      <x:c r="C1024" t="str">
        <x:v>2025-02</x:v>
      </x:c>
      <x:c r="D1024" t="str">
        <x:v>CUS-0202</x:v>
      </x:c>
      <x:c r="E1024" t="str">
        <x:v>North East</x:v>
      </x:c>
      <x:c r="F1024" t="str">
        <x:v>Store</x:v>
      </x:c>
      <x:c r="G1024" t="str">
        <x:v>Electronics</x:v>
      </x:c>
      <x:c r="H1024" t="str">
        <x:v>Smart Watch</x:v>
      </x:c>
      <x:c r="I1024" t="n">
        <x:v>5</x:v>
      </x:c>
      <x:c r="J1024" s="4" t="n">
        <x:v>166.07</x:v>
      </x:c>
      <x:c r="K1024" s="4" t="n">
        <x:v>92</x:v>
      </x:c>
      <x:c r="L1024" s="5" t="n">
        <x:v>0.05</x:v>
      </x:c>
      <x:c r="M1024" s="4" t="n">
        <x:f>ROUND(I1024*J1024*(1-L1024),2)</x:f>
        <x:v>788.83</x:v>
      </x:c>
      <x:c r="N1024" s="4" t="n">
        <x:f>ROUND(I1024*K1024,2)</x:f>
        <x:v>460</x:v>
      </x:c>
      <x:c r="O1024" s="4" t="n">
        <x:f>ROUND(M1024-N1024,2)</x:f>
        <x:v>328.83</x:v>
      </x:c>
      <x:c r="P1024" s="6" t="n">
        <x:v>4.9</x:v>
      </x:c>
      <x:c r="Q1024" t="str">
        <x:v>No</x:v>
      </x:c>
    </x:row>
    <x:row r="1025">
      <x:c r="A1025" t="str">
        <x:v>ORD-00419</x:v>
      </x:c>
      <x:c r="B1025" s="3" t="n">
        <x:v>45716.30095030092</x:v>
      </x:c>
      <x:c r="C1025" t="str">
        <x:v>2025-02</x:v>
      </x:c>
      <x:c r="D1025" t="str">
        <x:v>CUS-0420</x:v>
      </x:c>
      <x:c r="E1025" t="str">
        <x:v>Midlands</x:v>
      </x:c>
      <x:c r="F1025" t="str">
        <x:v>Marketplace</x:v>
      </x:c>
      <x:c r="G1025" t="str">
        <x:v>Electronics</x:v>
      </x:c>
      <x:c r="H1025" t="str">
        <x:v>Wireless Headphones</x:v>
      </x:c>
      <x:c r="I1025" t="n">
        <x:v>4</x:v>
      </x:c>
      <x:c r="J1025" s="4" t="n">
        <x:v>88.94</x:v>
      </x:c>
      <x:c r="K1025" s="4" t="n">
        <x:v>48</x:v>
      </x:c>
      <x:c r="L1025" s="5" t="n">
        <x:v>0.2</x:v>
      </x:c>
      <x:c r="M1025" s="4" t="n">
        <x:f>ROUND(I1025*J1025*(1-L1025),2)</x:f>
        <x:v>284.61</x:v>
      </x:c>
      <x:c r="N1025" s="4" t="n">
        <x:f>ROUND(I1025*K1025,2)</x:f>
        <x:v>192</x:v>
      </x:c>
      <x:c r="O1025" s="4" t="n">
        <x:f>ROUND(M1025-N1025,2)</x:f>
        <x:v>92.61</x:v>
      </x:c>
      <x:c r="P1025" s="6" t="n">
        <x:v>4.4</x:v>
      </x:c>
      <x:c r="Q1025" t="str">
        <x:v>No</x:v>
      </x:c>
    </x:row>
    <x:row r="1026">
      <x:c r="A1026" t="str">
        <x:v>ORD-01570</x:v>
      </x:c>
      <x:c r="B1026" s="3" t="n">
        <x:v>45718.55557289352</x:v>
      </x:c>
      <x:c r="C1026" t="str">
        <x:v>2025-03</x:v>
      </x:c>
      <x:c r="D1026" t="str">
        <x:v>CUS-0201</x:v>
      </x:c>
      <x:c r="E1026" t="str">
        <x:v>North East</x:v>
      </x:c>
      <x:c r="F1026" t="str">
        <x:v>Online</x:v>
      </x:c>
      <x:c r="G1026" t="str">
        <x:v>Books</x:v>
      </x:c>
      <x:c r="H1026" t="str">
        <x:v>Business Intelligence Guide</x:v>
      </x:c>
      <x:c r="I1026" t="n">
        <x:v>1</x:v>
      </x:c>
      <x:c r="J1026" s="4" t="n">
        <x:v>35.16</x:v>
      </x:c>
      <x:c r="K1026" s="4" t="n">
        <x:v>12</x:v>
      </x:c>
      <x:c r="L1026" s="5" t="n">
        <x:v>0.05</x:v>
      </x:c>
      <x:c r="M1026" s="4" t="n">
        <x:f>ROUND(I1026*J1026*(1-L1026),2)</x:f>
        <x:v>33.4</x:v>
      </x:c>
      <x:c r="N1026" s="4" t="n">
        <x:f>ROUND(I1026*K1026,2)</x:f>
        <x:v>12</x:v>
      </x:c>
      <x:c r="O1026" s="4" t="n">
        <x:f>ROUND(M1026-N1026,2)</x:f>
        <x:v>21.4</x:v>
      </x:c>
      <x:c r="P1026" s="6" t="n">
        <x:v>4.8</x:v>
      </x:c>
      <x:c r="Q1026" t="str">
        <x:v>No</x:v>
      </x:c>
    </x:row>
    <x:row r="1027">
      <x:c r="A1027" t="str">
        <x:v>ORD-01528</x:v>
      </x:c>
      <x:c r="B1027" s="3" t="n">
        <x:v>45718.55778313657</x:v>
      </x:c>
      <x:c r="C1027" t="str">
        <x:v>2025-03</x:v>
      </x:c>
      <x:c r="D1027" t="str">
        <x:v>CUS-0329</x:v>
      </x:c>
      <x:c r="E1027" t="str">
        <x:v>Wales</x:v>
      </x:c>
      <x:c r="F1027" t="str">
        <x:v>Store</x:v>
      </x:c>
      <x:c r="G1027" t="str">
        <x:v>Electronics</x:v>
      </x:c>
      <x:c r="H1027" t="str">
        <x:v>Wireless Headphones</x:v>
      </x:c>
      <x:c r="I1027" t="n">
        <x:v>4</x:v>
      </x:c>
      <x:c r="J1027" s="4" t="n">
        <x:v>93.68</x:v>
      </x:c>
      <x:c r="K1027" s="4" t="n">
        <x:v>48</x:v>
      </x:c>
      <x:c r="L1027" s="5" t="n">
        <x:v>0.05</x:v>
      </x:c>
      <x:c r="M1027" s="4" t="n">
        <x:f>ROUND(I1027*J1027*(1-L1027),2)</x:f>
        <x:v>355.98</x:v>
      </x:c>
      <x:c r="N1027" s="4" t="n">
        <x:f>ROUND(I1027*K1027,2)</x:f>
        <x:v>192</x:v>
      </x:c>
      <x:c r="O1027" s="4" t="n">
        <x:f>ROUND(M1027-N1027,2)</x:f>
        <x:v>163.98</x:v>
      </x:c>
      <x:c r="P1027" s="6" t="n">
        <x:v>4.3</x:v>
      </x:c>
      <x:c r="Q1027" t="str">
        <x:v>Yes</x:v>
      </x:c>
    </x:row>
    <x:row r="1028">
      <x:c r="A1028" t="str">
        <x:v>ORD-01371</x:v>
      </x:c>
      <x:c r="B1028" s="3" t="n">
        <x:v>45718.5617559375</x:v>
      </x:c>
      <x:c r="C1028" t="str">
        <x:v>2025-03</x:v>
      </x:c>
      <x:c r="D1028" t="str">
        <x:v>CUS-0366</x:v>
      </x:c>
      <x:c r="E1028" t="str">
        <x:v>Scotland</x:v>
      </x:c>
      <x:c r="F1028" t="str">
        <x:v>Online</x:v>
      </x:c>
      <x:c r="G1028" t="str">
        <x:v>Electronics</x:v>
      </x:c>
      <x:c r="H1028" t="str">
        <x:v>Smart Watch</x:v>
      </x:c>
      <x:c r="I1028" t="n">
        <x:v>4</x:v>
      </x:c>
      <x:c r="J1028" s="4" t="n">
        <x:v>154.08</x:v>
      </x:c>
      <x:c r="K1028" s="4" t="n">
        <x:v>92</x:v>
      </x:c>
      <x:c r="L1028" s="5" t="n">
        <x:v>0.15</x:v>
      </x:c>
      <x:c r="M1028" s="4" t="n">
        <x:f>ROUND(I1028*J1028*(1-L1028),2)</x:f>
        <x:v>523.87</x:v>
      </x:c>
      <x:c r="N1028" s="4" t="n">
        <x:f>ROUND(I1028*K1028,2)</x:f>
        <x:v>368</x:v>
      </x:c>
      <x:c r="O1028" s="4" t="n">
        <x:f>ROUND(M1028-N1028,2)</x:f>
        <x:v>155.87</x:v>
      </x:c>
      <x:c r="P1028" s="6" t="n">
        <x:v>4.2</x:v>
      </x:c>
      <x:c r="Q1028" t="str">
        <x:v>Yes</x:v>
      </x:c>
    </x:row>
    <x:row r="1029">
      <x:c r="A1029" t="str">
        <x:v>ORD-00455</x:v>
      </x:c>
      <x:c r="B1029" s="3" t="n">
        <x:v>45718.72975748843</x:v>
      </x:c>
      <x:c r="C1029" t="str">
        <x:v>2025-03</x:v>
      </x:c>
      <x:c r="D1029" t="str">
        <x:v>CUS-0517</x:v>
      </x:c>
      <x:c r="E1029" t="str">
        <x:v>North East</x:v>
      </x:c>
      <x:c r="F1029" t="str">
        <x:v>Store</x:v>
      </x:c>
      <x:c r="G1029" t="str">
        <x:v>Electronics</x:v>
      </x:c>
      <x:c r="H1029" t="str">
        <x:v>Bluetooth Speaker</x:v>
      </x:c>
      <x:c r="I1029" t="n">
        <x:v>1</x:v>
      </x:c>
      <x:c r="J1029" s="4" t="n">
        <x:v>65.56</x:v>
      </x:c>
      <x:c r="K1029" s="4" t="n">
        <x:v>34</x:v>
      </x:c>
      <x:c r="L1029" s="5" t="n">
        <x:v>0.2</x:v>
      </x:c>
      <x:c r="M1029" s="4" t="n">
        <x:f>ROUND(I1029*J1029*(1-L1029),2)</x:f>
        <x:v>52.45</x:v>
      </x:c>
      <x:c r="N1029" s="4" t="n">
        <x:f>ROUND(I1029*K1029,2)</x:f>
        <x:v>34</x:v>
      </x:c>
      <x:c r="O1029" s="4" t="n">
        <x:f>ROUND(M1029-N1029,2)</x:f>
        <x:v>18.45</x:v>
      </x:c>
      <x:c r="P1029" s="6" t="n">
        <x:v>4.1</x:v>
      </x:c>
      <x:c r="Q1029" t="str">
        <x:v>No</x:v>
      </x:c>
    </x:row>
    <x:row r="1030">
      <x:c r="A1030" t="str">
        <x:v>ORD-00664</x:v>
      </x:c>
      <x:c r="B1030" s="3" t="n">
        <x:v>45720.10666899305</x:v>
      </x:c>
      <x:c r="C1030" t="str">
        <x:v>2025-03</x:v>
      </x:c>
      <x:c r="D1030" t="str">
        <x:v>CUS-0110</x:v>
      </x:c>
      <x:c r="E1030" t="str">
        <x:v>London</x:v>
      </x:c>
      <x:c r="F1030" t="str">
        <x:v>Store</x:v>
      </x:c>
      <x:c r="G1030" t="str">
        <x:v>Fashion</x:v>
      </x:c>
      <x:c r="H1030" t="str">
        <x:v>Classic Trainers</x:v>
      </x:c>
      <x:c r="I1030" t="n">
        <x:v>4</x:v>
      </x:c>
      <x:c r="J1030" s="4" t="n">
        <x:v>67.91</x:v>
      </x:c>
      <x:c r="K1030" s="4" t="n">
        <x:v>32</x:v>
      </x:c>
      <x:c r="L1030" s="5" t="n">
        <x:v>0.15</x:v>
      </x:c>
      <x:c r="M1030" s="4" t="n">
        <x:f>ROUND(I1030*J1030*(1-L1030),2)</x:f>
        <x:v>230.89</x:v>
      </x:c>
      <x:c r="N1030" s="4" t="n">
        <x:f>ROUND(I1030*K1030,2)</x:f>
        <x:v>128</x:v>
      </x:c>
      <x:c r="O1030" s="4" t="n">
        <x:f>ROUND(M1030-N1030,2)</x:f>
        <x:v>102.89</x:v>
      </x:c>
      <x:c r="P1030" s="6" t="n">
        <x:v>3.7</x:v>
      </x:c>
      <x:c r="Q1030" t="str">
        <x:v>No</x:v>
      </x:c>
    </x:row>
    <x:row r="1031">
      <x:c r="A1031" t="str">
        <x:v>ORD-00729</x:v>
      </x:c>
      <x:c r="B1031" s="3" t="n">
        <x:v>45720.24634225694</x:v>
      </x:c>
      <x:c r="C1031" t="str">
        <x:v>2025-03</x:v>
      </x:c>
      <x:c r="D1031" t="str">
        <x:v>CUS-0297</x:v>
      </x:c>
      <x:c r="E1031" t="str">
        <x:v>London</x:v>
      </x:c>
      <x:c r="F1031" t="str">
        <x:v>Online</x:v>
      </x:c>
      <x:c r="G1031" t="str">
        <x:v>Home</x:v>
      </x:c>
      <x:c r="H1031" t="str">
        <x:v>Coffee Maker</x:v>
      </x:c>
      <x:c r="I1031" t="n">
        <x:v>2</x:v>
      </x:c>
      <x:c r="J1031" s="4" t="n">
        <x:v>72.3</x:v>
      </x:c>
      <x:c r="K1031" s="4" t="n">
        <x:v>41</x:v>
      </x:c>
      <x:c r="L1031" s="5" t="n">
        <x:v>0.05</x:v>
      </x:c>
      <x:c r="M1031" s="4" t="n">
        <x:f>ROUND(I1031*J1031*(1-L1031),2)</x:f>
        <x:v>137.37</x:v>
      </x:c>
      <x:c r="N1031" s="4" t="n">
        <x:f>ROUND(I1031*K1031,2)</x:f>
        <x:v>82</x:v>
      </x:c>
      <x:c r="O1031" s="4" t="n">
        <x:f>ROUND(M1031-N1031,2)</x:f>
        <x:v>55.37</x:v>
      </x:c>
      <x:c r="P1031" s="6" t="n">
        <x:v>3.6</x:v>
      </x:c>
      <x:c r="Q1031" t="str">
        <x:v>No</x:v>
      </x:c>
    </x:row>
    <x:row r="1032">
      <x:c r="A1032" t="str">
        <x:v>ORD-01254</x:v>
      </x:c>
      <x:c r="B1032" s="3" t="n">
        <x:v>45720.44348998843</x:v>
      </x:c>
      <x:c r="C1032" t="str">
        <x:v>2025-03</x:v>
      </x:c>
      <x:c r="D1032" t="str">
        <x:v>CUS-0506</x:v>
      </x:c>
      <x:c r="E1032" t="str">
        <x:v>London</x:v>
      </x:c>
      <x:c r="F1032" t="str">
        <x:v>Online</x:v>
      </x:c>
      <x:c r="G1032" t="str">
        <x:v>Beauty</x:v>
      </x:c>
      <x:c r="H1032" t="str">
        <x:v>Skin Care Set</x:v>
      </x:c>
      <x:c r="I1032" t="n">
        <x:v>3</x:v>
      </x:c>
      <x:c r="J1032" s="4" t="n">
        <x:v>43.82</x:v>
      </x:c>
      <x:c r="K1032" s="4" t="n">
        <x:v>18</x:v>
      </x:c>
      <x:c r="L1032" s="5" t="n">
        <x:v>0.1</x:v>
      </x:c>
      <x:c r="M1032" s="4" t="n">
        <x:f>ROUND(I1032*J1032*(1-L1032),2)</x:f>
        <x:v>118.31</x:v>
      </x:c>
      <x:c r="N1032" s="4" t="n">
        <x:f>ROUND(I1032*K1032,2)</x:f>
        <x:v>54</x:v>
      </x:c>
      <x:c r="O1032" s="4" t="n">
        <x:f>ROUND(M1032-N1032,2)</x:f>
        <x:v>64.31</x:v>
      </x:c>
      <x:c r="P1032" s="6" t="n">
        <x:v>3.4</x:v>
      </x:c>
      <x:c r="Q1032" t="str">
        <x:v>Yes</x:v>
      </x:c>
    </x:row>
    <x:row r="1033">
      <x:c r="A1033" t="str">
        <x:v>ORD-01106</x:v>
      </x:c>
      <x:c r="B1033" s="3" t="n">
        <x:v>45720.55641700231</x:v>
      </x:c>
      <x:c r="C1033" t="str">
        <x:v>2025-03</x:v>
      </x:c>
      <x:c r="D1033" t="str">
        <x:v>CUS-0167</x:v>
      </x:c>
      <x:c r="E1033" t="str">
        <x:v>Wales</x:v>
      </x:c>
      <x:c r="F1033" t="str">
        <x:v>Store</x:v>
      </x:c>
      <x:c r="G1033" t="str">
        <x:v>Home</x:v>
      </x:c>
      <x:c r="H1033" t="str">
        <x:v>Coffee Maker</x:v>
      </x:c>
      <x:c r="I1033" t="n">
        <x:v>5</x:v>
      </x:c>
      <x:c r="J1033" s="4" t="n">
        <x:v>72.8</x:v>
      </x:c>
      <x:c r="K1033" s="4" t="n">
        <x:v>41</x:v>
      </x:c>
      <x:c r="L1033" s="5" t="n">
        <x:v>0</x:v>
      </x:c>
      <x:c r="M1033" s="4" t="n">
        <x:f>ROUND(I1033*J1033*(1-L1033),2)</x:f>
        <x:v>364</x:v>
      </x:c>
      <x:c r="N1033" s="4" t="n">
        <x:f>ROUND(I1033*K1033,2)</x:f>
        <x:v>205</x:v>
      </x:c>
      <x:c r="O1033" s="4" t="n">
        <x:f>ROUND(M1033-N1033,2)</x:f>
        <x:v>159</x:v>
      </x:c>
      <x:c r="P1033" s="6" t="n">
        <x:v>4.4</x:v>
      </x:c>
      <x:c r="Q1033" t="str">
        <x:v>No</x:v>
      </x:c>
    </x:row>
    <x:row r="1034">
      <x:c r="A1034" t="str">
        <x:v>ORD-00474</x:v>
      </x:c>
      <x:c r="B1034" s="3" t="n">
        <x:v>45721.22784399305</x:v>
      </x:c>
      <x:c r="C1034" t="str">
        <x:v>2025-03</x:v>
      </x:c>
      <x:c r="D1034" t="str">
        <x:v>CUS-0168</x:v>
      </x:c>
      <x:c r="E1034" t="str">
        <x:v>South East</x:v>
      </x:c>
      <x:c r="F1034" t="str">
        <x:v>Store</x:v>
      </x:c>
      <x:c r="G1034" t="str">
        <x:v>Home</x:v>
      </x:c>
      <x:c r="H1034" t="str">
        <x:v>Coffee Maker</x:v>
      </x:c>
      <x:c r="I1034" t="n">
        <x:v>4</x:v>
      </x:c>
      <x:c r="J1034" s="4" t="n">
        <x:v>77.87</x:v>
      </x:c>
      <x:c r="K1034" s="4" t="n">
        <x:v>41</x:v>
      </x:c>
      <x:c r="L1034" s="5" t="n">
        <x:v>0</x:v>
      </x:c>
      <x:c r="M1034" s="4" t="n">
        <x:f>ROUND(I1034*J1034*(1-L1034),2)</x:f>
        <x:v>311.48</x:v>
      </x:c>
      <x:c r="N1034" s="4" t="n">
        <x:f>ROUND(I1034*K1034,2)</x:f>
        <x:v>164</x:v>
      </x:c>
      <x:c r="O1034" s="4" t="n">
        <x:f>ROUND(M1034-N1034,2)</x:f>
        <x:v>147.48</x:v>
      </x:c>
      <x:c r="P1034" s="6" t="n">
        <x:v>5</x:v>
      </x:c>
      <x:c r="Q1034" t="str">
        <x:v>No</x:v>
      </x:c>
    </x:row>
    <x:row r="1035">
      <x:c r="A1035" t="str">
        <x:v>ORD-00338</x:v>
      </x:c>
      <x:c r="B1035" s="3" t="n">
        <x:v>45721.349803703706</x:v>
      </x:c>
      <x:c r="C1035" t="str">
        <x:v>2025-03</x:v>
      </x:c>
      <x:c r="D1035" t="str">
        <x:v>CUS-0469</x:v>
      </x:c>
      <x:c r="E1035" t="str">
        <x:v>Scotland</x:v>
      </x:c>
      <x:c r="F1035" t="str">
        <x:v>Online</x:v>
      </x:c>
      <x:c r="G1035" t="str">
        <x:v>Home</x:v>
      </x:c>
      <x:c r="H1035" t="str">
        <x:v>Air Fryer</x:v>
      </x:c>
      <x:c r="I1035" t="n">
        <x:v>2</x:v>
      </x:c>
      <x:c r="J1035" s="4" t="n">
        <x:v>114.6</x:v>
      </x:c>
      <x:c r="K1035" s="4" t="n">
        <x:v>69</x:v>
      </x:c>
      <x:c r="L1035" s="5" t="n">
        <x:v>0.15</x:v>
      </x:c>
      <x:c r="M1035" s="4" t="n">
        <x:f>ROUND(I1035*J1035*(1-L1035),2)</x:f>
        <x:v>194.82</x:v>
      </x:c>
      <x:c r="N1035" s="4" t="n">
        <x:f>ROUND(I1035*K1035,2)</x:f>
        <x:v>138</x:v>
      </x:c>
      <x:c r="O1035" s="4" t="n">
        <x:f>ROUND(M1035-N1035,2)</x:f>
        <x:v>56.82</x:v>
      </x:c>
      <x:c r="P1035" s="6" t="n">
        <x:v>3.4</x:v>
      </x:c>
      <x:c r="Q1035" t="str">
        <x:v>No</x:v>
      </x:c>
    </x:row>
    <x:row r="1036">
      <x:c r="A1036" t="str">
        <x:v>ORD-00724</x:v>
      </x:c>
      <x:c r="B1036" s="3" t="n">
        <x:v>45721.81050842592</x:v>
      </x:c>
      <x:c r="C1036" t="str">
        <x:v>2025-03</x:v>
      </x:c>
      <x:c r="D1036" t="str">
        <x:v>CUS-0135</x:v>
      </x:c>
      <x:c r="E1036" t="str">
        <x:v>North East</x:v>
      </x:c>
      <x:c r="F1036" t="str">
        <x:v>Marketplace</x:v>
      </x:c>
      <x:c r="G1036" t="str">
        <x:v>Beauty</x:v>
      </x:c>
      <x:c r="H1036" t="str">
        <x:v>Skin Care Set</x:v>
      </x:c>
      <x:c r="I1036" t="n">
        <x:v>4</x:v>
      </x:c>
      <x:c r="J1036" s="4" t="n">
        <x:v>44</x:v>
      </x:c>
      <x:c r="K1036" s="4" t="n">
        <x:v>18</x:v>
      </x:c>
      <x:c r="L1036" s="5" t="n">
        <x:v>0</x:v>
      </x:c>
      <x:c r="M1036" s="4" t="n">
        <x:f>ROUND(I1036*J1036*(1-L1036),2)</x:f>
        <x:v>176</x:v>
      </x:c>
      <x:c r="N1036" s="4" t="n">
        <x:f>ROUND(I1036*K1036,2)</x:f>
        <x:v>72</x:v>
      </x:c>
      <x:c r="O1036" s="4" t="n">
        <x:f>ROUND(M1036-N1036,2)</x:f>
        <x:v>104</x:v>
      </x:c>
      <x:c r="P1036" s="6" t="n">
        <x:v>4.3</x:v>
      </x:c>
      <x:c r="Q1036" t="str">
        <x:v>No</x:v>
      </x:c>
    </x:row>
    <x:row r="1037">
      <x:c r="A1037" t="str">
        <x:v>ORD-00491</x:v>
      </x:c>
      <x:c r="B1037" s="3" t="n">
        <x:v>45722.577949756946</x:v>
      </x:c>
      <x:c r="C1037" t="str">
        <x:v>2025-03</x:v>
      </x:c>
      <x:c r="D1037" t="str">
        <x:v>CUS-0559</x:v>
      </x:c>
      <x:c r="E1037" t="str">
        <x:v>London</x:v>
      </x:c>
      <x:c r="F1037" t="str">
        <x:v>Marketplace</x:v>
      </x:c>
      <x:c r="G1037" t="str">
        <x:v>Fashion</x:v>
      </x:c>
      <x:c r="H1037" t="str">
        <x:v>Classic Trainers</x:v>
      </x:c>
      <x:c r="I1037" t="n">
        <x:v>2</x:v>
      </x:c>
      <x:c r="J1037" s="4" t="n">
        <x:v>70.51</x:v>
      </x:c>
      <x:c r="K1037" s="4" t="n">
        <x:v>32</x:v>
      </x:c>
      <x:c r="L1037" s="5" t="n">
        <x:v>0</x:v>
      </x:c>
      <x:c r="M1037" s="4" t="n">
        <x:f>ROUND(I1037*J1037*(1-L1037),2)</x:f>
        <x:v>141.02</x:v>
      </x:c>
      <x:c r="N1037" s="4" t="n">
        <x:f>ROUND(I1037*K1037,2)</x:f>
        <x:v>64</x:v>
      </x:c>
      <x:c r="O1037" s="4" t="n">
        <x:f>ROUND(M1037-N1037,2)</x:f>
        <x:v>77.02</x:v>
      </x:c>
      <x:c r="P1037" s="6" t="n">
        <x:v>5</x:v>
      </x:c>
      <x:c r="Q1037" t="str">
        <x:v>No</x:v>
      </x:c>
    </x:row>
    <x:row r="1038">
      <x:c r="A1038" t="str">
        <x:v>ORD-00896</x:v>
      </x:c>
      <x:c r="B1038" s="3" t="n">
        <x:v>45722.88029443287</x:v>
      </x:c>
      <x:c r="C1038" t="str">
        <x:v>2025-03</x:v>
      </x:c>
      <x:c r="D1038" t="str">
        <x:v>CUS-0079</x:v>
      </x:c>
      <x:c r="E1038" t="str">
        <x:v>North East</x:v>
      </x:c>
      <x:c r="F1038" t="str">
        <x:v>Marketplace</x:v>
      </x:c>
      <x:c r="G1038" t="str">
        <x:v>Electronics</x:v>
      </x:c>
      <x:c r="H1038" t="str">
        <x:v>Smart Watch</x:v>
      </x:c>
      <x:c r="I1038" t="n">
        <x:v>4</x:v>
      </x:c>
      <x:c r="J1038" s="4" t="n">
        <x:v>154.18</x:v>
      </x:c>
      <x:c r="K1038" s="4" t="n">
        <x:v>92</x:v>
      </x:c>
      <x:c r="L1038" s="5" t="n">
        <x:v>0.05</x:v>
      </x:c>
      <x:c r="M1038" s="4" t="n">
        <x:f>ROUND(I1038*J1038*(1-L1038),2)</x:f>
        <x:v>585.88</x:v>
      </x:c>
      <x:c r="N1038" s="4" t="n">
        <x:f>ROUND(I1038*K1038,2)</x:f>
        <x:v>368</x:v>
      </x:c>
      <x:c r="O1038" s="4" t="n">
        <x:f>ROUND(M1038-N1038,2)</x:f>
        <x:v>217.88</x:v>
      </x:c>
      <x:c r="P1038" s="6" t="n">
        <x:v>4.2</x:v>
      </x:c>
      <x:c r="Q1038" t="str">
        <x:v>No</x:v>
      </x:c>
    </x:row>
    <x:row r="1039">
      <x:c r="A1039" t="str">
        <x:v>ORD-01393</x:v>
      </x:c>
      <x:c r="B1039" s="3" t="n">
        <x:v>45723.030361481484</x:v>
      </x:c>
      <x:c r="C1039" t="str">
        <x:v>2025-03</x:v>
      </x:c>
      <x:c r="D1039" t="str">
        <x:v>CUS-0128</x:v>
      </x:c>
      <x:c r="E1039" t="str">
        <x:v>Wales</x:v>
      </x:c>
      <x:c r="F1039" t="str">
        <x:v>Marketplace</x:v>
      </x:c>
      <x:c r="G1039" t="str">
        <x:v>Home</x:v>
      </x:c>
      <x:c r="H1039" t="str">
        <x:v>Air Fryer</x:v>
      </x:c>
      <x:c r="I1039" t="n">
        <x:v>5</x:v>
      </x:c>
      <x:c r="J1039" s="4" t="n">
        <x:v>122.39</x:v>
      </x:c>
      <x:c r="K1039" s="4" t="n">
        <x:v>69</x:v>
      </x:c>
      <x:c r="L1039" s="5" t="n">
        <x:v>0.05</x:v>
      </x:c>
      <x:c r="M1039" s="4" t="n">
        <x:f>ROUND(I1039*J1039*(1-L1039),2)</x:f>
        <x:v>581.35</x:v>
      </x:c>
      <x:c r="N1039" s="4" t="n">
        <x:f>ROUND(I1039*K1039,2)</x:f>
        <x:v>345</x:v>
      </x:c>
      <x:c r="O1039" s="4" t="n">
        <x:f>ROUND(M1039-N1039,2)</x:f>
        <x:v>236.35</x:v>
      </x:c>
      <x:c r="P1039" s="6" t="n">
        <x:v>3.6</x:v>
      </x:c>
      <x:c r="Q1039" t="str">
        <x:v>No</x:v>
      </x:c>
    </x:row>
    <x:row r="1040">
      <x:c r="A1040" t="str">
        <x:v>ORD-00652</x:v>
      </x:c>
      <x:c r="B1040" s="3" t="n">
        <x:v>45723.18696679398</x:v>
      </x:c>
      <x:c r="C1040" t="str">
        <x:v>2025-03</x:v>
      </x:c>
      <x:c r="D1040" t="str">
        <x:v>CUS-0259</x:v>
      </x:c>
      <x:c r="E1040" t="str">
        <x:v>Scotland</x:v>
      </x:c>
      <x:c r="F1040" t="str">
        <x:v>Marketplace</x:v>
      </x:c>
      <x:c r="G1040" t="str">
        <x:v>Home</x:v>
      </x:c>
      <x:c r="H1040" t="str">
        <x:v>Desk Lamp</x:v>
      </x:c>
      <x:c r="I1040" t="n">
        <x:v>3</x:v>
      </x:c>
      <x:c r="J1040" s="4" t="n">
        <x:v>33.97</x:v>
      </x:c>
      <x:c r="K1040" s="4" t="n">
        <x:v>17</x:v>
      </x:c>
      <x:c r="L1040" s="5" t="n">
        <x:v>0.15</x:v>
      </x:c>
      <x:c r="M1040" s="4" t="n">
        <x:f>ROUND(I1040*J1040*(1-L1040),2)</x:f>
        <x:v>86.62</x:v>
      </x:c>
      <x:c r="N1040" s="4" t="n">
        <x:f>ROUND(I1040*K1040,2)</x:f>
        <x:v>51</x:v>
      </x:c>
      <x:c r="O1040" s="4" t="n">
        <x:f>ROUND(M1040-N1040,2)</x:f>
        <x:v>35.62</x:v>
      </x:c>
      <x:c r="P1040" s="6" t="n">
        <x:v>4.3</x:v>
      </x:c>
      <x:c r="Q1040" t="str">
        <x:v>No</x:v>
      </x:c>
    </x:row>
    <x:row r="1041">
      <x:c r="A1041" t="str">
        <x:v>ORD-01486</x:v>
      </x:c>
      <x:c r="B1041" s="3" t="n">
        <x:v>45723.435673148146</x:v>
      </x:c>
      <x:c r="C1041" t="str">
        <x:v>2025-03</x:v>
      </x:c>
      <x:c r="D1041" t="str">
        <x:v>CUS-0070</x:v>
      </x:c>
      <x:c r="E1041" t="str">
        <x:v>North East</x:v>
      </x:c>
      <x:c r="F1041" t="str">
        <x:v>Online</x:v>
      </x:c>
      <x:c r="G1041" t="str">
        <x:v>Sports</x:v>
      </x:c>
      <x:c r="H1041" t="str">
        <x:v>Yoga Mat</x:v>
      </x:c>
      <x:c r="I1041" t="n">
        <x:v>3</x:v>
      </x:c>
      <x:c r="J1041" s="4" t="n">
        <x:v>28.71</x:v>
      </x:c>
      <x:c r="K1041" s="4" t="n">
        <x:v>12</x:v>
      </x:c>
      <x:c r="L1041" s="5" t="n">
        <x:v>0.05</x:v>
      </x:c>
      <x:c r="M1041" s="4" t="n">
        <x:f>ROUND(I1041*J1041*(1-L1041),2)</x:f>
        <x:v>81.82</x:v>
      </x:c>
      <x:c r="N1041" s="4" t="n">
        <x:f>ROUND(I1041*K1041,2)</x:f>
        <x:v>36</x:v>
      </x:c>
      <x:c r="O1041" s="4" t="n">
        <x:f>ROUND(M1041-N1041,2)</x:f>
        <x:v>45.82</x:v>
      </x:c>
      <x:c r="P1041" s="6" t="n">
        <x:v>3.8</x:v>
      </x:c>
      <x:c r="Q1041" t="str">
        <x:v>No</x:v>
      </x:c>
    </x:row>
    <x:row r="1042">
      <x:c r="A1042" t="str">
        <x:v>ORD-00029</x:v>
      </x:c>
      <x:c r="B1042" s="3" t="n">
        <x:v>45723.95298108796</x:v>
      </x:c>
      <x:c r="C1042" t="str">
        <x:v>2025-03</x:v>
      </x:c>
      <x:c r="D1042" t="str">
        <x:v>CUS-0071</x:v>
      </x:c>
      <x:c r="E1042" t="str">
        <x:v>North East</x:v>
      </x:c>
      <x:c r="F1042" t="str">
        <x:v>Store</x:v>
      </x:c>
      <x:c r="G1042" t="str">
        <x:v>Books</x:v>
      </x:c>
      <x:c r="H1042" t="str">
        <x:v>Business Intelligence Guide</x:v>
      </x:c>
      <x:c r="I1042" t="n">
        <x:v>3</x:v>
      </x:c>
      <x:c r="J1042" s="4" t="n">
        <x:v>35.74</x:v>
      </x:c>
      <x:c r="K1042" s="4" t="n">
        <x:v>12</x:v>
      </x:c>
      <x:c r="L1042" s="5" t="n">
        <x:v>0.15</x:v>
      </x:c>
      <x:c r="M1042" s="4" t="n">
        <x:f>ROUND(I1042*J1042*(1-L1042),2)</x:f>
        <x:v>91.14</x:v>
      </x:c>
      <x:c r="N1042" s="4" t="n">
        <x:f>ROUND(I1042*K1042,2)</x:f>
        <x:v>36</x:v>
      </x:c>
      <x:c r="O1042" s="4" t="n">
        <x:f>ROUND(M1042-N1042,2)</x:f>
        <x:v>55.14</x:v>
      </x:c>
      <x:c r="P1042" s="6" t="n">
        <x:v>3.9</x:v>
      </x:c>
      <x:c r="Q1042" t="str">
        <x:v>No</x:v>
      </x:c>
    </x:row>
    <x:row r="1043">
      <x:c r="A1043" t="str">
        <x:v>ORD-00880</x:v>
      </x:c>
      <x:c r="B1043" s="3" t="n">
        <x:v>45724.732742939814</x:v>
      </x:c>
      <x:c r="C1043" t="str">
        <x:v>2025-03</x:v>
      </x:c>
      <x:c r="D1043" t="str">
        <x:v>CUS-0503</x:v>
      </x:c>
      <x:c r="E1043" t="str">
        <x:v>South West</x:v>
      </x:c>
      <x:c r="F1043" t="str">
        <x:v>Store</x:v>
      </x:c>
      <x:c r="G1043" t="str">
        <x:v>Books</x:v>
      </x:c>
      <x:c r="H1043" t="str">
        <x:v>Business Intelligence Guide</x:v>
      </x:c>
      <x:c r="I1043" t="n">
        <x:v>5</x:v>
      </x:c>
      <x:c r="J1043" s="4" t="n">
        <x:v>34.12</x:v>
      </x:c>
      <x:c r="K1043" s="4" t="n">
        <x:v>12</x:v>
      </x:c>
      <x:c r="L1043" s="5" t="n">
        <x:v>0.1</x:v>
      </x:c>
      <x:c r="M1043" s="4" t="n">
        <x:f>ROUND(I1043*J1043*(1-L1043),2)</x:f>
        <x:v>153.54</x:v>
      </x:c>
      <x:c r="N1043" s="4" t="n">
        <x:f>ROUND(I1043*K1043,2)</x:f>
        <x:v>60</x:v>
      </x:c>
      <x:c r="O1043" s="4" t="n">
        <x:f>ROUND(M1043-N1043,2)</x:f>
        <x:v>93.54</x:v>
      </x:c>
      <x:c r="P1043" s="6" t="n">
        <x:v>4.4</x:v>
      </x:c>
      <x:c r="Q1043" t="str">
        <x:v>No</x:v>
      </x:c>
    </x:row>
    <x:row r="1044">
      <x:c r="A1044" t="str">
        <x:v>ORD-00956</x:v>
      </x:c>
      <x:c r="B1044" s="3" t="n">
        <x:v>45724.87783575231</x:v>
      </x:c>
      <x:c r="C1044" t="str">
        <x:v>2025-03</x:v>
      </x:c>
      <x:c r="D1044" t="str">
        <x:v>CUS-0099</x:v>
      </x:c>
      <x:c r="E1044" t="str">
        <x:v>North East</x:v>
      </x:c>
      <x:c r="F1044" t="str">
        <x:v>Online</x:v>
      </x:c>
      <x:c r="G1044" t="str">
        <x:v>Beauty</x:v>
      </x:c>
      <x:c r="H1044" t="str">
        <x:v>Hair Dryer</x:v>
      </x:c>
      <x:c r="I1044" t="n">
        <x:v>5</x:v>
      </x:c>
      <x:c r="J1044" s="4" t="n">
        <x:v>59.95</x:v>
      </x:c>
      <x:c r="K1044" s="4" t="n">
        <x:v>29</x:v>
      </x:c>
      <x:c r="L1044" s="5" t="n">
        <x:v>0.2</x:v>
      </x:c>
      <x:c r="M1044" s="4" t="n">
        <x:f>ROUND(I1044*J1044*(1-L1044),2)</x:f>
        <x:v>239.8</x:v>
      </x:c>
      <x:c r="N1044" s="4" t="n">
        <x:f>ROUND(I1044*K1044,2)</x:f>
        <x:v>145</x:v>
      </x:c>
      <x:c r="O1044" s="4" t="n">
        <x:f>ROUND(M1044-N1044,2)</x:f>
        <x:v>94.8</x:v>
      </x:c>
      <x:c r="P1044" s="6" t="n">
        <x:v>4.2</x:v>
      </x:c>
      <x:c r="Q1044" t="str">
        <x:v>No</x:v>
      </x:c>
    </x:row>
    <x:row r="1045">
      <x:c r="A1045" t="str">
        <x:v>ORD-00218</x:v>
      </x:c>
      <x:c r="B1045" s="3" t="n">
        <x:v>45725.02891206019</x:v>
      </x:c>
      <x:c r="C1045" t="str">
        <x:v>2025-03</x:v>
      </x:c>
      <x:c r="D1045" t="str">
        <x:v>CUS-0456</x:v>
      </x:c>
      <x:c r="E1045" t="str">
        <x:v>Wales</x:v>
      </x:c>
      <x:c r="F1045" t="str">
        <x:v>Store</x:v>
      </x:c>
      <x:c r="G1045" t="str">
        <x:v>Home</x:v>
      </x:c>
      <x:c r="H1045" t="str">
        <x:v>Air Fryer</x:v>
      </x:c>
      <x:c r="I1045" t="n">
        <x:v>4</x:v>
      </x:c>
      <x:c r="J1045" s="4" t="n">
        <x:v>124.32</x:v>
      </x:c>
      <x:c r="K1045" s="4" t="n">
        <x:v>69</x:v>
      </x:c>
      <x:c r="L1045" s="5" t="n">
        <x:v>0.15</x:v>
      </x:c>
      <x:c r="M1045" s="4" t="n">
        <x:f>ROUND(I1045*J1045*(1-L1045),2)</x:f>
        <x:v>422.69</x:v>
      </x:c>
      <x:c r="N1045" s="4" t="n">
        <x:f>ROUND(I1045*K1045,2)</x:f>
        <x:v>276</x:v>
      </x:c>
      <x:c r="O1045" s="4" t="n">
        <x:f>ROUND(M1045-N1045,2)</x:f>
        <x:v>146.69</x:v>
      </x:c>
      <x:c r="P1045" s="6" t="n">
        <x:v>4.6</x:v>
      </x:c>
      <x:c r="Q1045" t="str">
        <x:v>No</x:v>
      </x:c>
    </x:row>
    <x:row r="1046">
      <x:c r="A1046" t="str">
        <x:v>ORD-01572</x:v>
      </x:c>
      <x:c r="B1046" s="3" t="n">
        <x:v>45725.467058842594</x:v>
      </x:c>
      <x:c r="C1046" t="str">
        <x:v>2025-03</x:v>
      </x:c>
      <x:c r="D1046" t="str">
        <x:v>CUS-0597</x:v>
      </x:c>
      <x:c r="E1046" t="str">
        <x:v>Midlands</x:v>
      </x:c>
      <x:c r="F1046" t="str">
        <x:v>Marketplace</x:v>
      </x:c>
      <x:c r="G1046" t="str">
        <x:v>Home</x:v>
      </x:c>
      <x:c r="H1046" t="str">
        <x:v>Desk Lamp</x:v>
      </x:c>
      <x:c r="I1046" t="n">
        <x:v>5</x:v>
      </x:c>
      <x:c r="J1046" s="4" t="n">
        <x:v>34.21</x:v>
      </x:c>
      <x:c r="K1046" s="4" t="n">
        <x:v>17</x:v>
      </x:c>
      <x:c r="L1046" s="5" t="n">
        <x:v>0.2</x:v>
      </x:c>
      <x:c r="M1046" s="4" t="n">
        <x:f>ROUND(I1046*J1046*(1-L1046),2)</x:f>
        <x:v>136.84</x:v>
      </x:c>
      <x:c r="N1046" s="4" t="n">
        <x:f>ROUND(I1046*K1046,2)</x:f>
        <x:v>85</x:v>
      </x:c>
      <x:c r="O1046" s="4" t="n">
        <x:f>ROUND(M1046-N1046,2)</x:f>
        <x:v>51.84</x:v>
      </x:c>
      <x:c r="P1046" s="6" t="n">
        <x:v>4.7</x:v>
      </x:c>
      <x:c r="Q1046" t="str">
        <x:v>No</x:v>
      </x:c>
    </x:row>
    <x:row r="1047">
      <x:c r="A1047" t="str">
        <x:v>ORD-00470</x:v>
      </x:c>
      <x:c r="B1047" s="3" t="n">
        <x:v>45725.74256277778</x:v>
      </x:c>
      <x:c r="C1047" t="str">
        <x:v>2025-03</x:v>
      </x:c>
      <x:c r="D1047" t="str">
        <x:v>CUS-0423</x:v>
      </x:c>
      <x:c r="E1047" t="str">
        <x:v>Scotland</x:v>
      </x:c>
      <x:c r="F1047" t="str">
        <x:v>Store</x:v>
      </x:c>
      <x:c r="G1047" t="str">
        <x:v>Sports</x:v>
      </x:c>
      <x:c r="H1047" t="str">
        <x:v>Fitness Tracker</x:v>
      </x:c>
      <x:c r="I1047" t="n">
        <x:v>3</x:v>
      </x:c>
      <x:c r="J1047" s="4" t="n">
        <x:v>53.83</x:v>
      </x:c>
      <x:c r="K1047" s="4" t="n">
        <x:v>27</x:v>
      </x:c>
      <x:c r="L1047" s="5" t="n">
        <x:v>0.05</x:v>
      </x:c>
      <x:c r="M1047" s="4" t="n">
        <x:f>ROUND(I1047*J1047*(1-L1047),2)</x:f>
        <x:v>153.42</x:v>
      </x:c>
      <x:c r="N1047" s="4" t="n">
        <x:f>ROUND(I1047*K1047,2)</x:f>
        <x:v>81</x:v>
      </x:c>
      <x:c r="O1047" s="4" t="n">
        <x:f>ROUND(M1047-N1047,2)</x:f>
        <x:v>72.42</x:v>
      </x:c>
      <x:c r="P1047" s="6" t="n">
        <x:v>3.7</x:v>
      </x:c>
      <x:c r="Q1047" t="str">
        <x:v>No</x:v>
      </x:c>
    </x:row>
    <x:row r="1048">
      <x:c r="A1048" t="str">
        <x:v>ORD-01402</x:v>
      </x:c>
      <x:c r="B1048" s="3" t="n">
        <x:v>45725.81286766204</x:v>
      </x:c>
      <x:c r="C1048" t="str">
        <x:v>2025-03</x:v>
      </x:c>
      <x:c r="D1048" t="str">
        <x:v>CUS-0521</x:v>
      </x:c>
      <x:c r="E1048" t="str">
        <x:v>London</x:v>
      </x:c>
      <x:c r="F1048" t="str">
        <x:v>Store</x:v>
      </x:c>
      <x:c r="G1048" t="str">
        <x:v>Beauty</x:v>
      </x:c>
      <x:c r="H1048" t="str">
        <x:v>Hair Dryer</x:v>
      </x:c>
      <x:c r="I1048" t="n">
        <x:v>2</x:v>
      </x:c>
      <x:c r="J1048" s="4" t="n">
        <x:v>61.43</x:v>
      </x:c>
      <x:c r="K1048" s="4" t="n">
        <x:v>29</x:v>
      </x:c>
      <x:c r="L1048" s="5" t="n">
        <x:v>0</x:v>
      </x:c>
      <x:c r="M1048" s="4" t="n">
        <x:f>ROUND(I1048*J1048*(1-L1048),2)</x:f>
        <x:v>122.86</x:v>
      </x:c>
      <x:c r="N1048" s="4" t="n">
        <x:f>ROUND(I1048*K1048,2)</x:f>
        <x:v>58</x:v>
      </x:c>
      <x:c r="O1048" s="4" t="n">
        <x:f>ROUND(M1048-N1048,2)</x:f>
        <x:v>64.86</x:v>
      </x:c>
      <x:c r="P1048" s="6" t="n">
        <x:v>3.9</x:v>
      </x:c>
      <x:c r="Q1048" t="str">
        <x:v>No</x:v>
      </x:c>
    </x:row>
    <x:row r="1049">
      <x:c r="A1049" t="str">
        <x:v>ORD-00971</x:v>
      </x:c>
      <x:c r="B1049" s="3" t="n">
        <x:v>45726.71160800926</x:v>
      </x:c>
      <x:c r="C1049" t="str">
        <x:v>2025-03</x:v>
      </x:c>
      <x:c r="D1049" t="str">
        <x:v>CUS-0392</x:v>
      </x:c>
      <x:c r="E1049" t="str">
        <x:v>Scotland</x:v>
      </x:c>
      <x:c r="F1049" t="str">
        <x:v>Marketplace</x:v>
      </x:c>
      <x:c r="G1049" t="str">
        <x:v>Electronics</x:v>
      </x:c>
      <x:c r="H1049" t="str">
        <x:v>Bluetooth Speaker</x:v>
      </x:c>
      <x:c r="I1049" t="n">
        <x:v>3</x:v>
      </x:c>
      <x:c r="J1049" s="4" t="n">
        <x:v>62.89</x:v>
      </x:c>
      <x:c r="K1049" s="4" t="n">
        <x:v>34</x:v>
      </x:c>
      <x:c r="L1049" s="5" t="n">
        <x:v>0</x:v>
      </x:c>
      <x:c r="M1049" s="4" t="n">
        <x:f>ROUND(I1049*J1049*(1-L1049),2)</x:f>
        <x:v>188.67</x:v>
      </x:c>
      <x:c r="N1049" s="4" t="n">
        <x:f>ROUND(I1049*K1049,2)</x:f>
        <x:v>102</x:v>
      </x:c>
      <x:c r="O1049" s="4" t="n">
        <x:f>ROUND(M1049-N1049,2)</x:f>
        <x:v>86.67</x:v>
      </x:c>
      <x:c r="P1049" s="6" t="n">
        <x:v>5</x:v>
      </x:c>
      <x:c r="Q1049" t="str">
        <x:v>No</x:v>
      </x:c>
    </x:row>
    <x:row r="1050">
      <x:c r="A1050" t="str">
        <x:v>ORD-00712</x:v>
      </x:c>
      <x:c r="B1050" s="3" t="n">
        <x:v>45726.794124988424</x:v>
      </x:c>
      <x:c r="C1050" t="str">
        <x:v>2025-03</x:v>
      </x:c>
      <x:c r="D1050" t="str">
        <x:v>CUS-0496</x:v>
      </x:c>
      <x:c r="E1050" t="str">
        <x:v>North West</x:v>
      </x:c>
      <x:c r="F1050" t="str">
        <x:v>Online</x:v>
      </x:c>
      <x:c r="G1050" t="str">
        <x:v>Home</x:v>
      </x:c>
      <x:c r="H1050" t="str">
        <x:v>Air Fryer</x:v>
      </x:c>
      <x:c r="I1050" t="n">
        <x:v>2</x:v>
      </x:c>
      <x:c r="J1050" s="4" t="n">
        <x:v>117.01</x:v>
      </x:c>
      <x:c r="K1050" s="4" t="n">
        <x:v>69</x:v>
      </x:c>
      <x:c r="L1050" s="5" t="n">
        <x:v>0</x:v>
      </x:c>
      <x:c r="M1050" s="4" t="n">
        <x:f>ROUND(I1050*J1050*(1-L1050),2)</x:f>
        <x:v>234.02</x:v>
      </x:c>
      <x:c r="N1050" s="4" t="n">
        <x:f>ROUND(I1050*K1050,2)</x:f>
        <x:v>138</x:v>
      </x:c>
      <x:c r="O1050" s="4" t="n">
        <x:f>ROUND(M1050-N1050,2)</x:f>
        <x:v>96.02</x:v>
      </x:c>
      <x:c r="P1050" s="6" t="n">
        <x:v>4.5</x:v>
      </x:c>
      <x:c r="Q1050" t="str">
        <x:v>No</x:v>
      </x:c>
    </x:row>
    <x:row r="1051">
      <x:c r="A1051" t="str">
        <x:v>ORD-01435</x:v>
      </x:c>
      <x:c r="B1051" s="3" t="n">
        <x:v>45727.06721028935</x:v>
      </x:c>
      <x:c r="C1051" t="str">
        <x:v>2025-03</x:v>
      </x:c>
      <x:c r="D1051" t="str">
        <x:v>CUS-0535</x:v>
      </x:c>
      <x:c r="E1051" t="str">
        <x:v>Wales</x:v>
      </x:c>
      <x:c r="F1051" t="str">
        <x:v>Store</x:v>
      </x:c>
      <x:c r="G1051" t="str">
        <x:v>Books</x:v>
      </x:c>
      <x:c r="H1051" t="str">
        <x:v>Business Intelligence Guide</x:v>
      </x:c>
      <x:c r="I1051" t="n">
        <x:v>1</x:v>
      </x:c>
      <x:c r="J1051" s="4" t="n">
        <x:v>35.06</x:v>
      </x:c>
      <x:c r="K1051" s="4" t="n">
        <x:v>12</x:v>
      </x:c>
      <x:c r="L1051" s="5" t="n">
        <x:v>0</x:v>
      </x:c>
      <x:c r="M1051" s="4" t="n">
        <x:f>ROUND(I1051*J1051*(1-L1051),2)</x:f>
        <x:v>35.06</x:v>
      </x:c>
      <x:c r="N1051" s="4" t="n">
        <x:f>ROUND(I1051*K1051,2)</x:f>
        <x:v>12</x:v>
      </x:c>
      <x:c r="O1051" s="4" t="n">
        <x:f>ROUND(M1051-N1051,2)</x:f>
        <x:v>23.06</x:v>
      </x:c>
      <x:c r="P1051" s="6" t="n">
        <x:v>3.9</x:v>
      </x:c>
      <x:c r="Q1051" t="str">
        <x:v>No</x:v>
      </x:c>
    </x:row>
    <x:row r="1052">
      <x:c r="A1052" t="str">
        <x:v>ORD-00334</x:v>
      </x:c>
      <x:c r="B1052" s="3" t="n">
        <x:v>45727.2949159375</x:v>
      </x:c>
      <x:c r="C1052" t="str">
        <x:v>2025-03</x:v>
      </x:c>
      <x:c r="D1052" t="str">
        <x:v>CUS-0301</x:v>
      </x:c>
      <x:c r="E1052" t="str">
        <x:v>North West</x:v>
      </x:c>
      <x:c r="F1052" t="str">
        <x:v>Store</x:v>
      </x:c>
      <x:c r="G1052" t="str">
        <x:v>Electronics</x:v>
      </x:c>
      <x:c r="H1052" t="str">
        <x:v>Bluetooth Speaker</x:v>
      </x:c>
      <x:c r="I1052" t="n">
        <x:v>5</x:v>
      </x:c>
      <x:c r="J1052" s="4" t="n">
        <x:v>66.4</x:v>
      </x:c>
      <x:c r="K1052" s="4" t="n">
        <x:v>34</x:v>
      </x:c>
      <x:c r="L1052" s="5" t="n">
        <x:v>0.15</x:v>
      </x:c>
      <x:c r="M1052" s="4" t="n">
        <x:f>ROUND(I1052*J1052*(1-L1052),2)</x:f>
        <x:v>282.2</x:v>
      </x:c>
      <x:c r="N1052" s="4" t="n">
        <x:f>ROUND(I1052*K1052,2)</x:f>
        <x:v>170</x:v>
      </x:c>
      <x:c r="O1052" s="4" t="n">
        <x:f>ROUND(M1052-N1052,2)</x:f>
        <x:v>112.2</x:v>
      </x:c>
      <x:c r="P1052" s="6" t="n">
        <x:v>4.9</x:v>
      </x:c>
      <x:c r="Q1052" t="str">
        <x:v>Yes</x:v>
      </x:c>
    </x:row>
    <x:row r="1053">
      <x:c r="A1053" t="str">
        <x:v>ORD-01058</x:v>
      </x:c>
      <x:c r="B1053" s="3" t="n">
        <x:v>45727.438684375</x:v>
      </x:c>
      <x:c r="C1053" t="str">
        <x:v>2025-03</x:v>
      </x:c>
      <x:c r="D1053" t="str">
        <x:v>CUS-0120</x:v>
      </x:c>
      <x:c r="E1053" t="str">
        <x:v>Scotland</x:v>
      </x:c>
      <x:c r="F1053" t="str">
        <x:v>Online</x:v>
      </x:c>
      <x:c r="G1053" t="str">
        <x:v>Books</x:v>
      </x:c>
      <x:c r="H1053" t="str">
        <x:v>Business Intelligence Guide</x:v>
      </x:c>
      <x:c r="I1053" t="n">
        <x:v>5</x:v>
      </x:c>
      <x:c r="J1053" s="4" t="n">
        <x:v>35.09</x:v>
      </x:c>
      <x:c r="K1053" s="4" t="n">
        <x:v>12</x:v>
      </x:c>
      <x:c r="L1053" s="5" t="n">
        <x:v>0.15</x:v>
      </x:c>
      <x:c r="M1053" s="4" t="n">
        <x:f>ROUND(I1053*J1053*(1-L1053),2)</x:f>
        <x:v>149.13</x:v>
      </x:c>
      <x:c r="N1053" s="4" t="n">
        <x:f>ROUND(I1053*K1053,2)</x:f>
        <x:v>60</x:v>
      </x:c>
      <x:c r="O1053" s="4" t="n">
        <x:f>ROUND(M1053-N1053,2)</x:f>
        <x:v>89.13</x:v>
      </x:c>
      <x:c r="P1053" s="6" t="n">
        <x:v>4.5</x:v>
      </x:c>
      <x:c r="Q1053" t="str">
        <x:v>No</x:v>
      </x:c>
    </x:row>
    <x:row r="1054">
      <x:c r="A1054" t="str">
        <x:v>ORD-01110</x:v>
      </x:c>
      <x:c r="B1054" s="3" t="n">
        <x:v>45728.65839159722</x:v>
      </x:c>
      <x:c r="C1054" t="str">
        <x:v>2025-03</x:v>
      </x:c>
      <x:c r="D1054" t="str">
        <x:v>CUS-0218</x:v>
      </x:c>
      <x:c r="E1054" t="str">
        <x:v>London</x:v>
      </x:c>
      <x:c r="F1054" t="str">
        <x:v>Store</x:v>
      </x:c>
      <x:c r="G1054" t="str">
        <x:v>Electronics</x:v>
      </x:c>
      <x:c r="H1054" t="str">
        <x:v>Bluetooth Speaker</x:v>
      </x:c>
      <x:c r="I1054" t="n">
        <x:v>2</x:v>
      </x:c>
      <x:c r="J1054" s="4" t="n">
        <x:v>62.96</x:v>
      </x:c>
      <x:c r="K1054" s="4" t="n">
        <x:v>34</x:v>
      </x:c>
      <x:c r="L1054" s="5" t="n">
        <x:v>0.05</x:v>
      </x:c>
      <x:c r="M1054" s="4" t="n">
        <x:f>ROUND(I1054*J1054*(1-L1054),2)</x:f>
        <x:v>119.62</x:v>
      </x:c>
      <x:c r="N1054" s="4" t="n">
        <x:f>ROUND(I1054*K1054,2)</x:f>
        <x:v>68</x:v>
      </x:c>
      <x:c r="O1054" s="4" t="n">
        <x:f>ROUND(M1054-N1054,2)</x:f>
        <x:v>51.62</x:v>
      </x:c>
      <x:c r="P1054" s="6" t="n">
        <x:v>4.2</x:v>
      </x:c>
      <x:c r="Q1054" t="str">
        <x:v>No</x:v>
      </x:c>
    </x:row>
    <x:row r="1055">
      <x:c r="A1055" t="str">
        <x:v>ORD-00624</x:v>
      </x:c>
      <x:c r="B1055" s="3" t="n">
        <x:v>45728.82481518519</x:v>
      </x:c>
      <x:c r="C1055" t="str">
        <x:v>2025-03</x:v>
      </x:c>
      <x:c r="D1055" t="str">
        <x:v>CUS-0526</x:v>
      </x:c>
      <x:c r="E1055" t="str">
        <x:v>North East</x:v>
      </x:c>
      <x:c r="F1055" t="str">
        <x:v>Marketplace</x:v>
      </x:c>
      <x:c r="G1055" t="str">
        <x:v>Fashion</x:v>
      </x:c>
      <x:c r="H1055" t="str">
        <x:v>Winter Jacket</x:v>
      </x:c>
      <x:c r="I1055" t="n">
        <x:v>3</x:v>
      </x:c>
      <x:c r="J1055" s="4" t="n">
        <x:v>99.6</x:v>
      </x:c>
      <x:c r="K1055" s="4" t="n">
        <x:v>46</x:v>
      </x:c>
      <x:c r="L1055" s="5" t="n">
        <x:v>0.1</x:v>
      </x:c>
      <x:c r="M1055" s="4" t="n">
        <x:f>ROUND(I1055*J1055*(1-L1055),2)</x:f>
        <x:v>268.92</x:v>
      </x:c>
      <x:c r="N1055" s="4" t="n">
        <x:f>ROUND(I1055*K1055,2)</x:f>
        <x:v>138</x:v>
      </x:c>
      <x:c r="O1055" s="4" t="n">
        <x:f>ROUND(M1055-N1055,2)</x:f>
        <x:v>130.92</x:v>
      </x:c>
      <x:c r="P1055" s="6" t="n">
        <x:v>5</x:v>
      </x:c>
      <x:c r="Q1055" t="str">
        <x:v>No</x:v>
      </x:c>
    </x:row>
    <x:row r="1056">
      <x:c r="A1056" t="str">
        <x:v>ORD-01221</x:v>
      </x:c>
      <x:c r="B1056" s="3" t="n">
        <x:v>45729.25165954861</x:v>
      </x:c>
      <x:c r="C1056" t="str">
        <x:v>2025-03</x:v>
      </x:c>
      <x:c r="D1056" t="str">
        <x:v>CUS-0604</x:v>
      </x:c>
      <x:c r="E1056" t="str">
        <x:v>North East</x:v>
      </x:c>
      <x:c r="F1056" t="str">
        <x:v>Marketplace</x:v>
      </x:c>
      <x:c r="G1056" t="str">
        <x:v>Books</x:v>
      </x:c>
      <x:c r="H1056" t="str">
        <x:v>Data Analytics Handbook</x:v>
      </x:c>
      <x:c r="I1056" t="n">
        <x:v>1</x:v>
      </x:c>
      <x:c r="J1056" s="4" t="n">
        <x:v>41.54</x:v>
      </x:c>
      <x:c r="K1056" s="4" t="n">
        <x:v>14</x:v>
      </x:c>
      <x:c r="L1056" s="5" t="n">
        <x:v>0</x:v>
      </x:c>
      <x:c r="M1056" s="4" t="n">
        <x:f>ROUND(I1056*J1056*(1-L1056),2)</x:f>
        <x:v>41.54</x:v>
      </x:c>
      <x:c r="N1056" s="4" t="n">
        <x:f>ROUND(I1056*K1056,2)</x:f>
        <x:v>14</x:v>
      </x:c>
      <x:c r="O1056" s="4" t="n">
        <x:f>ROUND(M1056-N1056,2)</x:f>
        <x:v>27.54</x:v>
      </x:c>
      <x:c r="P1056" s="6" t="n">
        <x:v>3.8</x:v>
      </x:c>
      <x:c r="Q1056" t="str">
        <x:v>No</x:v>
      </x:c>
    </x:row>
    <x:row r="1057">
      <x:c r="A1057" t="str">
        <x:v>ORD-00031</x:v>
      </x:c>
      <x:c r="B1057" s="3" t="n">
        <x:v>45729.38605332176</x:v>
      </x:c>
      <x:c r="C1057" t="str">
        <x:v>2025-03</x:v>
      </x:c>
      <x:c r="D1057" t="str">
        <x:v>CUS-0251</x:v>
      </x:c>
      <x:c r="E1057" t="str">
        <x:v>South West</x:v>
      </x:c>
      <x:c r="F1057" t="str">
        <x:v>Marketplace</x:v>
      </x:c>
      <x:c r="G1057" t="str">
        <x:v>Home</x:v>
      </x:c>
      <x:c r="H1057" t="str">
        <x:v>Desk Lamp</x:v>
      </x:c>
      <x:c r="I1057" t="n">
        <x:v>2</x:v>
      </x:c>
      <x:c r="J1057" s="4" t="n">
        <x:v>33.33</x:v>
      </x:c>
      <x:c r="K1057" s="4" t="n">
        <x:v>17</x:v>
      </x:c>
      <x:c r="L1057" s="5" t="n">
        <x:v>0</x:v>
      </x:c>
      <x:c r="M1057" s="4" t="n">
        <x:f>ROUND(I1057*J1057*(1-L1057),2)</x:f>
        <x:v>66.66</x:v>
      </x:c>
      <x:c r="N1057" s="4" t="n">
        <x:f>ROUND(I1057*K1057,2)</x:f>
        <x:v>34</x:v>
      </x:c>
      <x:c r="O1057" s="4" t="n">
        <x:f>ROUND(M1057-N1057,2)</x:f>
        <x:v>32.66</x:v>
      </x:c>
      <x:c r="P1057" s="6" t="n">
        <x:v>4.2</x:v>
      </x:c>
      <x:c r="Q1057" t="str">
        <x:v>No</x:v>
      </x:c>
    </x:row>
    <x:row r="1058">
      <x:c r="A1058" t="str">
        <x:v>ORD-01192</x:v>
      </x:c>
      <x:c r="B1058" s="3" t="n">
        <x:v>45729.53846454861</x:v>
      </x:c>
      <x:c r="C1058" t="str">
        <x:v>2025-03</x:v>
      </x:c>
      <x:c r="D1058" t="str">
        <x:v>CUS-0214</x:v>
      </x:c>
      <x:c r="E1058" t="str">
        <x:v>Scotland</x:v>
      </x:c>
      <x:c r="F1058" t="str">
        <x:v>Marketplace</x:v>
      </x:c>
      <x:c r="G1058" t="str">
        <x:v>Beauty</x:v>
      </x:c>
      <x:c r="H1058" t="str">
        <x:v>Hair Dryer</x:v>
      </x:c>
      <x:c r="I1058" t="n">
        <x:v>3</x:v>
      </x:c>
      <x:c r="J1058" s="4" t="n">
        <x:v>57.7</x:v>
      </x:c>
      <x:c r="K1058" s="4" t="n">
        <x:v>29</x:v>
      </x:c>
      <x:c r="L1058" s="5" t="n">
        <x:v>0.15</x:v>
      </x:c>
      <x:c r="M1058" s="4" t="n">
        <x:f>ROUND(I1058*J1058*(1-L1058),2)</x:f>
        <x:v>147.14</x:v>
      </x:c>
      <x:c r="N1058" s="4" t="n">
        <x:f>ROUND(I1058*K1058,2)</x:f>
        <x:v>87</x:v>
      </x:c>
      <x:c r="O1058" s="4" t="n">
        <x:f>ROUND(M1058-N1058,2)</x:f>
        <x:v>60.14</x:v>
      </x:c>
      <x:c r="P1058" s="6" t="n">
        <x:v>3.4</x:v>
      </x:c>
      <x:c r="Q1058" t="str">
        <x:v>No</x:v>
      </x:c>
    </x:row>
    <x:row r="1059">
      <x:c r="A1059" t="str">
        <x:v>ORD-00809</x:v>
      </x:c>
      <x:c r="B1059" s="3" t="n">
        <x:v>45729.58561083333</x:v>
      </x:c>
      <x:c r="C1059" t="str">
        <x:v>2025-03</x:v>
      </x:c>
      <x:c r="D1059" t="str">
        <x:v>CUS-0610</x:v>
      </x:c>
      <x:c r="E1059" t="str">
        <x:v>Scotland</x:v>
      </x:c>
      <x:c r="F1059" t="str">
        <x:v>Online</x:v>
      </x:c>
      <x:c r="G1059" t="str">
        <x:v>Home</x:v>
      </x:c>
      <x:c r="H1059" t="str">
        <x:v>Desk Lamp</x:v>
      </x:c>
      <x:c r="I1059" t="n">
        <x:v>3</x:v>
      </x:c>
      <x:c r="J1059" s="4" t="n">
        <x:v>36.53</x:v>
      </x:c>
      <x:c r="K1059" s="4" t="n">
        <x:v>17</x:v>
      </x:c>
      <x:c r="L1059" s="5" t="n">
        <x:v>0</x:v>
      </x:c>
      <x:c r="M1059" s="4" t="n">
        <x:f>ROUND(I1059*J1059*(1-L1059),2)</x:f>
        <x:v>109.59</x:v>
      </x:c>
      <x:c r="N1059" s="4" t="n">
        <x:f>ROUND(I1059*K1059,2)</x:f>
        <x:v>51</x:v>
      </x:c>
      <x:c r="O1059" s="4" t="n">
        <x:f>ROUND(M1059-N1059,2)</x:f>
        <x:v>58.59</x:v>
      </x:c>
      <x:c r="P1059" s="6" t="n">
        <x:v>4.3</x:v>
      </x:c>
      <x:c r="Q1059" t="str">
        <x:v>No</x:v>
      </x:c>
    </x:row>
    <x:row r="1060">
      <x:c r="A1060" t="str">
        <x:v>ORD-00575</x:v>
      </x:c>
      <x:c r="B1060" s="3" t="n">
        <x:v>45729.71144237268</x:v>
      </x:c>
      <x:c r="C1060" t="str">
        <x:v>2025-03</x:v>
      </x:c>
      <x:c r="D1060" t="str">
        <x:v>CUS-0305</x:v>
      </x:c>
      <x:c r="E1060" t="str">
        <x:v>North East</x:v>
      </x:c>
      <x:c r="F1060" t="str">
        <x:v>Online</x:v>
      </x:c>
      <x:c r="G1060" t="str">
        <x:v>Home</x:v>
      </x:c>
      <x:c r="H1060" t="str">
        <x:v>Air Fryer</x:v>
      </x:c>
      <x:c r="I1060" t="n">
        <x:v>3</x:v>
      </x:c>
      <x:c r="J1060" s="4" t="n">
        <x:v>118.07</x:v>
      </x:c>
      <x:c r="K1060" s="4" t="n">
        <x:v>69</x:v>
      </x:c>
      <x:c r="L1060" s="5" t="n">
        <x:v>0.15</x:v>
      </x:c>
      <x:c r="M1060" s="4" t="n">
        <x:f>ROUND(I1060*J1060*(1-L1060),2)</x:f>
        <x:v>301.08</x:v>
      </x:c>
      <x:c r="N1060" s="4" t="n">
        <x:f>ROUND(I1060*K1060,2)</x:f>
        <x:v>207</x:v>
      </x:c>
      <x:c r="O1060" s="4" t="n">
        <x:f>ROUND(M1060-N1060,2)</x:f>
        <x:v>94.08</x:v>
      </x:c>
      <x:c r="P1060" s="6" t="n">
        <x:v>4.8</x:v>
      </x:c>
      <x:c r="Q1060" t="str">
        <x:v>No</x:v>
      </x:c>
    </x:row>
    <x:row r="1061">
      <x:c r="A1061" t="str">
        <x:v>ORD-01378</x:v>
      </x:c>
      <x:c r="B1061" s="3" t="n">
        <x:v>45729.756383865744</x:v>
      </x:c>
      <x:c r="C1061" t="str">
        <x:v>2025-03</x:v>
      </x:c>
      <x:c r="D1061" t="str">
        <x:v>CUS-0445</x:v>
      </x:c>
      <x:c r="E1061" t="str">
        <x:v>Scotland</x:v>
      </x:c>
      <x:c r="F1061" t="str">
        <x:v>Marketplace</x:v>
      </x:c>
      <x:c r="G1061" t="str">
        <x:v>Fashion</x:v>
      </x:c>
      <x:c r="H1061" t="str">
        <x:v>Classic Trainers</x:v>
      </x:c>
      <x:c r="I1061" t="n">
        <x:v>4</x:v>
      </x:c>
      <x:c r="J1061" s="4" t="n">
        <x:v>73.39</x:v>
      </x:c>
      <x:c r="K1061" s="4" t="n">
        <x:v>32</x:v>
      </x:c>
      <x:c r="L1061" s="5" t="n">
        <x:v>0</x:v>
      </x:c>
      <x:c r="M1061" s="4" t="n">
        <x:f>ROUND(I1061*J1061*(1-L1061),2)</x:f>
        <x:v>293.56</x:v>
      </x:c>
      <x:c r="N1061" s="4" t="n">
        <x:f>ROUND(I1061*K1061,2)</x:f>
        <x:v>128</x:v>
      </x:c>
      <x:c r="O1061" s="4" t="n">
        <x:f>ROUND(M1061-N1061,2)</x:f>
        <x:v>165.56</x:v>
      </x:c>
      <x:c r="P1061" s="6" t="n">
        <x:v>4.9</x:v>
      </x:c>
      <x:c r="Q1061" t="str">
        <x:v>No</x:v>
      </x:c>
    </x:row>
    <x:row r="1062">
      <x:c r="A1062" t="str">
        <x:v>ORD-01652</x:v>
      </x:c>
      <x:c r="B1062" s="3" t="n">
        <x:v>45729.94971652778</x:v>
      </x:c>
      <x:c r="C1062" t="str">
        <x:v>2025-03</x:v>
      </x:c>
      <x:c r="D1062" t="str">
        <x:v>CUS-0618</x:v>
      </x:c>
      <x:c r="E1062" t="str">
        <x:v>Scotland</x:v>
      </x:c>
      <x:c r="F1062" t="str">
        <x:v>Marketplace</x:v>
      </x:c>
      <x:c r="G1062" t="str">
        <x:v>Fashion</x:v>
      </x:c>
      <x:c r="H1062" t="str">
        <x:v>Winter Jacket</x:v>
      </x:c>
      <x:c r="I1062" t="n">
        <x:v>1</x:v>
      </x:c>
      <x:c r="J1062" s="4" t="n">
        <x:v>92.26</x:v>
      </x:c>
      <x:c r="K1062" s="4" t="n">
        <x:v>46</x:v>
      </x:c>
      <x:c r="L1062" s="5" t="n">
        <x:v>0.05</x:v>
      </x:c>
      <x:c r="M1062" s="4" t="n">
        <x:f>ROUND(I1062*J1062*(1-L1062),2)</x:f>
        <x:v>87.65</x:v>
      </x:c>
      <x:c r="N1062" s="4" t="n">
        <x:f>ROUND(I1062*K1062,2)</x:f>
        <x:v>46</x:v>
      </x:c>
      <x:c r="O1062" s="4" t="n">
        <x:f>ROUND(M1062-N1062,2)</x:f>
        <x:v>41.65</x:v>
      </x:c>
      <x:c r="P1062" s="6" t="n">
        <x:v>3.6</x:v>
      </x:c>
      <x:c r="Q1062" t="str">
        <x:v>No</x:v>
      </x:c>
    </x:row>
    <x:row r="1063">
      <x:c r="A1063" t="str">
        <x:v>ORD-00990</x:v>
      </x:c>
      <x:c r="B1063" s="3" t="n">
        <x:v>45730.03078709491</x:v>
      </x:c>
      <x:c r="C1063" t="str">
        <x:v>2025-03</x:v>
      </x:c>
      <x:c r="D1063" t="str">
        <x:v>CUS-0025</x:v>
      </x:c>
      <x:c r="E1063" t="str">
        <x:v>South East</x:v>
      </x:c>
      <x:c r="F1063" t="str">
        <x:v>Marketplace</x:v>
      </x:c>
      <x:c r="G1063" t="str">
        <x:v>Sports</x:v>
      </x:c>
      <x:c r="H1063" t="str">
        <x:v>Running Shoes</x:v>
      </x:c>
      <x:c r="I1063" t="n">
        <x:v>1</x:v>
      </x:c>
      <x:c r="J1063" s="4" t="n">
        <x:v>78.22</x:v>
      </x:c>
      <x:c r="K1063" s="4" t="n">
        <x:v>38</x:v>
      </x:c>
      <x:c r="L1063" s="5" t="n">
        <x:v>0.1</x:v>
      </x:c>
      <x:c r="M1063" s="4" t="n">
        <x:f>ROUND(I1063*J1063*(1-L1063),2)</x:f>
        <x:v>70.4</x:v>
      </x:c>
      <x:c r="N1063" s="4" t="n">
        <x:f>ROUND(I1063*K1063,2)</x:f>
        <x:v>38</x:v>
      </x:c>
      <x:c r="O1063" s="4" t="n">
        <x:f>ROUND(M1063-N1063,2)</x:f>
        <x:v>32.4</x:v>
      </x:c>
      <x:c r="P1063" s="6" t="n">
        <x:v>3.8</x:v>
      </x:c>
      <x:c r="Q1063" t="str">
        <x:v>No</x:v>
      </x:c>
    </x:row>
    <x:row r="1064">
      <x:c r="A1064" t="str">
        <x:v>ORD-01252</x:v>
      </x:c>
      <x:c r="B1064" s="3" t="n">
        <x:v>45730.10526431713</x:v>
      </x:c>
      <x:c r="C1064" t="str">
        <x:v>2025-03</x:v>
      </x:c>
      <x:c r="D1064" t="str">
        <x:v>CUS-0183</x:v>
      </x:c>
      <x:c r="E1064" t="str">
        <x:v>Wales</x:v>
      </x:c>
      <x:c r="F1064" t="str">
        <x:v>Marketplace</x:v>
      </x:c>
      <x:c r="G1064" t="str">
        <x:v>Home</x:v>
      </x:c>
      <x:c r="H1064" t="str">
        <x:v>Air Fryer</x:v>
      </x:c>
      <x:c r="I1064" t="n">
        <x:v>2</x:v>
      </x:c>
      <x:c r="J1064" s="4" t="n">
        <x:v>118.87</x:v>
      </x:c>
      <x:c r="K1064" s="4" t="n">
        <x:v>69</x:v>
      </x:c>
      <x:c r="L1064" s="5" t="n">
        <x:v>0.05</x:v>
      </x:c>
      <x:c r="M1064" s="4" t="n">
        <x:f>ROUND(I1064*J1064*(1-L1064),2)</x:f>
        <x:v>225.85</x:v>
      </x:c>
      <x:c r="N1064" s="4" t="n">
        <x:f>ROUND(I1064*K1064,2)</x:f>
        <x:v>138</x:v>
      </x:c>
      <x:c r="O1064" s="4" t="n">
        <x:f>ROUND(M1064-N1064,2)</x:f>
        <x:v>87.85</x:v>
      </x:c>
      <x:c r="P1064" s="6" t="n">
        <x:v>4.8</x:v>
      </x:c>
      <x:c r="Q1064" t="str">
        <x:v>No</x:v>
      </x:c>
    </x:row>
    <x:row r="1065">
      <x:c r="A1065" t="str">
        <x:v>ORD-00759</x:v>
      </x:c>
      <x:c r="B1065" s="3" t="n">
        <x:v>45730.514616423614</x:v>
      </x:c>
      <x:c r="C1065" t="str">
        <x:v>2025-03</x:v>
      </x:c>
      <x:c r="D1065" t="str">
        <x:v>CUS-0506</x:v>
      </x:c>
      <x:c r="E1065" t="str">
        <x:v>North West</x:v>
      </x:c>
      <x:c r="F1065" t="str">
        <x:v>Store</x:v>
      </x:c>
      <x:c r="G1065" t="str">
        <x:v>Fashion</x:v>
      </x:c>
      <x:c r="H1065" t="str">
        <x:v>Backpack</x:v>
      </x:c>
      <x:c r="I1065" t="n">
        <x:v>1</x:v>
      </x:c>
      <x:c r="J1065" s="4" t="n">
        <x:v>51.15</x:v>
      </x:c>
      <x:c r="K1065" s="4" t="n">
        <x:v>21</x:v>
      </x:c>
      <x:c r="L1065" s="5" t="n">
        <x:v>0.05</x:v>
      </x:c>
      <x:c r="M1065" s="4" t="n">
        <x:f>ROUND(I1065*J1065*(1-L1065),2)</x:f>
        <x:v>48.59</x:v>
      </x:c>
      <x:c r="N1065" s="4" t="n">
        <x:f>ROUND(I1065*K1065,2)</x:f>
        <x:v>21</x:v>
      </x:c>
      <x:c r="O1065" s="4" t="n">
        <x:f>ROUND(M1065-N1065,2)</x:f>
        <x:v>27.59</x:v>
      </x:c>
      <x:c r="P1065" s="6" t="n">
        <x:v>3.5</x:v>
      </x:c>
      <x:c r="Q1065" t="str">
        <x:v>No</x:v>
      </x:c>
    </x:row>
    <x:row r="1066">
      <x:c r="A1066" t="str">
        <x:v>ORD-01300</x:v>
      </x:c>
      <x:c r="B1066" s="3" t="n">
        <x:v>45730.55718993056</x:v>
      </x:c>
      <x:c r="C1066" t="str">
        <x:v>2025-03</x:v>
      </x:c>
      <x:c r="D1066" t="str">
        <x:v>CUS-0517</x:v>
      </x:c>
      <x:c r="E1066" t="str">
        <x:v>Scotland</x:v>
      </x:c>
      <x:c r="F1066" t="str">
        <x:v>Store</x:v>
      </x:c>
      <x:c r="G1066" t="str">
        <x:v>Fashion</x:v>
      </x:c>
      <x:c r="H1066" t="str">
        <x:v>Classic Trainers</x:v>
      </x:c>
      <x:c r="I1066" t="n">
        <x:v>4</x:v>
      </x:c>
      <x:c r="J1066" s="4" t="n">
        <x:v>71.15</x:v>
      </x:c>
      <x:c r="K1066" s="4" t="n">
        <x:v>32</x:v>
      </x:c>
      <x:c r="L1066" s="5" t="n">
        <x:v>0.1</x:v>
      </x:c>
      <x:c r="M1066" s="4" t="n">
        <x:f>ROUND(I1066*J1066*(1-L1066),2)</x:f>
        <x:v>256.14</x:v>
      </x:c>
      <x:c r="N1066" s="4" t="n">
        <x:f>ROUND(I1066*K1066,2)</x:f>
        <x:v>128</x:v>
      </x:c>
      <x:c r="O1066" s="4" t="n">
        <x:f>ROUND(M1066-N1066,2)</x:f>
        <x:v>128.14</x:v>
      </x:c>
      <x:c r="P1066" s="6" t="n">
        <x:v>5</x:v>
      </x:c>
      <x:c r="Q1066" t="str">
        <x:v>No</x:v>
      </x:c>
    </x:row>
    <x:row r="1067">
      <x:c r="A1067" t="str">
        <x:v>ORD-01269</x:v>
      </x:c>
      <x:c r="B1067" s="3" t="n">
        <x:v>45730.70447769676</x:v>
      </x:c>
      <x:c r="C1067" t="str">
        <x:v>2025-03</x:v>
      </x:c>
      <x:c r="D1067" t="str">
        <x:v>CUS-0369</x:v>
      </x:c>
      <x:c r="E1067" t="str">
        <x:v>South East</x:v>
      </x:c>
      <x:c r="F1067" t="str">
        <x:v>Marketplace</x:v>
      </x:c>
      <x:c r="G1067" t="str">
        <x:v>Fashion</x:v>
      </x:c>
      <x:c r="H1067" t="str">
        <x:v>Winter Jacket</x:v>
      </x:c>
      <x:c r="I1067" t="n">
        <x:v>5</x:v>
      </x:c>
      <x:c r="J1067" s="4" t="n">
        <x:v>99.15</x:v>
      </x:c>
      <x:c r="K1067" s="4" t="n">
        <x:v>46</x:v>
      </x:c>
      <x:c r="L1067" s="5" t="n">
        <x:v>0</x:v>
      </x:c>
      <x:c r="M1067" s="4" t="n">
        <x:f>ROUND(I1067*J1067*(1-L1067),2)</x:f>
        <x:v>495.75</x:v>
      </x:c>
      <x:c r="N1067" s="4" t="n">
        <x:f>ROUND(I1067*K1067,2)</x:f>
        <x:v>230</x:v>
      </x:c>
      <x:c r="O1067" s="4" t="n">
        <x:f>ROUND(M1067-N1067,2)</x:f>
        <x:v>265.75</x:v>
      </x:c>
      <x:c r="P1067" s="6" t="n">
        <x:v>4.4</x:v>
      </x:c>
      <x:c r="Q1067" t="str">
        <x:v>Yes</x:v>
      </x:c>
    </x:row>
    <x:row r="1068">
      <x:c r="A1068" t="str">
        <x:v>ORD-00511</x:v>
      </x:c>
      <x:c r="B1068" s="3" t="n">
        <x:v>45730.72628030093</x:v>
      </x:c>
      <x:c r="C1068" t="str">
        <x:v>2025-03</x:v>
      </x:c>
      <x:c r="D1068" t="str">
        <x:v>CUS-0187</x:v>
      </x:c>
      <x:c r="E1068" t="str">
        <x:v>North West</x:v>
      </x:c>
      <x:c r="F1068" t="str">
        <x:v>Marketplace</x:v>
      </x:c>
      <x:c r="G1068" t="str">
        <x:v>Home</x:v>
      </x:c>
      <x:c r="H1068" t="str">
        <x:v>Air Fryer</x:v>
      </x:c>
      <x:c r="I1068" t="n">
        <x:v>5</x:v>
      </x:c>
      <x:c r="J1068" s="4" t="n">
        <x:v>116.98</x:v>
      </x:c>
      <x:c r="K1068" s="4" t="n">
        <x:v>69</x:v>
      </x:c>
      <x:c r="L1068" s="5" t="n">
        <x:v>0.2</x:v>
      </x:c>
      <x:c r="M1068" s="4" t="n">
        <x:f>ROUND(I1068*J1068*(1-L1068),2)</x:f>
        <x:v>467.92</x:v>
      </x:c>
      <x:c r="N1068" s="4" t="n">
        <x:f>ROUND(I1068*K1068,2)</x:f>
        <x:v>345</x:v>
      </x:c>
      <x:c r="O1068" s="4" t="n">
        <x:f>ROUND(M1068-N1068,2)</x:f>
        <x:v>122.92</x:v>
      </x:c>
      <x:c r="P1068" s="6" t="n">
        <x:v>3.6</x:v>
      </x:c>
      <x:c r="Q1068" t="str">
        <x:v>No</x:v>
      </x:c>
    </x:row>
    <x:row r="1069">
      <x:c r="A1069" t="str">
        <x:v>ORD-01027</x:v>
      </x:c>
      <x:c r="B1069" s="3" t="n">
        <x:v>45730.76843332176</x:v>
      </x:c>
      <x:c r="C1069" t="str">
        <x:v>2025-03</x:v>
      </x:c>
      <x:c r="D1069" t="str">
        <x:v>CUS-0579</x:v>
      </x:c>
      <x:c r="E1069" t="str">
        <x:v>Midlands</x:v>
      </x:c>
      <x:c r="F1069" t="str">
        <x:v>Online</x:v>
      </x:c>
      <x:c r="G1069" t="str">
        <x:v>Sports</x:v>
      </x:c>
      <x:c r="H1069" t="str">
        <x:v>Running Shoes</x:v>
      </x:c>
      <x:c r="I1069" t="n">
        <x:v>2</x:v>
      </x:c>
      <x:c r="J1069" s="4" t="n">
        <x:v>80.83</x:v>
      </x:c>
      <x:c r="K1069" s="4" t="n">
        <x:v>38</x:v>
      </x:c>
      <x:c r="L1069" s="5" t="n">
        <x:v>0</x:v>
      </x:c>
      <x:c r="M1069" s="4" t="n">
        <x:f>ROUND(I1069*J1069*(1-L1069),2)</x:f>
        <x:v>161.66</x:v>
      </x:c>
      <x:c r="N1069" s="4" t="n">
        <x:f>ROUND(I1069*K1069,2)</x:f>
        <x:v>76</x:v>
      </x:c>
      <x:c r="O1069" s="4" t="n">
        <x:f>ROUND(M1069-N1069,2)</x:f>
        <x:v>85.66</x:v>
      </x:c>
      <x:c r="P1069" s="6" t="n">
        <x:v>3.6</x:v>
      </x:c>
      <x:c r="Q1069" t="str">
        <x:v>No</x:v>
      </x:c>
    </x:row>
    <x:row r="1070">
      <x:c r="A1070" t="str">
        <x:v>ORD-00314</x:v>
      </x:c>
      <x:c r="B1070" s="3" t="n">
        <x:v>45730.8284909375</x:v>
      </x:c>
      <x:c r="C1070" t="str">
        <x:v>2025-03</x:v>
      </x:c>
      <x:c r="D1070" t="str">
        <x:v>CUS-0539</x:v>
      </x:c>
      <x:c r="E1070" t="str">
        <x:v>Scotland</x:v>
      </x:c>
      <x:c r="F1070" t="str">
        <x:v>Marketplace</x:v>
      </x:c>
      <x:c r="G1070" t="str">
        <x:v>Home</x:v>
      </x:c>
      <x:c r="H1070" t="str">
        <x:v>Desk Lamp</x:v>
      </x:c>
      <x:c r="I1070" t="n">
        <x:v>2</x:v>
      </x:c>
      <x:c r="J1070" s="4" t="n">
        <x:v>34.42</x:v>
      </x:c>
      <x:c r="K1070" s="4" t="n">
        <x:v>17</x:v>
      </x:c>
      <x:c r="L1070" s="5" t="n">
        <x:v>0.1</x:v>
      </x:c>
      <x:c r="M1070" s="4" t="n">
        <x:f>ROUND(I1070*J1070*(1-L1070),2)</x:f>
        <x:v>61.96</x:v>
      </x:c>
      <x:c r="N1070" s="4" t="n">
        <x:f>ROUND(I1070*K1070,2)</x:f>
        <x:v>34</x:v>
      </x:c>
      <x:c r="O1070" s="4" t="n">
        <x:f>ROUND(M1070-N1070,2)</x:f>
        <x:v>27.96</x:v>
      </x:c>
      <x:c r="P1070" s="6" t="n">
        <x:v>3.3</x:v>
      </x:c>
      <x:c r="Q1070" t="str">
        <x:v>No</x:v>
      </x:c>
    </x:row>
    <x:row r="1071">
      <x:c r="A1071" t="str">
        <x:v>ORD-01310</x:v>
      </x:c>
      <x:c r="B1071" s="3" t="n">
        <x:v>45730.938717523146</x:v>
      </x:c>
      <x:c r="C1071" t="str">
        <x:v>2025-03</x:v>
      </x:c>
      <x:c r="D1071" t="str">
        <x:v>CUS-0003</x:v>
      </x:c>
      <x:c r="E1071" t="str">
        <x:v>London</x:v>
      </x:c>
      <x:c r="F1071" t="str">
        <x:v>Store</x:v>
      </x:c>
      <x:c r="G1071" t="str">
        <x:v>Fashion</x:v>
      </x:c>
      <x:c r="H1071" t="str">
        <x:v>Backpack</x:v>
      </x:c>
      <x:c r="I1071" t="n">
        <x:v>3</x:v>
      </x:c>
      <x:c r="J1071" s="4" t="n">
        <x:v>48.45</x:v>
      </x:c>
      <x:c r="K1071" s="4" t="n">
        <x:v>21</x:v>
      </x:c>
      <x:c r="L1071" s="5" t="n">
        <x:v>0.1</x:v>
      </x:c>
      <x:c r="M1071" s="4" t="n">
        <x:f>ROUND(I1071*J1071*(1-L1071),2)</x:f>
        <x:v>130.82</x:v>
      </x:c>
      <x:c r="N1071" s="4" t="n">
        <x:f>ROUND(I1071*K1071,2)</x:f>
        <x:v>63</x:v>
      </x:c>
      <x:c r="O1071" s="4" t="n">
        <x:f>ROUND(M1071-N1071,2)</x:f>
        <x:v>67.82</x:v>
      </x:c>
      <x:c r="P1071" s="6" t="n">
        <x:v>4.7</x:v>
      </x:c>
      <x:c r="Q1071" t="str">
        <x:v>No</x:v>
      </x:c>
    </x:row>
    <x:row r="1072">
      <x:c r="A1072" t="str">
        <x:v>ORD-01690</x:v>
      </x:c>
      <x:c r="B1072" s="3" t="n">
        <x:v>45732.18407743055</x:v>
      </x:c>
      <x:c r="C1072" t="str">
        <x:v>2025-03</x:v>
      </x:c>
      <x:c r="D1072" t="str">
        <x:v>CUS-0446</x:v>
      </x:c>
      <x:c r="E1072" t="str">
        <x:v>North East</x:v>
      </x:c>
      <x:c r="F1072" t="str">
        <x:v>Online</x:v>
      </x:c>
      <x:c r="G1072" t="str">
        <x:v>Home</x:v>
      </x:c>
      <x:c r="H1072" t="str">
        <x:v>Air Fryer</x:v>
      </x:c>
      <x:c r="I1072" t="n">
        <x:v>4</x:v>
      </x:c>
      <x:c r="J1072" s="4" t="n">
        <x:v>121.88</x:v>
      </x:c>
      <x:c r="K1072" s="4" t="n">
        <x:v>69</x:v>
      </x:c>
      <x:c r="L1072" s="5" t="n">
        <x:v>0.2</x:v>
      </x:c>
      <x:c r="M1072" s="4" t="n">
        <x:f>ROUND(I1072*J1072*(1-L1072),2)</x:f>
        <x:v>390.02</x:v>
      </x:c>
      <x:c r="N1072" s="4" t="n">
        <x:f>ROUND(I1072*K1072,2)</x:f>
        <x:v>276</x:v>
      </x:c>
      <x:c r="O1072" s="4" t="n">
        <x:f>ROUND(M1072-N1072,2)</x:f>
        <x:v>114.02</x:v>
      </x:c>
      <x:c r="P1072" s="6" t="n">
        <x:v>5</x:v>
      </x:c>
      <x:c r="Q1072" t="str">
        <x:v>Yes</x:v>
      </x:c>
    </x:row>
    <x:row r="1073">
      <x:c r="A1073" t="str">
        <x:v>ORD-01059</x:v>
      </x:c>
      <x:c r="B1073" s="3" t="n">
        <x:v>45732.5531944213</x:v>
      </x:c>
      <x:c r="C1073" t="str">
        <x:v>2025-03</x:v>
      </x:c>
      <x:c r="D1073" t="str">
        <x:v>CUS-0266</x:v>
      </x:c>
      <x:c r="E1073" t="str">
        <x:v>North West</x:v>
      </x:c>
      <x:c r="F1073" t="str">
        <x:v>Marketplace</x:v>
      </x:c>
      <x:c r="G1073" t="str">
        <x:v>Books</x:v>
      </x:c>
      <x:c r="H1073" t="str">
        <x:v>Business Intelligence Guide</x:v>
      </x:c>
      <x:c r="I1073" t="n">
        <x:v>4</x:v>
      </x:c>
      <x:c r="J1073" s="4" t="n">
        <x:v>34.37</x:v>
      </x:c>
      <x:c r="K1073" s="4" t="n">
        <x:v>12</x:v>
      </x:c>
      <x:c r="L1073" s="5" t="n">
        <x:v>0.2</x:v>
      </x:c>
      <x:c r="M1073" s="4" t="n">
        <x:f>ROUND(I1073*J1073*(1-L1073),2)</x:f>
        <x:v>109.98</x:v>
      </x:c>
      <x:c r="N1073" s="4" t="n">
        <x:f>ROUND(I1073*K1073,2)</x:f>
        <x:v>48</x:v>
      </x:c>
      <x:c r="O1073" s="4" t="n">
        <x:f>ROUND(M1073-N1073,2)</x:f>
        <x:v>61.98</x:v>
      </x:c>
      <x:c r="P1073" s="6" t="n">
        <x:v>4.7</x:v>
      </x:c>
      <x:c r="Q1073" t="str">
        <x:v>No</x:v>
      </x:c>
    </x:row>
    <x:row r="1074">
      <x:c r="A1074" t="str">
        <x:v>ORD-00121</x:v>
      </x:c>
      <x:c r="B1074" s="3" t="n">
        <x:v>45733.16858349537</x:v>
      </x:c>
      <x:c r="C1074" t="str">
        <x:v>2025-03</x:v>
      </x:c>
      <x:c r="D1074" t="str">
        <x:v>CUS-0324</x:v>
      </x:c>
      <x:c r="E1074" t="str">
        <x:v>North West</x:v>
      </x:c>
      <x:c r="F1074" t="str">
        <x:v>Store</x:v>
      </x:c>
      <x:c r="G1074" t="str">
        <x:v>Electronics</x:v>
      </x:c>
      <x:c r="H1074" t="str">
        <x:v>Bluetooth Speaker</x:v>
      </x:c>
      <x:c r="I1074" t="n">
        <x:v>3</x:v>
      </x:c>
      <x:c r="J1074" s="4" t="n">
        <x:v>66.29</x:v>
      </x:c>
      <x:c r="K1074" s="4" t="n">
        <x:v>34</x:v>
      </x:c>
      <x:c r="L1074" s="5" t="n">
        <x:v>0</x:v>
      </x:c>
      <x:c r="M1074" s="4" t="n">
        <x:f>ROUND(I1074*J1074*(1-L1074),2)</x:f>
        <x:v>198.87</x:v>
      </x:c>
      <x:c r="N1074" s="4" t="n">
        <x:f>ROUND(I1074*K1074,2)</x:f>
        <x:v>102</x:v>
      </x:c>
      <x:c r="O1074" s="4" t="n">
        <x:f>ROUND(M1074-N1074,2)</x:f>
        <x:v>96.87</x:v>
      </x:c>
      <x:c r="P1074" s="6" t="n">
        <x:v>3.5</x:v>
      </x:c>
      <x:c r="Q1074" t="str">
        <x:v>Yes</x:v>
      </x:c>
    </x:row>
    <x:row r="1075">
      <x:c r="A1075" t="str">
        <x:v>ORD-01069</x:v>
      </x:c>
      <x:c r="B1075" s="3" t="n">
        <x:v>45734.55997578704</x:v>
      </x:c>
      <x:c r="C1075" t="str">
        <x:v>2025-03</x:v>
      </x:c>
      <x:c r="D1075" t="str">
        <x:v>CUS-0222</x:v>
      </x:c>
      <x:c r="E1075" t="str">
        <x:v>Wales</x:v>
      </x:c>
      <x:c r="F1075" t="str">
        <x:v>Marketplace</x:v>
      </x:c>
      <x:c r="G1075" t="str">
        <x:v>Beauty</x:v>
      </x:c>
      <x:c r="H1075" t="str">
        <x:v>Skin Care Set</x:v>
      </x:c>
      <x:c r="I1075" t="n">
        <x:v>5</x:v>
      </x:c>
      <x:c r="J1075" s="4" t="n">
        <x:v>42.91</x:v>
      </x:c>
      <x:c r="K1075" s="4" t="n">
        <x:v>18</x:v>
      </x:c>
      <x:c r="L1075" s="5" t="n">
        <x:v>0</x:v>
      </x:c>
      <x:c r="M1075" s="4" t="n">
        <x:f>ROUND(I1075*J1075*(1-L1075),2)</x:f>
        <x:v>214.55</x:v>
      </x:c>
      <x:c r="N1075" s="4" t="n">
        <x:f>ROUND(I1075*K1075,2)</x:f>
        <x:v>90</x:v>
      </x:c>
      <x:c r="O1075" s="4" t="n">
        <x:f>ROUND(M1075-N1075,2)</x:f>
        <x:v>124.55</x:v>
      </x:c>
      <x:c r="P1075" s="6" t="n">
        <x:v>4.3</x:v>
      </x:c>
      <x:c r="Q1075" t="str">
        <x:v>No</x:v>
      </x:c>
    </x:row>
    <x:row r="1076">
      <x:c r="A1076" t="str">
        <x:v>ORD-00240</x:v>
      </x:c>
      <x:c r="B1076" s="3" t="n">
        <x:v>45735.20797971065</x:v>
      </x:c>
      <x:c r="C1076" t="str">
        <x:v>2025-03</x:v>
      </x:c>
      <x:c r="D1076" t="str">
        <x:v>CUS-0092</x:v>
      </x:c>
      <x:c r="E1076" t="str">
        <x:v>London</x:v>
      </x:c>
      <x:c r="F1076" t="str">
        <x:v>Marketplace</x:v>
      </x:c>
      <x:c r="G1076" t="str">
        <x:v>Home</x:v>
      </x:c>
      <x:c r="H1076" t="str">
        <x:v>Desk Lamp</x:v>
      </x:c>
      <x:c r="I1076" t="n">
        <x:v>4</x:v>
      </x:c>
      <x:c r="J1076" s="4" t="n">
        <x:v>34.94</x:v>
      </x:c>
      <x:c r="K1076" s="4" t="n">
        <x:v>17</x:v>
      </x:c>
      <x:c r="L1076" s="5" t="n">
        <x:v>0</x:v>
      </x:c>
      <x:c r="M1076" s="4" t="n">
        <x:f>ROUND(I1076*J1076*(1-L1076),2)</x:f>
        <x:v>139.76</x:v>
      </x:c>
      <x:c r="N1076" s="4" t="n">
        <x:f>ROUND(I1076*K1076,2)</x:f>
        <x:v>68</x:v>
      </x:c>
      <x:c r="O1076" s="4" t="n">
        <x:f>ROUND(M1076-N1076,2)</x:f>
        <x:v>71.76</x:v>
      </x:c>
      <x:c r="P1076" s="6" t="n">
        <x:v>3.5</x:v>
      </x:c>
      <x:c r="Q1076" t="str">
        <x:v>No</x:v>
      </x:c>
    </x:row>
    <x:row r="1077">
      <x:c r="A1077" t="str">
        <x:v>ORD-00075</x:v>
      </x:c>
      <x:c r="B1077" s="3" t="n">
        <x:v>45735.58240576389</x:v>
      </x:c>
      <x:c r="C1077" t="str">
        <x:v>2025-03</x:v>
      </x:c>
      <x:c r="D1077" t="str">
        <x:v>CUS-0452</x:v>
      </x:c>
      <x:c r="E1077" t="str">
        <x:v>North East</x:v>
      </x:c>
      <x:c r="F1077" t="str">
        <x:v>Marketplace</x:v>
      </x:c>
      <x:c r="G1077" t="str">
        <x:v>Electronics</x:v>
      </x:c>
      <x:c r="H1077" t="str">
        <x:v>Smart Watch</x:v>
      </x:c>
      <x:c r="I1077" t="n">
        <x:v>5</x:v>
      </x:c>
      <x:c r="J1077" s="4" t="n">
        <x:v>158.29</x:v>
      </x:c>
      <x:c r="K1077" s="4" t="n">
        <x:v>92</x:v>
      </x:c>
      <x:c r="L1077" s="5" t="n">
        <x:v>0.1</x:v>
      </x:c>
      <x:c r="M1077" s="4" t="n">
        <x:f>ROUND(I1077*J1077*(1-L1077),2)</x:f>
        <x:v>712.31</x:v>
      </x:c>
      <x:c r="N1077" s="4" t="n">
        <x:f>ROUND(I1077*K1077,2)</x:f>
        <x:v>460</x:v>
      </x:c>
      <x:c r="O1077" s="4" t="n">
        <x:f>ROUND(M1077-N1077,2)</x:f>
        <x:v>252.31</x:v>
      </x:c>
      <x:c r="P1077" s="6" t="n">
        <x:v>4.5</x:v>
      </x:c>
      <x:c r="Q1077" t="str">
        <x:v>No</x:v>
      </x:c>
    </x:row>
    <x:row r="1078">
      <x:c r="A1078" t="str">
        <x:v>ORD-01415</x:v>
      </x:c>
      <x:c r="B1078" s="3" t="n">
        <x:v>45735.99244487269</x:v>
      </x:c>
      <x:c r="C1078" t="str">
        <x:v>2025-03</x:v>
      </x:c>
      <x:c r="D1078" t="str">
        <x:v>CUS-0311</x:v>
      </x:c>
      <x:c r="E1078" t="str">
        <x:v>South East</x:v>
      </x:c>
      <x:c r="F1078" t="str">
        <x:v>Marketplace</x:v>
      </x:c>
      <x:c r="G1078" t="str">
        <x:v>Electronics</x:v>
      </x:c>
      <x:c r="H1078" t="str">
        <x:v>Wireless Headphones</x:v>
      </x:c>
      <x:c r="I1078" t="n">
        <x:v>2</x:v>
      </x:c>
      <x:c r="J1078" s="4" t="n">
        <x:v>88.55</x:v>
      </x:c>
      <x:c r="K1078" s="4" t="n">
        <x:v>48</x:v>
      </x:c>
      <x:c r="L1078" s="5" t="n">
        <x:v>0</x:v>
      </x:c>
      <x:c r="M1078" s="4" t="n">
        <x:f>ROUND(I1078*J1078*(1-L1078),2)</x:f>
        <x:v>177.1</x:v>
      </x:c>
      <x:c r="N1078" s="4" t="n">
        <x:f>ROUND(I1078*K1078,2)</x:f>
        <x:v>96</x:v>
      </x:c>
      <x:c r="O1078" s="4" t="n">
        <x:f>ROUND(M1078-N1078,2)</x:f>
        <x:v>81.1</x:v>
      </x:c>
      <x:c r="P1078" s="6" t="n">
        <x:v>4.9</x:v>
      </x:c>
      <x:c r="Q1078" t="str">
        <x:v>No</x:v>
      </x:c>
    </x:row>
    <x:row r="1079">
      <x:c r="A1079" t="str">
        <x:v>ORD-00431</x:v>
      </x:c>
      <x:c r="B1079" s="3" t="n">
        <x:v>45736.14720673611</x:v>
      </x:c>
      <x:c r="C1079" t="str">
        <x:v>2025-03</x:v>
      </x:c>
      <x:c r="D1079" t="str">
        <x:v>CUS-0424</x:v>
      </x:c>
      <x:c r="E1079" t="str">
        <x:v>North East</x:v>
      </x:c>
      <x:c r="F1079" t="str">
        <x:v>Online</x:v>
      </x:c>
      <x:c r="G1079" t="str">
        <x:v>Books</x:v>
      </x:c>
      <x:c r="H1079" t="str">
        <x:v>Data Analytics Handbook</x:v>
      </x:c>
      <x:c r="I1079" t="n">
        <x:v>5</x:v>
      </x:c>
      <x:c r="J1079" s="4" t="n">
        <x:v>39.47</x:v>
      </x:c>
      <x:c r="K1079" s="4" t="n">
        <x:v>14</x:v>
      </x:c>
      <x:c r="L1079" s="5" t="n">
        <x:v>0</x:v>
      </x:c>
      <x:c r="M1079" s="4" t="n">
        <x:f>ROUND(I1079*J1079*(1-L1079),2)</x:f>
        <x:v>197.35</x:v>
      </x:c>
      <x:c r="N1079" s="4" t="n">
        <x:f>ROUND(I1079*K1079,2)</x:f>
        <x:v>70</x:v>
      </x:c>
      <x:c r="O1079" s="4" t="n">
        <x:f>ROUND(M1079-N1079,2)</x:f>
        <x:v>127.35</x:v>
      </x:c>
      <x:c r="P1079" s="6" t="n">
        <x:v>4.6</x:v>
      </x:c>
      <x:c r="Q1079" t="str">
        <x:v>No</x:v>
      </x:c>
    </x:row>
    <x:row r="1080">
      <x:c r="A1080" t="str">
        <x:v>ORD-01237</x:v>
      </x:c>
      <x:c r="B1080" s="3" t="n">
        <x:v>45736.4250833912</x:v>
      </x:c>
      <x:c r="C1080" t="str">
        <x:v>2025-03</x:v>
      </x:c>
      <x:c r="D1080" t="str">
        <x:v>CUS-0422</x:v>
      </x:c>
      <x:c r="E1080" t="str">
        <x:v>Midlands</x:v>
      </x:c>
      <x:c r="F1080" t="str">
        <x:v>Store</x:v>
      </x:c>
      <x:c r="G1080" t="str">
        <x:v>Sports</x:v>
      </x:c>
      <x:c r="H1080" t="str">
        <x:v>Fitness Tracker</x:v>
      </x:c>
      <x:c r="I1080" t="n">
        <x:v>5</x:v>
      </x:c>
      <x:c r="J1080" s="4" t="n">
        <x:v>52.96</x:v>
      </x:c>
      <x:c r="K1080" s="4" t="n">
        <x:v>27</x:v>
      </x:c>
      <x:c r="L1080" s="5" t="n">
        <x:v>0</x:v>
      </x:c>
      <x:c r="M1080" s="4" t="n">
        <x:f>ROUND(I1080*J1080*(1-L1080),2)</x:f>
        <x:v>264.8</x:v>
      </x:c>
      <x:c r="N1080" s="4" t="n">
        <x:f>ROUND(I1080*K1080,2)</x:f>
        <x:v>135</x:v>
      </x:c>
      <x:c r="O1080" s="4" t="n">
        <x:f>ROUND(M1080-N1080,2)</x:f>
        <x:v>129.8</x:v>
      </x:c>
      <x:c r="P1080" s="6" t="n">
        <x:v>3.3</x:v>
      </x:c>
      <x:c r="Q1080" t="str">
        <x:v>Yes</x:v>
      </x:c>
    </x:row>
    <x:row r="1081">
      <x:c r="A1081" t="str">
        <x:v>ORD-00381</x:v>
      </x:c>
      <x:c r="B1081" s="3" t="n">
        <x:v>45737.7421215162</x:v>
      </x:c>
      <x:c r="C1081" t="str">
        <x:v>2025-03</x:v>
      </x:c>
      <x:c r="D1081" t="str">
        <x:v>CUS-0206</x:v>
      </x:c>
      <x:c r="E1081" t="str">
        <x:v>North West</x:v>
      </x:c>
      <x:c r="F1081" t="str">
        <x:v>Store</x:v>
      </x:c>
      <x:c r="G1081" t="str">
        <x:v>Fashion</x:v>
      </x:c>
      <x:c r="H1081" t="str">
        <x:v>Winter Jacket</x:v>
      </x:c>
      <x:c r="I1081" t="n">
        <x:v>4</x:v>
      </x:c>
      <x:c r="J1081" s="4" t="n">
        <x:v>91.56</x:v>
      </x:c>
      <x:c r="K1081" s="4" t="n">
        <x:v>46</x:v>
      </x:c>
      <x:c r="L1081" s="5" t="n">
        <x:v>0.1</x:v>
      </x:c>
      <x:c r="M1081" s="4" t="n">
        <x:f>ROUND(I1081*J1081*(1-L1081),2)</x:f>
        <x:v>329.62</x:v>
      </x:c>
      <x:c r="N1081" s="4" t="n">
        <x:f>ROUND(I1081*K1081,2)</x:f>
        <x:v>184</x:v>
      </x:c>
      <x:c r="O1081" s="4" t="n">
        <x:f>ROUND(M1081-N1081,2)</x:f>
        <x:v>145.62</x:v>
      </x:c>
      <x:c r="P1081" s="6" t="n">
        <x:v>4.1</x:v>
      </x:c>
      <x:c r="Q1081" t="str">
        <x:v>No</x:v>
      </x:c>
    </x:row>
    <x:row r="1082">
      <x:c r="A1082" t="str">
        <x:v>ORD-01174</x:v>
      </x:c>
      <x:c r="B1082" s="3" t="n">
        <x:v>45738.11396068287</x:v>
      </x:c>
      <x:c r="C1082" t="str">
        <x:v>2025-03</x:v>
      </x:c>
      <x:c r="D1082" t="str">
        <x:v>CUS-0329</x:v>
      </x:c>
      <x:c r="E1082" t="str">
        <x:v>North West</x:v>
      </x:c>
      <x:c r="F1082" t="str">
        <x:v>Marketplace</x:v>
      </x:c>
      <x:c r="G1082" t="str">
        <x:v>Sports</x:v>
      </x:c>
      <x:c r="H1082" t="str">
        <x:v>Yoga Mat</x:v>
      </x:c>
      <x:c r="I1082" t="n">
        <x:v>2</x:v>
      </x:c>
      <x:c r="J1082" s="4" t="n">
        <x:v>30.46</x:v>
      </x:c>
      <x:c r="K1082" s="4" t="n">
        <x:v>12</x:v>
      </x:c>
      <x:c r="L1082" s="5" t="n">
        <x:v>0</x:v>
      </x:c>
      <x:c r="M1082" s="4" t="n">
        <x:f>ROUND(I1082*J1082*(1-L1082),2)</x:f>
        <x:v>60.92</x:v>
      </x:c>
      <x:c r="N1082" s="4" t="n">
        <x:f>ROUND(I1082*K1082,2)</x:f>
        <x:v>24</x:v>
      </x:c>
      <x:c r="O1082" s="4" t="n">
        <x:f>ROUND(M1082-N1082,2)</x:f>
        <x:v>36.92</x:v>
      </x:c>
      <x:c r="P1082" s="6" t="n">
        <x:v>3.9</x:v>
      </x:c>
      <x:c r="Q1082" t="str">
        <x:v>No</x:v>
      </x:c>
    </x:row>
    <x:row r="1083">
      <x:c r="A1083" t="str">
        <x:v>ORD-01286</x:v>
      </x:c>
      <x:c r="B1083" s="3" t="n">
        <x:v>45738.504557002314</x:v>
      </x:c>
      <x:c r="C1083" t="str">
        <x:v>2025-03</x:v>
      </x:c>
      <x:c r="D1083" t="str">
        <x:v>CUS-0071</x:v>
      </x:c>
      <x:c r="E1083" t="str">
        <x:v>Wales</x:v>
      </x:c>
      <x:c r="F1083" t="str">
        <x:v>Marketplace</x:v>
      </x:c>
      <x:c r="G1083" t="str">
        <x:v>Electronics</x:v>
      </x:c>
      <x:c r="H1083" t="str">
        <x:v>Smart Watch</x:v>
      </x:c>
      <x:c r="I1083" t="n">
        <x:v>4</x:v>
      </x:c>
      <x:c r="J1083" s="4" t="n">
        <x:v>155.62</x:v>
      </x:c>
      <x:c r="K1083" s="4" t="n">
        <x:v>92</x:v>
      </x:c>
      <x:c r="L1083" s="5" t="n">
        <x:v>0.05</x:v>
      </x:c>
      <x:c r="M1083" s="4" t="n">
        <x:f>ROUND(I1083*J1083*(1-L1083),2)</x:f>
        <x:v>591.36</x:v>
      </x:c>
      <x:c r="N1083" s="4" t="n">
        <x:f>ROUND(I1083*K1083,2)</x:f>
        <x:v>368</x:v>
      </x:c>
      <x:c r="O1083" s="4" t="n">
        <x:f>ROUND(M1083-N1083,2)</x:f>
        <x:v>223.36</x:v>
      </x:c>
      <x:c r="P1083" s="6" t="n">
        <x:v>3.4</x:v>
      </x:c>
      <x:c r="Q1083" t="str">
        <x:v>No</x:v>
      </x:c>
    </x:row>
    <x:row r="1084">
      <x:c r="A1084" t="str">
        <x:v>ORD-01440</x:v>
      </x:c>
      <x:c r="B1084" s="3" t="n">
        <x:v>45738.737596527775</x:v>
      </x:c>
      <x:c r="C1084" t="str">
        <x:v>2025-03</x:v>
      </x:c>
      <x:c r="D1084" t="str">
        <x:v>CUS-0335</x:v>
      </x:c>
      <x:c r="E1084" t="str">
        <x:v>Wales</x:v>
      </x:c>
      <x:c r="F1084" t="str">
        <x:v>Online</x:v>
      </x:c>
      <x:c r="G1084" t="str">
        <x:v>Sports</x:v>
      </x:c>
      <x:c r="H1084" t="str">
        <x:v>Yoga Mat</x:v>
      </x:c>
      <x:c r="I1084" t="n">
        <x:v>5</x:v>
      </x:c>
      <x:c r="J1084" s="4" t="n">
        <x:v>28.7</x:v>
      </x:c>
      <x:c r="K1084" s="4" t="n">
        <x:v>12</x:v>
      </x:c>
      <x:c r="L1084" s="5" t="n">
        <x:v>0.05</x:v>
      </x:c>
      <x:c r="M1084" s="4" t="n">
        <x:f>ROUND(I1084*J1084*(1-L1084),2)</x:f>
        <x:v>136.32</x:v>
      </x:c>
      <x:c r="N1084" s="4" t="n">
        <x:f>ROUND(I1084*K1084,2)</x:f>
        <x:v>60</x:v>
      </x:c>
      <x:c r="O1084" s="4" t="n">
        <x:f>ROUND(M1084-N1084,2)</x:f>
        <x:v>76.32</x:v>
      </x:c>
      <x:c r="P1084" s="6" t="n">
        <x:v>4.5</x:v>
      </x:c>
      <x:c r="Q1084" t="str">
        <x:v>No</x:v>
      </x:c>
    </x:row>
    <x:row r="1085">
      <x:c r="A1085" t="str">
        <x:v>ORD-01073</x:v>
      </x:c>
      <x:c r="B1085" s="3" t="n">
        <x:v>45739.63855052083</x:v>
      </x:c>
      <x:c r="C1085" t="str">
        <x:v>2025-03</x:v>
      </x:c>
      <x:c r="D1085" t="str">
        <x:v>CUS-0098</x:v>
      </x:c>
      <x:c r="E1085" t="str">
        <x:v>Midlands</x:v>
      </x:c>
      <x:c r="F1085" t="str">
        <x:v>Online</x:v>
      </x:c>
      <x:c r="G1085" t="str">
        <x:v>Beauty</x:v>
      </x:c>
      <x:c r="H1085" t="str">
        <x:v>Skin Care Set</x:v>
      </x:c>
      <x:c r="I1085" t="n">
        <x:v>3</x:v>
      </x:c>
      <x:c r="J1085" s="4" t="n">
        <x:v>45.48</x:v>
      </x:c>
      <x:c r="K1085" s="4" t="n">
        <x:v>18</x:v>
      </x:c>
      <x:c r="L1085" s="5" t="n">
        <x:v>0</x:v>
      </x:c>
      <x:c r="M1085" s="4" t="n">
        <x:f>ROUND(I1085*J1085*(1-L1085),2)</x:f>
        <x:v>136.44</x:v>
      </x:c>
      <x:c r="N1085" s="4" t="n">
        <x:f>ROUND(I1085*K1085,2)</x:f>
        <x:v>54</x:v>
      </x:c>
      <x:c r="O1085" s="4" t="n">
        <x:f>ROUND(M1085-N1085,2)</x:f>
        <x:v>82.44</x:v>
      </x:c>
      <x:c r="P1085" s="6" t="n">
        <x:v>3.9</x:v>
      </x:c>
      <x:c r="Q1085" t="str">
        <x:v>No</x:v>
      </x:c>
    </x:row>
    <x:row r="1086">
      <x:c r="A1086" t="str">
        <x:v>ORD-01767</x:v>
      </x:c>
      <x:c r="B1086" s="3" t="n">
        <x:v>45739.69860372685</x:v>
      </x:c>
      <x:c r="C1086" t="str">
        <x:v>2025-03</x:v>
      </x:c>
      <x:c r="D1086" t="str">
        <x:v>CUS-0550</x:v>
      </x:c>
      <x:c r="E1086" t="str">
        <x:v>North East</x:v>
      </x:c>
      <x:c r="F1086" t="str">
        <x:v>Store</x:v>
      </x:c>
      <x:c r="G1086" t="str">
        <x:v>Fashion</x:v>
      </x:c>
      <x:c r="H1086" t="str">
        <x:v>Classic Trainers</x:v>
      </x:c>
      <x:c r="I1086" t="n">
        <x:v>2</x:v>
      </x:c>
      <x:c r="J1086" s="4" t="n">
        <x:v>69.14</x:v>
      </x:c>
      <x:c r="K1086" s="4" t="n">
        <x:v>32</x:v>
      </x:c>
      <x:c r="L1086" s="5" t="n">
        <x:v>0.2</x:v>
      </x:c>
      <x:c r="M1086" s="4" t="n">
        <x:f>ROUND(I1086*J1086*(1-L1086),2)</x:f>
        <x:v>110.62</x:v>
      </x:c>
      <x:c r="N1086" s="4" t="n">
        <x:f>ROUND(I1086*K1086,2)</x:f>
        <x:v>64</x:v>
      </x:c>
      <x:c r="O1086" s="4" t="n">
        <x:f>ROUND(M1086-N1086,2)</x:f>
        <x:v>46.62</x:v>
      </x:c>
      <x:c r="P1086" s="6" t="n">
        <x:v>4.9</x:v>
      </x:c>
      <x:c r="Q1086" t="str">
        <x:v>No</x:v>
      </x:c>
    </x:row>
    <x:row r="1087">
      <x:c r="A1087" t="str">
        <x:v>ORD-00438</x:v>
      </x:c>
      <x:c r="B1087" s="3" t="n">
        <x:v>45740.13890466435</x:v>
      </x:c>
      <x:c r="C1087" t="str">
        <x:v>2025-03</x:v>
      </x:c>
      <x:c r="D1087" t="str">
        <x:v>CUS-0048</x:v>
      </x:c>
      <x:c r="E1087" t="str">
        <x:v>Scotland</x:v>
      </x:c>
      <x:c r="F1087" t="str">
        <x:v>Online</x:v>
      </x:c>
      <x:c r="G1087" t="str">
        <x:v>Fashion</x:v>
      </x:c>
      <x:c r="H1087" t="str">
        <x:v>Backpack</x:v>
      </x:c>
      <x:c r="I1087" t="n">
        <x:v>1</x:v>
      </x:c>
      <x:c r="J1087" s="4" t="n">
        <x:v>52.19</x:v>
      </x:c>
      <x:c r="K1087" s="4" t="n">
        <x:v>21</x:v>
      </x:c>
      <x:c r="L1087" s="5" t="n">
        <x:v>0.2</x:v>
      </x:c>
      <x:c r="M1087" s="4" t="n">
        <x:f>ROUND(I1087*J1087*(1-L1087),2)</x:f>
        <x:v>41.75</x:v>
      </x:c>
      <x:c r="N1087" s="4" t="n">
        <x:f>ROUND(I1087*K1087,2)</x:f>
        <x:v>21</x:v>
      </x:c>
      <x:c r="O1087" s="4" t="n">
        <x:f>ROUND(M1087-N1087,2)</x:f>
        <x:v>20.75</x:v>
      </x:c>
      <x:c r="P1087" s="6" t="n">
        <x:v>4.6</x:v>
      </x:c>
      <x:c r="Q1087" t="str">
        <x:v>No</x:v>
      </x:c>
    </x:row>
    <x:row r="1088">
      <x:c r="A1088" t="str">
        <x:v>ORD-01046</x:v>
      </x:c>
      <x:c r="B1088" s="3" t="n">
        <x:v>45740.46701318287</x:v>
      </x:c>
      <x:c r="C1088" t="str">
        <x:v>2025-03</x:v>
      </x:c>
      <x:c r="D1088" t="str">
        <x:v>CUS-0470</x:v>
      </x:c>
      <x:c r="E1088" t="str">
        <x:v>Wales</x:v>
      </x:c>
      <x:c r="F1088" t="str">
        <x:v>Online</x:v>
      </x:c>
      <x:c r="G1088" t="str">
        <x:v>Beauty</x:v>
      </x:c>
      <x:c r="H1088" t="str">
        <x:v>Hair Dryer</x:v>
      </x:c>
      <x:c r="I1088" t="n">
        <x:v>3</x:v>
      </x:c>
      <x:c r="J1088" s="4" t="n">
        <x:v>60.1</x:v>
      </x:c>
      <x:c r="K1088" s="4" t="n">
        <x:v>29</x:v>
      </x:c>
      <x:c r="L1088" s="5" t="n">
        <x:v>0.15</x:v>
      </x:c>
      <x:c r="M1088" s="4" t="n">
        <x:f>ROUND(I1088*J1088*(1-L1088),2)</x:f>
        <x:v>153.26</x:v>
      </x:c>
      <x:c r="N1088" s="4" t="n">
        <x:f>ROUND(I1088*K1088,2)</x:f>
        <x:v>87</x:v>
      </x:c>
      <x:c r="O1088" s="4" t="n">
        <x:f>ROUND(M1088-N1088,2)</x:f>
        <x:v>66.26</x:v>
      </x:c>
      <x:c r="P1088" s="6" t="n">
        <x:v>4.2</x:v>
      </x:c>
      <x:c r="Q1088" t="str">
        <x:v>No</x:v>
      </x:c>
    </x:row>
    <x:row r="1089">
      <x:c r="A1089" t="str">
        <x:v>ORD-01400</x:v>
      </x:c>
      <x:c r="B1089" s="3" t="n">
        <x:v>45741.19689024305</x:v>
      </x:c>
      <x:c r="C1089" t="str">
        <x:v>2025-03</x:v>
      </x:c>
      <x:c r="D1089" t="str">
        <x:v>CUS-0588</x:v>
      </x:c>
      <x:c r="E1089" t="str">
        <x:v>North East</x:v>
      </x:c>
      <x:c r="F1089" t="str">
        <x:v>Marketplace</x:v>
      </x:c>
      <x:c r="G1089" t="str">
        <x:v>Electronics</x:v>
      </x:c>
      <x:c r="H1089" t="str">
        <x:v>Smart Watch</x:v>
      </x:c>
      <x:c r="I1089" t="n">
        <x:v>3</x:v>
      </x:c>
      <x:c r="J1089" s="4" t="n">
        <x:v>165.19</x:v>
      </x:c>
      <x:c r="K1089" s="4" t="n">
        <x:v>92</x:v>
      </x:c>
      <x:c r="L1089" s="5" t="n">
        <x:v>0</x:v>
      </x:c>
      <x:c r="M1089" s="4" t="n">
        <x:f>ROUND(I1089*J1089*(1-L1089),2)</x:f>
        <x:v>495.57</x:v>
      </x:c>
      <x:c r="N1089" s="4" t="n">
        <x:f>ROUND(I1089*K1089,2)</x:f>
        <x:v>276</x:v>
      </x:c>
      <x:c r="O1089" s="4" t="n">
        <x:f>ROUND(M1089-N1089,2)</x:f>
        <x:v>219.57</x:v>
      </x:c>
      <x:c r="P1089" s="6" t="n">
        <x:v>3.7</x:v>
      </x:c>
      <x:c r="Q1089" t="str">
        <x:v>No</x:v>
      </x:c>
    </x:row>
    <x:row r="1090">
      <x:c r="A1090" t="str">
        <x:v>ORD-00833</x:v>
      </x:c>
      <x:c r="B1090" s="3" t="n">
        <x:v>45742.00596722222</x:v>
      </x:c>
      <x:c r="C1090" t="str">
        <x:v>2025-03</x:v>
      </x:c>
      <x:c r="D1090" t="str">
        <x:v>CUS-0116</x:v>
      </x:c>
      <x:c r="E1090" t="str">
        <x:v>North West</x:v>
      </x:c>
      <x:c r="F1090" t="str">
        <x:v>Marketplace</x:v>
      </x:c>
      <x:c r="G1090" t="str">
        <x:v>Books</x:v>
      </x:c>
      <x:c r="H1090" t="str">
        <x:v>Data Analytics Handbook</x:v>
      </x:c>
      <x:c r="I1090" t="n">
        <x:v>2</x:v>
      </x:c>
      <x:c r="J1090" s="4" t="n">
        <x:v>41.18</x:v>
      </x:c>
      <x:c r="K1090" s="4" t="n">
        <x:v>14</x:v>
      </x:c>
      <x:c r="L1090" s="5" t="n">
        <x:v>0.15</x:v>
      </x:c>
      <x:c r="M1090" s="4" t="n">
        <x:f>ROUND(I1090*J1090*(1-L1090),2)</x:f>
        <x:v>70.01</x:v>
      </x:c>
      <x:c r="N1090" s="4" t="n">
        <x:f>ROUND(I1090*K1090,2)</x:f>
        <x:v>28</x:v>
      </x:c>
      <x:c r="O1090" s="4" t="n">
        <x:f>ROUND(M1090-N1090,2)</x:f>
        <x:v>42.01</x:v>
      </x:c>
      <x:c r="P1090" s="6" t="n">
        <x:v>5</x:v>
      </x:c>
      <x:c r="Q1090" t="str">
        <x:v>No</x:v>
      </x:c>
    </x:row>
    <x:row r="1091">
      <x:c r="A1091" t="str">
        <x:v>ORD-01625</x:v>
      </x:c>
      <x:c r="B1091" s="3" t="n">
        <x:v>45742.36748976852</x:v>
      </x:c>
      <x:c r="C1091" t="str">
        <x:v>2025-03</x:v>
      </x:c>
      <x:c r="D1091" t="str">
        <x:v>CUS-0186</x:v>
      </x:c>
      <x:c r="E1091" t="str">
        <x:v>London</x:v>
      </x:c>
      <x:c r="F1091" t="str">
        <x:v>Online</x:v>
      </x:c>
      <x:c r="G1091" t="str">
        <x:v>Home</x:v>
      </x:c>
      <x:c r="H1091" t="str">
        <x:v>Coffee Maker</x:v>
      </x:c>
      <x:c r="I1091" t="n">
        <x:v>2</x:v>
      </x:c>
      <x:c r="J1091" s="4" t="n">
        <x:v>74.95</x:v>
      </x:c>
      <x:c r="K1091" s="4" t="n">
        <x:v>41</x:v>
      </x:c>
      <x:c r="L1091" s="5" t="n">
        <x:v>0.15</x:v>
      </x:c>
      <x:c r="M1091" s="4" t="n">
        <x:f>ROUND(I1091*J1091*(1-L1091),2)</x:f>
        <x:v>127.42</x:v>
      </x:c>
      <x:c r="N1091" s="4" t="n">
        <x:f>ROUND(I1091*K1091,2)</x:f>
        <x:v>82</x:v>
      </x:c>
      <x:c r="O1091" s="4" t="n">
        <x:f>ROUND(M1091-N1091,2)</x:f>
        <x:v>45.42</x:v>
      </x:c>
      <x:c r="P1091" s="6" t="n">
        <x:v>4.5</x:v>
      </x:c>
      <x:c r="Q1091" t="str">
        <x:v>No</x:v>
      </x:c>
    </x:row>
    <x:row r="1092">
      <x:c r="A1092" t="str">
        <x:v>ORD-01668</x:v>
      </x:c>
      <x:c r="B1092" s="3" t="n">
        <x:v>45742.57037488426</x:v>
      </x:c>
      <x:c r="C1092" t="str">
        <x:v>2025-03</x:v>
      </x:c>
      <x:c r="D1092" t="str">
        <x:v>CUS-0448</x:v>
      </x:c>
      <x:c r="E1092" t="str">
        <x:v>North West</x:v>
      </x:c>
      <x:c r="F1092" t="str">
        <x:v>Online</x:v>
      </x:c>
      <x:c r="G1092" t="str">
        <x:v>Beauty</x:v>
      </x:c>
      <x:c r="H1092" t="str">
        <x:v>Hair Dryer</x:v>
      </x:c>
      <x:c r="I1092" t="n">
        <x:v>3</x:v>
      </x:c>
      <x:c r="J1092" s="4" t="n">
        <x:v>57.69</x:v>
      </x:c>
      <x:c r="K1092" s="4" t="n">
        <x:v>29</x:v>
      </x:c>
      <x:c r="L1092" s="5" t="n">
        <x:v>0.2</x:v>
      </x:c>
      <x:c r="M1092" s="4" t="n">
        <x:f>ROUND(I1092*J1092*(1-L1092),2)</x:f>
        <x:v>138.46</x:v>
      </x:c>
      <x:c r="N1092" s="4" t="n">
        <x:f>ROUND(I1092*K1092,2)</x:f>
        <x:v>87</x:v>
      </x:c>
      <x:c r="O1092" s="4" t="n">
        <x:f>ROUND(M1092-N1092,2)</x:f>
        <x:v>51.46</x:v>
      </x:c>
      <x:c r="P1092" s="6" t="n">
        <x:v>4.7</x:v>
      </x:c>
      <x:c r="Q1092" t="str">
        <x:v>No</x:v>
      </x:c>
    </x:row>
    <x:row r="1093">
      <x:c r="A1093" t="str">
        <x:v>ORD-00705</x:v>
      </x:c>
      <x:c r="B1093" s="3" t="n">
        <x:v>45742.72890898148</x:v>
      </x:c>
      <x:c r="C1093" t="str">
        <x:v>2025-03</x:v>
      </x:c>
      <x:c r="D1093" t="str">
        <x:v>CUS-0212</x:v>
      </x:c>
      <x:c r="E1093" t="str">
        <x:v>South West</x:v>
      </x:c>
      <x:c r="F1093" t="str">
        <x:v>Online</x:v>
      </x:c>
      <x:c r="G1093" t="str">
        <x:v>Home</x:v>
      </x:c>
      <x:c r="H1093" t="str">
        <x:v>Desk Lamp</x:v>
      </x:c>
      <x:c r="I1093" t="n">
        <x:v>2</x:v>
      </x:c>
      <x:c r="J1093" s="4" t="n">
        <x:v>35.65</x:v>
      </x:c>
      <x:c r="K1093" s="4" t="n">
        <x:v>17</x:v>
      </x:c>
      <x:c r="L1093" s="5" t="n">
        <x:v>0</x:v>
      </x:c>
      <x:c r="M1093" s="4" t="n">
        <x:f>ROUND(I1093*J1093*(1-L1093),2)</x:f>
        <x:v>71.3</x:v>
      </x:c>
      <x:c r="N1093" s="4" t="n">
        <x:f>ROUND(I1093*K1093,2)</x:f>
        <x:v>34</x:v>
      </x:c>
      <x:c r="O1093" s="4" t="n">
        <x:f>ROUND(M1093-N1093,2)</x:f>
        <x:v>37.3</x:v>
      </x:c>
      <x:c r="P1093" s="6" t="n">
        <x:v>3.5</x:v>
      </x:c>
      <x:c r="Q1093" t="str">
        <x:v>No</x:v>
      </x:c>
    </x:row>
    <x:row r="1094">
      <x:c r="A1094" t="str">
        <x:v>ORD-00998</x:v>
      </x:c>
      <x:c r="B1094" s="3" t="n">
        <x:v>45743.094388680554</x:v>
      </x:c>
      <x:c r="C1094" t="str">
        <x:v>2025-03</x:v>
      </x:c>
      <x:c r="D1094" t="str">
        <x:v>CUS-0532</x:v>
      </x:c>
      <x:c r="E1094" t="str">
        <x:v>Scotland</x:v>
      </x:c>
      <x:c r="F1094" t="str">
        <x:v>Store</x:v>
      </x:c>
      <x:c r="G1094" t="str">
        <x:v>Fashion</x:v>
      </x:c>
      <x:c r="H1094" t="str">
        <x:v>Backpack</x:v>
      </x:c>
      <x:c r="I1094" t="n">
        <x:v>1</x:v>
      </x:c>
      <x:c r="J1094" s="4" t="n">
        <x:v>48.5</x:v>
      </x:c>
      <x:c r="K1094" s="4" t="n">
        <x:v>21</x:v>
      </x:c>
      <x:c r="L1094" s="5" t="n">
        <x:v>0.1</x:v>
      </x:c>
      <x:c r="M1094" s="4" t="n">
        <x:f>ROUND(I1094*J1094*(1-L1094),2)</x:f>
        <x:v>43.65</x:v>
      </x:c>
      <x:c r="N1094" s="4" t="n">
        <x:f>ROUND(I1094*K1094,2)</x:f>
        <x:v>21</x:v>
      </x:c>
      <x:c r="O1094" s="4" t="n">
        <x:f>ROUND(M1094-N1094,2)</x:f>
        <x:v>22.65</x:v>
      </x:c>
      <x:c r="P1094" s="6" t="n">
        <x:v>4.3</x:v>
      </x:c>
      <x:c r="Q1094" t="str">
        <x:v>No</x:v>
      </x:c>
    </x:row>
    <x:row r="1095">
      <x:c r="A1095" t="str">
        <x:v>ORD-00162</x:v>
      </x:c>
      <x:c r="B1095" s="3" t="n">
        <x:v>45743.362852604165</x:v>
      </x:c>
      <x:c r="C1095" t="str">
        <x:v>2025-03</x:v>
      </x:c>
      <x:c r="D1095" t="str">
        <x:v>CUS-0015</x:v>
      </x:c>
      <x:c r="E1095" t="str">
        <x:v>South East</x:v>
      </x:c>
      <x:c r="F1095" t="str">
        <x:v>Online</x:v>
      </x:c>
      <x:c r="G1095" t="str">
        <x:v>Beauty</x:v>
      </x:c>
      <x:c r="H1095" t="str">
        <x:v>Hair Dryer</x:v>
      </x:c>
      <x:c r="I1095" t="n">
        <x:v>5</x:v>
      </x:c>
      <x:c r="J1095" s="4" t="n">
        <x:v>62.96</x:v>
      </x:c>
      <x:c r="K1095" s="4" t="n">
        <x:v>29</x:v>
      </x:c>
      <x:c r="L1095" s="5" t="n">
        <x:v>0.1</x:v>
      </x:c>
      <x:c r="M1095" s="4" t="n">
        <x:f>ROUND(I1095*J1095*(1-L1095),2)</x:f>
        <x:v>283.32</x:v>
      </x:c>
      <x:c r="N1095" s="4" t="n">
        <x:f>ROUND(I1095*K1095,2)</x:f>
        <x:v>145</x:v>
      </x:c>
      <x:c r="O1095" s="4" t="n">
        <x:f>ROUND(M1095-N1095,2)</x:f>
        <x:v>138.32</x:v>
      </x:c>
      <x:c r="P1095" s="6" t="n">
        <x:v>5</x:v>
      </x:c>
      <x:c r="Q1095" t="str">
        <x:v>No</x:v>
      </x:c>
    </x:row>
    <x:row r="1096">
      <x:c r="A1096" t="str">
        <x:v>ORD-00907</x:v>
      </x:c>
      <x:c r="B1096" s="3" t="n">
        <x:v>45744.16261269676</x:v>
      </x:c>
      <x:c r="C1096" t="str">
        <x:v>2025-03</x:v>
      </x:c>
      <x:c r="D1096" t="str">
        <x:v>CUS-0333</x:v>
      </x:c>
      <x:c r="E1096" t="str">
        <x:v>London</x:v>
      </x:c>
      <x:c r="F1096" t="str">
        <x:v>Online</x:v>
      </x:c>
      <x:c r="G1096" t="str">
        <x:v>Sports</x:v>
      </x:c>
      <x:c r="H1096" t="str">
        <x:v>Running Shoes</x:v>
      </x:c>
      <x:c r="I1096" t="n">
        <x:v>3</x:v>
      </x:c>
      <x:c r="J1096" s="4" t="n">
        <x:v>83.01</x:v>
      </x:c>
      <x:c r="K1096" s="4" t="n">
        <x:v>38</x:v>
      </x:c>
      <x:c r="L1096" s="5" t="n">
        <x:v>0</x:v>
      </x:c>
      <x:c r="M1096" s="4" t="n">
        <x:f>ROUND(I1096*J1096*(1-L1096),2)</x:f>
        <x:v>249.03</x:v>
      </x:c>
      <x:c r="N1096" s="4" t="n">
        <x:f>ROUND(I1096*K1096,2)</x:f>
        <x:v>114</x:v>
      </x:c>
      <x:c r="O1096" s="4" t="n">
        <x:f>ROUND(M1096-N1096,2)</x:f>
        <x:v>135.03</x:v>
      </x:c>
      <x:c r="P1096" s="6" t="n">
        <x:v>4.5</x:v>
      </x:c>
      <x:c r="Q1096" t="str">
        <x:v>No</x:v>
      </x:c>
    </x:row>
    <x:row r="1097">
      <x:c r="A1097" t="str">
        <x:v>ORD-00881</x:v>
      </x:c>
      <x:c r="B1097" s="3" t="n">
        <x:v>45744.212228599536</x:v>
      </x:c>
      <x:c r="C1097" t="str">
        <x:v>2025-03</x:v>
      </x:c>
      <x:c r="D1097" t="str">
        <x:v>CUS-0089</x:v>
      </x:c>
      <x:c r="E1097" t="str">
        <x:v>North East</x:v>
      </x:c>
      <x:c r="F1097" t="str">
        <x:v>Store</x:v>
      </x:c>
      <x:c r="G1097" t="str">
        <x:v>Sports</x:v>
      </x:c>
      <x:c r="H1097" t="str">
        <x:v>Fitness Tracker</x:v>
      </x:c>
      <x:c r="I1097" t="n">
        <x:v>3</x:v>
      </x:c>
      <x:c r="J1097" s="4" t="n">
        <x:v>55.25</x:v>
      </x:c>
      <x:c r="K1097" s="4" t="n">
        <x:v>27</x:v>
      </x:c>
      <x:c r="L1097" s="5" t="n">
        <x:v>0.05</x:v>
      </x:c>
      <x:c r="M1097" s="4" t="n">
        <x:f>ROUND(I1097*J1097*(1-L1097),2)</x:f>
        <x:v>157.46</x:v>
      </x:c>
      <x:c r="N1097" s="4" t="n">
        <x:f>ROUND(I1097*K1097,2)</x:f>
        <x:v>81</x:v>
      </x:c>
      <x:c r="O1097" s="4" t="n">
        <x:f>ROUND(M1097-N1097,2)</x:f>
        <x:v>76.46</x:v>
      </x:c>
      <x:c r="P1097" s="6" t="n">
        <x:v>4.8</x:v>
      </x:c>
      <x:c r="Q1097" t="str">
        <x:v>No</x:v>
      </x:c>
    </x:row>
    <x:row r="1098">
      <x:c r="A1098" t="str">
        <x:v>ORD-00224</x:v>
      </x:c>
      <x:c r="B1098" s="3" t="n">
        <x:v>45744.3766075</x:v>
      </x:c>
      <x:c r="C1098" t="str">
        <x:v>2025-03</x:v>
      </x:c>
      <x:c r="D1098" t="str">
        <x:v>CUS-0164</x:v>
      </x:c>
      <x:c r="E1098" t="str">
        <x:v>South East</x:v>
      </x:c>
      <x:c r="F1098" t="str">
        <x:v>Marketplace</x:v>
      </x:c>
      <x:c r="G1098" t="str">
        <x:v>Home</x:v>
      </x:c>
      <x:c r="H1098" t="str">
        <x:v>Desk Lamp</x:v>
      </x:c>
      <x:c r="I1098" t="n">
        <x:v>2</x:v>
      </x:c>
      <x:c r="J1098" s="4" t="n">
        <x:v>33.37</x:v>
      </x:c>
      <x:c r="K1098" s="4" t="n">
        <x:v>17</x:v>
      </x:c>
      <x:c r="L1098" s="5" t="n">
        <x:v>0.15</x:v>
      </x:c>
      <x:c r="M1098" s="4" t="n">
        <x:f>ROUND(I1098*J1098*(1-L1098),2)</x:f>
        <x:v>56.73</x:v>
      </x:c>
      <x:c r="N1098" s="4" t="n">
        <x:f>ROUND(I1098*K1098,2)</x:f>
        <x:v>34</x:v>
      </x:c>
      <x:c r="O1098" s="4" t="n">
        <x:f>ROUND(M1098-N1098,2)</x:f>
        <x:v>22.73</x:v>
      </x:c>
      <x:c r="P1098" s="6" t="n">
        <x:v>4.5</x:v>
      </x:c>
      <x:c r="Q1098" t="str">
        <x:v>No</x:v>
      </x:c>
    </x:row>
    <x:row r="1099">
      <x:c r="A1099" t="str">
        <x:v>ORD-01496</x:v>
      </x:c>
      <x:c r="B1099" s="3" t="n">
        <x:v>45744.69227991898</x:v>
      </x:c>
      <x:c r="C1099" t="str">
        <x:v>2025-03</x:v>
      </x:c>
      <x:c r="D1099" t="str">
        <x:v>CUS-0513</x:v>
      </x:c>
      <x:c r="E1099" t="str">
        <x:v>London</x:v>
      </x:c>
      <x:c r="F1099" t="str">
        <x:v>Online</x:v>
      </x:c>
      <x:c r="G1099" t="str">
        <x:v>Electronics</x:v>
      </x:c>
      <x:c r="H1099" t="str">
        <x:v>Bluetooth Speaker</x:v>
      </x:c>
      <x:c r="I1099" t="n">
        <x:v>2</x:v>
      </x:c>
      <x:c r="J1099" s="4" t="n">
        <x:v>63.05</x:v>
      </x:c>
      <x:c r="K1099" s="4" t="n">
        <x:v>34</x:v>
      </x:c>
      <x:c r="L1099" s="5" t="n">
        <x:v>0.15</x:v>
      </x:c>
      <x:c r="M1099" s="4" t="n">
        <x:f>ROUND(I1099*J1099*(1-L1099),2)</x:f>
        <x:v>107.18</x:v>
      </x:c>
      <x:c r="N1099" s="4" t="n">
        <x:f>ROUND(I1099*K1099,2)</x:f>
        <x:v>68</x:v>
      </x:c>
      <x:c r="O1099" s="4" t="n">
        <x:f>ROUND(M1099-N1099,2)</x:f>
        <x:v>39.18</x:v>
      </x:c>
      <x:c r="P1099" s="6" t="n">
        <x:v>4.1</x:v>
      </x:c>
      <x:c r="Q1099" t="str">
        <x:v>No</x:v>
      </x:c>
    </x:row>
    <x:row r="1100">
      <x:c r="A1100" t="str">
        <x:v>ORD-00970</x:v>
      </x:c>
      <x:c r="B1100" s="3" t="n">
        <x:v>45744.742090266205</x:v>
      </x:c>
      <x:c r="C1100" t="str">
        <x:v>2025-03</x:v>
      </x:c>
      <x:c r="D1100" t="str">
        <x:v>CUS-0335</x:v>
      </x:c>
      <x:c r="E1100" t="str">
        <x:v>North East</x:v>
      </x:c>
      <x:c r="F1100" t="str">
        <x:v>Store</x:v>
      </x:c>
      <x:c r="G1100" t="str">
        <x:v>Fashion</x:v>
      </x:c>
      <x:c r="H1100" t="str">
        <x:v>Classic Trainers</x:v>
      </x:c>
      <x:c r="I1100" t="n">
        <x:v>5</x:v>
      </x:c>
      <x:c r="J1100" s="4" t="n">
        <x:v>68.01</x:v>
      </x:c>
      <x:c r="K1100" s="4" t="n">
        <x:v>32</x:v>
      </x:c>
      <x:c r="L1100" s="5" t="n">
        <x:v>0</x:v>
      </x:c>
      <x:c r="M1100" s="4" t="n">
        <x:f>ROUND(I1100*J1100*(1-L1100),2)</x:f>
        <x:v>340.05</x:v>
      </x:c>
      <x:c r="N1100" s="4" t="n">
        <x:f>ROUND(I1100*K1100,2)</x:f>
        <x:v>160</x:v>
      </x:c>
      <x:c r="O1100" s="4" t="n">
        <x:f>ROUND(M1100-N1100,2)</x:f>
        <x:v>180.05</x:v>
      </x:c>
      <x:c r="P1100" s="6" t="n">
        <x:v>3.3</x:v>
      </x:c>
      <x:c r="Q1100" t="str">
        <x:v>No</x:v>
      </x:c>
    </x:row>
    <x:row r="1101">
      <x:c r="A1101" t="str">
        <x:v>ORD-00433</x:v>
      </x:c>
      <x:c r="B1101" s="3" t="n">
        <x:v>45744.862832673614</x:v>
      </x:c>
      <x:c r="C1101" t="str">
        <x:v>2025-03</x:v>
      </x:c>
      <x:c r="D1101" t="str">
        <x:v>CUS-0581</x:v>
      </x:c>
      <x:c r="E1101" t="str">
        <x:v>North East</x:v>
      </x:c>
      <x:c r="F1101" t="str">
        <x:v>Store</x:v>
      </x:c>
      <x:c r="G1101" t="str">
        <x:v>Electronics</x:v>
      </x:c>
      <x:c r="H1101" t="str">
        <x:v>Wireless Headphones</x:v>
      </x:c>
      <x:c r="I1101" t="n">
        <x:v>5</x:v>
      </x:c>
      <x:c r="J1101" s="4" t="n">
        <x:v>87.95</x:v>
      </x:c>
      <x:c r="K1101" s="4" t="n">
        <x:v>48</x:v>
      </x:c>
      <x:c r="L1101" s="5" t="n">
        <x:v>0</x:v>
      </x:c>
      <x:c r="M1101" s="4" t="n">
        <x:f>ROUND(I1101*J1101*(1-L1101),2)</x:f>
        <x:v>439.75</x:v>
      </x:c>
      <x:c r="N1101" s="4" t="n">
        <x:f>ROUND(I1101*K1101,2)</x:f>
        <x:v>240</x:v>
      </x:c>
      <x:c r="O1101" s="4" t="n">
        <x:f>ROUND(M1101-N1101,2)</x:f>
        <x:v>199.75</x:v>
      </x:c>
      <x:c r="P1101" s="6" t="n">
        <x:v>3.2</x:v>
      </x:c>
      <x:c r="Q1101" t="str">
        <x:v>No</x:v>
      </x:c>
    </x:row>
    <x:row r="1102">
      <x:c r="A1102" t="str">
        <x:v>ORD-00368</x:v>
      </x:c>
      <x:c r="B1102" s="3" t="n">
        <x:v>45745.214250717596</x:v>
      </x:c>
      <x:c r="C1102" t="str">
        <x:v>2025-03</x:v>
      </x:c>
      <x:c r="D1102" t="str">
        <x:v>CUS-0557</x:v>
      </x:c>
      <x:c r="E1102" t="str">
        <x:v>North East</x:v>
      </x:c>
      <x:c r="F1102" t="str">
        <x:v>Store</x:v>
      </x:c>
      <x:c r="G1102" t="str">
        <x:v>Home</x:v>
      </x:c>
      <x:c r="H1102" t="str">
        <x:v>Desk Lamp</x:v>
      </x:c>
      <x:c r="I1102" t="n">
        <x:v>4</x:v>
      </x:c>
      <x:c r="J1102" s="4" t="n">
        <x:v>34.46</x:v>
      </x:c>
      <x:c r="K1102" s="4" t="n">
        <x:v>17</x:v>
      </x:c>
      <x:c r="L1102" s="5" t="n">
        <x:v>0</x:v>
      </x:c>
      <x:c r="M1102" s="4" t="n">
        <x:f>ROUND(I1102*J1102*(1-L1102),2)</x:f>
        <x:v>137.84</x:v>
      </x:c>
      <x:c r="N1102" s="4" t="n">
        <x:f>ROUND(I1102*K1102,2)</x:f>
        <x:v>68</x:v>
      </x:c>
      <x:c r="O1102" s="4" t="n">
        <x:f>ROUND(M1102-N1102,2)</x:f>
        <x:v>69.84</x:v>
      </x:c>
      <x:c r="P1102" s="6" t="n">
        <x:v>3.8</x:v>
      </x:c>
      <x:c r="Q1102" t="str">
        <x:v>No</x:v>
      </x:c>
    </x:row>
    <x:row r="1103">
      <x:c r="A1103" t="str">
        <x:v>ORD-00153</x:v>
      </x:c>
      <x:c r="B1103" s="3" t="n">
        <x:v>45745.32767844907</x:v>
      </x:c>
      <x:c r="C1103" t="str">
        <x:v>2025-03</x:v>
      </x:c>
      <x:c r="D1103" t="str">
        <x:v>CUS-0115</x:v>
      </x:c>
      <x:c r="E1103" t="str">
        <x:v>South East</x:v>
      </x:c>
      <x:c r="F1103" t="str">
        <x:v>Marketplace</x:v>
      </x:c>
      <x:c r="G1103" t="str">
        <x:v>Books</x:v>
      </x:c>
      <x:c r="H1103" t="str">
        <x:v>Business Intelligence Guide</x:v>
      </x:c>
      <x:c r="I1103" t="n">
        <x:v>1</x:v>
      </x:c>
      <x:c r="J1103" s="4" t="n">
        <x:v>34.53</x:v>
      </x:c>
      <x:c r="K1103" s="4" t="n">
        <x:v>12</x:v>
      </x:c>
      <x:c r="L1103" s="5" t="n">
        <x:v>0</x:v>
      </x:c>
      <x:c r="M1103" s="4" t="n">
        <x:f>ROUND(I1103*J1103*(1-L1103),2)</x:f>
        <x:v>34.53</x:v>
      </x:c>
      <x:c r="N1103" s="4" t="n">
        <x:f>ROUND(I1103*K1103,2)</x:f>
        <x:v>12</x:v>
      </x:c>
      <x:c r="O1103" s="4" t="n">
        <x:f>ROUND(M1103-N1103,2)</x:f>
        <x:v>22.53</x:v>
      </x:c>
      <x:c r="P1103" s="6" t="n">
        <x:v>3.7</x:v>
      </x:c>
      <x:c r="Q1103" t="str">
        <x:v>No</x:v>
      </x:c>
    </x:row>
    <x:row r="1104">
      <x:c r="A1104" t="str">
        <x:v>ORD-00636</x:v>
      </x:c>
      <x:c r="B1104" s="3" t="n">
        <x:v>45745.473930775464</x:v>
      </x:c>
      <x:c r="C1104" t="str">
        <x:v>2025-03</x:v>
      </x:c>
      <x:c r="D1104" t="str">
        <x:v>CUS-0043</x:v>
      </x:c>
      <x:c r="E1104" t="str">
        <x:v>North West</x:v>
      </x:c>
      <x:c r="F1104" t="str">
        <x:v>Marketplace</x:v>
      </x:c>
      <x:c r="G1104" t="str">
        <x:v>Sports</x:v>
      </x:c>
      <x:c r="H1104" t="str">
        <x:v>Yoga Mat</x:v>
      </x:c>
      <x:c r="I1104" t="n">
        <x:v>4</x:v>
      </x:c>
      <x:c r="J1104" s="4" t="n">
        <x:v>28.9</x:v>
      </x:c>
      <x:c r="K1104" s="4" t="n">
        <x:v>12</x:v>
      </x:c>
      <x:c r="L1104" s="5" t="n">
        <x:v>0.05</x:v>
      </x:c>
      <x:c r="M1104" s="4" t="n">
        <x:f>ROUND(I1104*J1104*(1-L1104),2)</x:f>
        <x:v>109.82</x:v>
      </x:c>
      <x:c r="N1104" s="4" t="n">
        <x:f>ROUND(I1104*K1104,2)</x:f>
        <x:v>48</x:v>
      </x:c>
      <x:c r="O1104" s="4" t="n">
        <x:f>ROUND(M1104-N1104,2)</x:f>
        <x:v>61.82</x:v>
      </x:c>
      <x:c r="P1104" s="6" t="n">
        <x:v>4.8</x:v>
      </x:c>
      <x:c r="Q1104" t="str">
        <x:v>No</x:v>
      </x:c>
    </x:row>
    <x:row r="1105">
      <x:c r="A1105" t="str">
        <x:v>ORD-00210</x:v>
      </x:c>
      <x:c r="B1105" s="3" t="n">
        <x:v>45746.14359487269</x:v>
      </x:c>
      <x:c r="C1105" t="str">
        <x:v>2025-03</x:v>
      </x:c>
      <x:c r="D1105" t="str">
        <x:v>CUS-0221</x:v>
      </x:c>
      <x:c r="E1105" t="str">
        <x:v>Midlands</x:v>
      </x:c>
      <x:c r="F1105" t="str">
        <x:v>Store</x:v>
      </x:c>
      <x:c r="G1105" t="str">
        <x:v>Sports</x:v>
      </x:c>
      <x:c r="H1105" t="str">
        <x:v>Running Shoes</x:v>
      </x:c>
      <x:c r="I1105" t="n">
        <x:v>4</x:v>
      </x:c>
      <x:c r="J1105" s="4" t="n">
        <x:v>83.02</x:v>
      </x:c>
      <x:c r="K1105" s="4" t="n">
        <x:v>38</x:v>
      </x:c>
      <x:c r="L1105" s="5" t="n">
        <x:v>0</x:v>
      </x:c>
      <x:c r="M1105" s="4" t="n">
        <x:f>ROUND(I1105*J1105*(1-L1105),2)</x:f>
        <x:v>332.08</x:v>
      </x:c>
      <x:c r="N1105" s="4" t="n">
        <x:f>ROUND(I1105*K1105,2)</x:f>
        <x:v>152</x:v>
      </x:c>
      <x:c r="O1105" s="4" t="n">
        <x:f>ROUND(M1105-N1105,2)</x:f>
        <x:v>180.08</x:v>
      </x:c>
      <x:c r="P1105" s="6" t="n">
        <x:v>4.2</x:v>
      </x:c>
      <x:c r="Q1105" t="str">
        <x:v>No</x:v>
      </x:c>
    </x:row>
    <x:row r="1106">
      <x:c r="A1106" t="str">
        <x:v>ORD-01614</x:v>
      </x:c>
      <x:c r="B1106" s="3" t="n">
        <x:v>45746.22036936343</x:v>
      </x:c>
      <x:c r="C1106" t="str">
        <x:v>2025-03</x:v>
      </x:c>
      <x:c r="D1106" t="str">
        <x:v>CUS-0315</x:v>
      </x:c>
      <x:c r="E1106" t="str">
        <x:v>Midlands</x:v>
      </x:c>
      <x:c r="F1106" t="str">
        <x:v>Online</x:v>
      </x:c>
      <x:c r="G1106" t="str">
        <x:v>Sports</x:v>
      </x:c>
      <x:c r="H1106" t="str">
        <x:v>Yoga Mat</x:v>
      </x:c>
      <x:c r="I1106" t="n">
        <x:v>1</x:v>
      </x:c>
      <x:c r="J1106" s="4" t="n">
        <x:v>29.45</x:v>
      </x:c>
      <x:c r="K1106" s="4" t="n">
        <x:v>12</x:v>
      </x:c>
      <x:c r="L1106" s="5" t="n">
        <x:v>0.2</x:v>
      </x:c>
      <x:c r="M1106" s="4" t="n">
        <x:f>ROUND(I1106*J1106*(1-L1106),2)</x:f>
        <x:v>23.56</x:v>
      </x:c>
      <x:c r="N1106" s="4" t="n">
        <x:f>ROUND(I1106*K1106,2)</x:f>
        <x:v>12</x:v>
      </x:c>
      <x:c r="O1106" s="4" t="n">
        <x:f>ROUND(M1106-N1106,2)</x:f>
        <x:v>11.56</x:v>
      </x:c>
      <x:c r="P1106" s="6" t="n">
        <x:v>5</x:v>
      </x:c>
      <x:c r="Q1106" t="str">
        <x:v>No</x:v>
      </x:c>
    </x:row>
    <x:row r="1107">
      <x:c r="A1107" t="str">
        <x:v>ORD-01649</x:v>
      </x:c>
      <x:c r="B1107" s="3" t="n">
        <x:v>45747.281957210645</x:v>
      </x:c>
      <x:c r="C1107" t="str">
        <x:v>2025-03</x:v>
      </x:c>
      <x:c r="D1107" t="str">
        <x:v>CUS-0481</x:v>
      </x:c>
      <x:c r="E1107" t="str">
        <x:v>South East</x:v>
      </x:c>
      <x:c r="F1107" t="str">
        <x:v>Store</x:v>
      </x:c>
      <x:c r="G1107" t="str">
        <x:v>Electronics</x:v>
      </x:c>
      <x:c r="H1107" t="str">
        <x:v>Wireless Headphones</x:v>
      </x:c>
      <x:c r="I1107" t="n">
        <x:v>5</x:v>
      </x:c>
      <x:c r="J1107" s="4" t="n">
        <x:v>92.05</x:v>
      </x:c>
      <x:c r="K1107" s="4" t="n">
        <x:v>48</x:v>
      </x:c>
      <x:c r="L1107" s="5" t="n">
        <x:v>0.15</x:v>
      </x:c>
      <x:c r="M1107" s="4" t="n">
        <x:f>ROUND(I1107*J1107*(1-L1107),2)</x:f>
        <x:v>391.21</x:v>
      </x:c>
      <x:c r="N1107" s="4" t="n">
        <x:f>ROUND(I1107*K1107,2)</x:f>
        <x:v>240</x:v>
      </x:c>
      <x:c r="O1107" s="4" t="n">
        <x:f>ROUND(M1107-N1107,2)</x:f>
        <x:v>151.21</x:v>
      </x:c>
      <x:c r="P1107" s="6" t="n">
        <x:v>4.4</x:v>
      </x:c>
      <x:c r="Q1107" t="str">
        <x:v>No</x:v>
      </x:c>
    </x:row>
    <x:row r="1108">
      <x:c r="A1108" t="str">
        <x:v>ORD-01444</x:v>
      </x:c>
      <x:c r="B1108" s="3" t="n">
        <x:v>45748.18553072917</x:v>
      </x:c>
      <x:c r="C1108" t="str">
        <x:v>2025-04</x:v>
      </x:c>
      <x:c r="D1108" t="str">
        <x:v>CUS-0333</x:v>
      </x:c>
      <x:c r="E1108" t="str">
        <x:v>Wales</x:v>
      </x:c>
      <x:c r="F1108" t="str">
        <x:v>Marketplace</x:v>
      </x:c>
      <x:c r="G1108" t="str">
        <x:v>Home</x:v>
      </x:c>
      <x:c r="H1108" t="str">
        <x:v>Desk Lamp</x:v>
      </x:c>
      <x:c r="I1108" t="n">
        <x:v>3</x:v>
      </x:c>
      <x:c r="J1108" s="4" t="n">
        <x:v>35.91</x:v>
      </x:c>
      <x:c r="K1108" s="4" t="n">
        <x:v>17</x:v>
      </x:c>
      <x:c r="L1108" s="5" t="n">
        <x:v>0.2</x:v>
      </x:c>
      <x:c r="M1108" s="4" t="n">
        <x:f>ROUND(I1108*J1108*(1-L1108),2)</x:f>
        <x:v>86.18</x:v>
      </x:c>
      <x:c r="N1108" s="4" t="n">
        <x:f>ROUND(I1108*K1108,2)</x:f>
        <x:v>51</x:v>
      </x:c>
      <x:c r="O1108" s="4" t="n">
        <x:f>ROUND(M1108-N1108,2)</x:f>
        <x:v>35.18</x:v>
      </x:c>
      <x:c r="P1108" s="6" t="n">
        <x:v>4.9</x:v>
      </x:c>
      <x:c r="Q1108" t="str">
        <x:v>Yes</x:v>
      </x:c>
    </x:row>
    <x:row r="1109">
      <x:c r="A1109" t="str">
        <x:v>ORD-01383</x:v>
      </x:c>
      <x:c r="B1109" s="3" t="n">
        <x:v>45748.486033657406</x:v>
      </x:c>
      <x:c r="C1109" t="str">
        <x:v>2025-04</x:v>
      </x:c>
      <x:c r="D1109" t="str">
        <x:v>CUS-0028</x:v>
      </x:c>
      <x:c r="E1109" t="str">
        <x:v>North West</x:v>
      </x:c>
      <x:c r="F1109" t="str">
        <x:v>Store</x:v>
      </x:c>
      <x:c r="G1109" t="str">
        <x:v>Sports</x:v>
      </x:c>
      <x:c r="H1109" t="str">
        <x:v>Fitness Tracker</x:v>
      </x:c>
      <x:c r="I1109" t="n">
        <x:v>5</x:v>
      </x:c>
      <x:c r="J1109" s="4" t="n">
        <x:v>53.43</x:v>
      </x:c>
      <x:c r="K1109" s="4" t="n">
        <x:v>27</x:v>
      </x:c>
      <x:c r="L1109" s="5" t="n">
        <x:v>0.15</x:v>
      </x:c>
      <x:c r="M1109" s="4" t="n">
        <x:f>ROUND(I1109*J1109*(1-L1109),2)</x:f>
        <x:v>227.08</x:v>
      </x:c>
      <x:c r="N1109" s="4" t="n">
        <x:f>ROUND(I1109*K1109,2)</x:f>
        <x:v>135</x:v>
      </x:c>
      <x:c r="O1109" s="4" t="n">
        <x:f>ROUND(M1109-N1109,2)</x:f>
        <x:v>92.08</x:v>
      </x:c>
      <x:c r="P1109" s="6" t="n">
        <x:v>4.3</x:v>
      </x:c>
      <x:c r="Q1109" t="str">
        <x:v>No</x:v>
      </x:c>
    </x:row>
    <x:row r="1110">
      <x:c r="A1110" t="str">
        <x:v>ORD-00869</x:v>
      </x:c>
      <x:c r="B1110" s="3" t="n">
        <x:v>45748.60705990741</x:v>
      </x:c>
      <x:c r="C1110" t="str">
        <x:v>2025-04</x:v>
      </x:c>
      <x:c r="D1110" t="str">
        <x:v>CUS-0170</x:v>
      </x:c>
      <x:c r="E1110" t="str">
        <x:v>Scotland</x:v>
      </x:c>
      <x:c r="F1110" t="str">
        <x:v>Online</x:v>
      </x:c>
      <x:c r="G1110" t="str">
        <x:v>Sports</x:v>
      </x:c>
      <x:c r="H1110" t="str">
        <x:v>Fitness Tracker</x:v>
      </x:c>
      <x:c r="I1110" t="n">
        <x:v>3</x:v>
      </x:c>
      <x:c r="J1110" s="4" t="n">
        <x:v>52.73</x:v>
      </x:c>
      <x:c r="K1110" s="4" t="n">
        <x:v>27</x:v>
      </x:c>
      <x:c r="L1110" s="5" t="n">
        <x:v>0</x:v>
      </x:c>
      <x:c r="M1110" s="4" t="n">
        <x:f>ROUND(I1110*J1110*(1-L1110),2)</x:f>
        <x:v>158.19</x:v>
      </x:c>
      <x:c r="N1110" s="4" t="n">
        <x:f>ROUND(I1110*K1110,2)</x:f>
        <x:v>81</x:v>
      </x:c>
      <x:c r="O1110" s="4" t="n">
        <x:f>ROUND(M1110-N1110,2)</x:f>
        <x:v>77.19</x:v>
      </x:c>
      <x:c r="P1110" s="6" t="n">
        <x:v>4.2</x:v>
      </x:c>
      <x:c r="Q1110" t="str">
        <x:v>No</x:v>
      </x:c>
    </x:row>
    <x:row r="1111">
      <x:c r="A1111" t="str">
        <x:v>ORD-01481</x:v>
      </x:c>
      <x:c r="B1111" s="3" t="n">
        <x:v>45748.62424826389</x:v>
      </x:c>
      <x:c r="C1111" t="str">
        <x:v>2025-04</x:v>
      </x:c>
      <x:c r="D1111" t="str">
        <x:v>CUS-0116</x:v>
      </x:c>
      <x:c r="E1111" t="str">
        <x:v>South West</x:v>
      </x:c>
      <x:c r="F1111" t="str">
        <x:v>Store</x:v>
      </x:c>
      <x:c r="G1111" t="str">
        <x:v>Fashion</x:v>
      </x:c>
      <x:c r="H1111" t="str">
        <x:v>Classic Trainers</x:v>
      </x:c>
      <x:c r="I1111" t="n">
        <x:v>1</x:v>
      </x:c>
      <x:c r="J1111" s="4" t="n">
        <x:v>69.86</x:v>
      </x:c>
      <x:c r="K1111" s="4" t="n">
        <x:v>32</x:v>
      </x:c>
      <x:c r="L1111" s="5" t="n">
        <x:v>0</x:v>
      </x:c>
      <x:c r="M1111" s="4" t="n">
        <x:f>ROUND(I1111*J1111*(1-L1111),2)</x:f>
        <x:v>69.86</x:v>
      </x:c>
      <x:c r="N1111" s="4" t="n">
        <x:f>ROUND(I1111*K1111,2)</x:f>
        <x:v>32</x:v>
      </x:c>
      <x:c r="O1111" s="4" t="n">
        <x:f>ROUND(M1111-N1111,2)</x:f>
        <x:v>37.86</x:v>
      </x:c>
      <x:c r="P1111" s="6" t="n">
        <x:v>5</x:v>
      </x:c>
      <x:c r="Q1111" t="str">
        <x:v>No</x:v>
      </x:c>
    </x:row>
    <x:row r="1112">
      <x:c r="A1112" t="str">
        <x:v>ORD-01491</x:v>
      </x:c>
      <x:c r="B1112" s="3" t="n">
        <x:v>45748.90139746528</x:v>
      </x:c>
      <x:c r="C1112" t="str">
        <x:v>2025-04</x:v>
      </x:c>
      <x:c r="D1112" t="str">
        <x:v>CUS-0213</x:v>
      </x:c>
      <x:c r="E1112" t="str">
        <x:v>South West</x:v>
      </x:c>
      <x:c r="F1112" t="str">
        <x:v>Store</x:v>
      </x:c>
      <x:c r="G1112" t="str">
        <x:v>Fashion</x:v>
      </x:c>
      <x:c r="H1112" t="str">
        <x:v>Backpack</x:v>
      </x:c>
      <x:c r="I1112" t="n">
        <x:v>5</x:v>
      </x:c>
      <x:c r="J1112" s="4" t="n">
        <x:v>51.55</x:v>
      </x:c>
      <x:c r="K1112" s="4" t="n">
        <x:v>21</x:v>
      </x:c>
      <x:c r="L1112" s="5" t="n">
        <x:v>0.2</x:v>
      </x:c>
      <x:c r="M1112" s="4" t="n">
        <x:f>ROUND(I1112*J1112*(1-L1112),2)</x:f>
        <x:v>206.2</x:v>
      </x:c>
      <x:c r="N1112" s="4" t="n">
        <x:f>ROUND(I1112*K1112,2)</x:f>
        <x:v>105</x:v>
      </x:c>
      <x:c r="O1112" s="4" t="n">
        <x:f>ROUND(M1112-N1112,2)</x:f>
        <x:v>101.2</x:v>
      </x:c>
      <x:c r="P1112" s="6" t="n">
        <x:v>4.7</x:v>
      </x:c>
      <x:c r="Q1112" t="str">
        <x:v>No</x:v>
      </x:c>
    </x:row>
    <x:row r="1113">
      <x:c r="A1113" t="str">
        <x:v>ORD-00191</x:v>
      </x:c>
      <x:c r="B1113" s="3" t="n">
        <x:v>45749.20058586806</x:v>
      </x:c>
      <x:c r="C1113" t="str">
        <x:v>2025-04</x:v>
      </x:c>
      <x:c r="D1113" t="str">
        <x:v>CUS-0131</x:v>
      </x:c>
      <x:c r="E1113" t="str">
        <x:v>London</x:v>
      </x:c>
      <x:c r="F1113" t="str">
        <x:v>Store</x:v>
      </x:c>
      <x:c r="G1113" t="str">
        <x:v>Beauty</x:v>
      </x:c>
      <x:c r="H1113" t="str">
        <x:v>Hair Dryer</x:v>
      </x:c>
      <x:c r="I1113" t="n">
        <x:v>5</x:v>
      </x:c>
      <x:c r="J1113" s="4" t="n">
        <x:v>62.87</x:v>
      </x:c>
      <x:c r="K1113" s="4" t="n">
        <x:v>29</x:v>
      </x:c>
      <x:c r="L1113" s="5" t="n">
        <x:v>0</x:v>
      </x:c>
      <x:c r="M1113" s="4" t="n">
        <x:f>ROUND(I1113*J1113*(1-L1113),2)</x:f>
        <x:v>314.35</x:v>
      </x:c>
      <x:c r="N1113" s="4" t="n">
        <x:f>ROUND(I1113*K1113,2)</x:f>
        <x:v>145</x:v>
      </x:c>
      <x:c r="O1113" s="4" t="n">
        <x:f>ROUND(M1113-N1113,2)</x:f>
        <x:v>169.35</x:v>
      </x:c>
      <x:c r="P1113" s="6" t="n">
        <x:v>5</x:v>
      </x:c>
      <x:c r="Q1113" t="str">
        <x:v>No</x:v>
      </x:c>
    </x:row>
    <x:row r="1114">
      <x:c r="A1114" t="str">
        <x:v>ORD-00420</x:v>
      </x:c>
      <x:c r="B1114" s="3" t="n">
        <x:v>45749.75020033565</x:v>
      </x:c>
      <x:c r="C1114" t="str">
        <x:v>2025-04</x:v>
      </x:c>
      <x:c r="D1114" t="str">
        <x:v>CUS-0004</x:v>
      </x:c>
      <x:c r="E1114" t="str">
        <x:v>North West</x:v>
      </x:c>
      <x:c r="F1114" t="str">
        <x:v>Store</x:v>
      </x:c>
      <x:c r="G1114" t="str">
        <x:v>Electronics</x:v>
      </x:c>
      <x:c r="H1114" t="str">
        <x:v>Smart Watch</x:v>
      </x:c>
      <x:c r="I1114" t="n">
        <x:v>3</x:v>
      </x:c>
      <x:c r="J1114" s="4" t="n">
        <x:v>160.69</x:v>
      </x:c>
      <x:c r="K1114" s="4" t="n">
        <x:v>92</x:v>
      </x:c>
      <x:c r="L1114" s="5" t="n">
        <x:v>0</x:v>
      </x:c>
      <x:c r="M1114" s="4" t="n">
        <x:f>ROUND(I1114*J1114*(1-L1114),2)</x:f>
        <x:v>482.07</x:v>
      </x:c>
      <x:c r="N1114" s="4" t="n">
        <x:f>ROUND(I1114*K1114,2)</x:f>
        <x:v>276</x:v>
      </x:c>
      <x:c r="O1114" s="4" t="n">
        <x:f>ROUND(M1114-N1114,2)</x:f>
        <x:v>206.07</x:v>
      </x:c>
      <x:c r="P1114" s="6" t="n">
        <x:v>3.8</x:v>
      </x:c>
      <x:c r="Q1114" t="str">
        <x:v>No</x:v>
      </x:c>
    </x:row>
    <x:row r="1115">
      <x:c r="A1115" t="str">
        <x:v>ORD-00531</x:v>
      </x:c>
      <x:c r="B1115" s="3" t="n">
        <x:v>45750.53518491898</x:v>
      </x:c>
      <x:c r="C1115" t="str">
        <x:v>2025-04</x:v>
      </x:c>
      <x:c r="D1115" t="str">
        <x:v>CUS-0378</x:v>
      </x:c>
      <x:c r="E1115" t="str">
        <x:v>North West</x:v>
      </x:c>
      <x:c r="F1115" t="str">
        <x:v>Marketplace</x:v>
      </x:c>
      <x:c r="G1115" t="str">
        <x:v>Books</x:v>
      </x:c>
      <x:c r="H1115" t="str">
        <x:v>Business Intelligence Guide</x:v>
      </x:c>
      <x:c r="I1115" t="n">
        <x:v>1</x:v>
      </x:c>
      <x:c r="J1115" s="4" t="n">
        <x:v>35.06</x:v>
      </x:c>
      <x:c r="K1115" s="4" t="n">
        <x:v>12</x:v>
      </x:c>
      <x:c r="L1115" s="5" t="n">
        <x:v>0.1</x:v>
      </x:c>
      <x:c r="M1115" s="4" t="n">
        <x:f>ROUND(I1115*J1115*(1-L1115),2)</x:f>
        <x:v>31.55</x:v>
      </x:c>
      <x:c r="N1115" s="4" t="n">
        <x:f>ROUND(I1115*K1115,2)</x:f>
        <x:v>12</x:v>
      </x:c>
      <x:c r="O1115" s="4" t="n">
        <x:f>ROUND(M1115-N1115,2)</x:f>
        <x:v>19.55</x:v>
      </x:c>
      <x:c r="P1115" s="6" t="n">
        <x:v>4.6</x:v>
      </x:c>
      <x:c r="Q1115" t="str">
        <x:v>Yes</x:v>
      </x:c>
    </x:row>
    <x:row r="1116">
      <x:c r="A1116" t="str">
        <x:v>ORD-01638</x:v>
      </x:c>
      <x:c r="B1116" s="3" t="n">
        <x:v>45751.22879966435</x:v>
      </x:c>
      <x:c r="C1116" t="str">
        <x:v>2025-04</x:v>
      </x:c>
      <x:c r="D1116" t="str">
        <x:v>CUS-0030</x:v>
      </x:c>
      <x:c r="E1116" t="str">
        <x:v>North East</x:v>
      </x:c>
      <x:c r="F1116" t="str">
        <x:v>Store</x:v>
      </x:c>
      <x:c r="G1116" t="str">
        <x:v>Sports</x:v>
      </x:c>
      <x:c r="H1116" t="str">
        <x:v>Fitness Tracker</x:v>
      </x:c>
      <x:c r="I1116" t="n">
        <x:v>3</x:v>
      </x:c>
      <x:c r="J1116" s="4" t="n">
        <x:v>54.36</x:v>
      </x:c>
      <x:c r="K1116" s="4" t="n">
        <x:v>27</x:v>
      </x:c>
      <x:c r="L1116" s="5" t="n">
        <x:v>0.05</x:v>
      </x:c>
      <x:c r="M1116" s="4" t="n">
        <x:f>ROUND(I1116*J1116*(1-L1116),2)</x:f>
        <x:v>154.93</x:v>
      </x:c>
      <x:c r="N1116" s="4" t="n">
        <x:f>ROUND(I1116*K1116,2)</x:f>
        <x:v>81</x:v>
      </x:c>
      <x:c r="O1116" s="4" t="n">
        <x:f>ROUND(M1116-N1116,2)</x:f>
        <x:v>73.93</x:v>
      </x:c>
      <x:c r="P1116" s="6" t="n">
        <x:v>4.9</x:v>
      </x:c>
      <x:c r="Q1116" t="str">
        <x:v>No</x:v>
      </x:c>
    </x:row>
    <x:row r="1117">
      <x:c r="A1117" t="str">
        <x:v>ORD-01473</x:v>
      </x:c>
      <x:c r="B1117" s="3" t="n">
        <x:v>45751.35695667824</x:v>
      </x:c>
      <x:c r="C1117" t="str">
        <x:v>2025-04</x:v>
      </x:c>
      <x:c r="D1117" t="str">
        <x:v>CUS-0003</x:v>
      </x:c>
      <x:c r="E1117" t="str">
        <x:v>Midlands</x:v>
      </x:c>
      <x:c r="F1117" t="str">
        <x:v>Marketplace</x:v>
      </x:c>
      <x:c r="G1117" t="str">
        <x:v>Beauty</x:v>
      </x:c>
      <x:c r="H1117" t="str">
        <x:v>Skin Care Set</x:v>
      </x:c>
      <x:c r="I1117" t="n">
        <x:v>3</x:v>
      </x:c>
      <x:c r="J1117" s="4" t="n">
        <x:v>43.83</x:v>
      </x:c>
      <x:c r="K1117" s="4" t="n">
        <x:v>18</x:v>
      </x:c>
      <x:c r="L1117" s="5" t="n">
        <x:v>0</x:v>
      </x:c>
      <x:c r="M1117" s="4" t="n">
        <x:f>ROUND(I1117*J1117*(1-L1117),2)</x:f>
        <x:v>131.49</x:v>
      </x:c>
      <x:c r="N1117" s="4" t="n">
        <x:f>ROUND(I1117*K1117,2)</x:f>
        <x:v>54</x:v>
      </x:c>
      <x:c r="O1117" s="4" t="n">
        <x:f>ROUND(M1117-N1117,2)</x:f>
        <x:v>77.49</x:v>
      </x:c>
      <x:c r="P1117" s="6" t="n">
        <x:v>4.7</x:v>
      </x:c>
      <x:c r="Q1117" t="str">
        <x:v>No</x:v>
      </x:c>
    </x:row>
    <x:row r="1118">
      <x:c r="A1118" t="str">
        <x:v>ORD-00340</x:v>
      </x:c>
      <x:c r="B1118" s="3" t="n">
        <x:v>45751.397427372685</x:v>
      </x:c>
      <x:c r="C1118" t="str">
        <x:v>2025-04</x:v>
      </x:c>
      <x:c r="D1118" t="str">
        <x:v>CUS-0145</x:v>
      </x:c>
      <x:c r="E1118" t="str">
        <x:v>South East</x:v>
      </x:c>
      <x:c r="F1118" t="str">
        <x:v>Marketplace</x:v>
      </x:c>
      <x:c r="G1118" t="str">
        <x:v>Electronics</x:v>
      </x:c>
      <x:c r="H1118" t="str">
        <x:v>Wireless Headphones</x:v>
      </x:c>
      <x:c r="I1118" t="n">
        <x:v>5</x:v>
      </x:c>
      <x:c r="J1118" s="4" t="n">
        <x:v>87.38</x:v>
      </x:c>
      <x:c r="K1118" s="4" t="n">
        <x:v>48</x:v>
      </x:c>
      <x:c r="L1118" s="5" t="n">
        <x:v>0</x:v>
      </x:c>
      <x:c r="M1118" s="4" t="n">
        <x:f>ROUND(I1118*J1118*(1-L1118),2)</x:f>
        <x:v>436.9</x:v>
      </x:c>
      <x:c r="N1118" s="4" t="n">
        <x:f>ROUND(I1118*K1118,2)</x:f>
        <x:v>240</x:v>
      </x:c>
      <x:c r="O1118" s="4" t="n">
        <x:f>ROUND(M1118-N1118,2)</x:f>
        <x:v>196.9</x:v>
      </x:c>
      <x:c r="P1118" s="6" t="n">
        <x:v>3.2</x:v>
      </x:c>
      <x:c r="Q1118" t="str">
        <x:v>No</x:v>
      </x:c>
    </x:row>
    <x:row r="1119">
      <x:c r="A1119" t="str">
        <x:v>ORD-00398</x:v>
      </x:c>
      <x:c r="B1119" s="3" t="n">
        <x:v>45752.00383814815</x:v>
      </x:c>
      <x:c r="C1119" t="str">
        <x:v>2025-04</x:v>
      </x:c>
      <x:c r="D1119" t="str">
        <x:v>CUS-0140</x:v>
      </x:c>
      <x:c r="E1119" t="str">
        <x:v>South West</x:v>
      </x:c>
      <x:c r="F1119" t="str">
        <x:v>Online</x:v>
      </x:c>
      <x:c r="G1119" t="str">
        <x:v>Beauty</x:v>
      </x:c>
      <x:c r="H1119" t="str">
        <x:v>Skin Care Set</x:v>
      </x:c>
      <x:c r="I1119" t="n">
        <x:v>2</x:v>
      </x:c>
      <x:c r="J1119" s="4" t="n">
        <x:v>43.8</x:v>
      </x:c>
      <x:c r="K1119" s="4" t="n">
        <x:v>18</x:v>
      </x:c>
      <x:c r="L1119" s="5" t="n">
        <x:v>0</x:v>
      </x:c>
      <x:c r="M1119" s="4" t="n">
        <x:f>ROUND(I1119*J1119*(1-L1119),2)</x:f>
        <x:v>87.6</x:v>
      </x:c>
      <x:c r="N1119" s="4" t="n">
        <x:f>ROUND(I1119*K1119,2)</x:f>
        <x:v>36</x:v>
      </x:c>
      <x:c r="O1119" s="4" t="n">
        <x:f>ROUND(M1119-N1119,2)</x:f>
        <x:v>51.6</x:v>
      </x:c>
      <x:c r="P1119" s="6" t="n">
        <x:v>5</x:v>
      </x:c>
      <x:c r="Q1119" t="str">
        <x:v>No</x:v>
      </x:c>
    </x:row>
    <x:row r="1120">
      <x:c r="A1120" t="str">
        <x:v>ORD-01089</x:v>
      </x:c>
      <x:c r="B1120" s="3" t="n">
        <x:v>45752.27822335648</x:v>
      </x:c>
      <x:c r="C1120" t="str">
        <x:v>2025-04</x:v>
      </x:c>
      <x:c r="D1120" t="str">
        <x:v>CUS-0533</x:v>
      </x:c>
      <x:c r="E1120" t="str">
        <x:v>Midlands</x:v>
      </x:c>
      <x:c r="F1120" t="str">
        <x:v>Store</x:v>
      </x:c>
      <x:c r="G1120" t="str">
        <x:v>Sports</x:v>
      </x:c>
      <x:c r="H1120" t="str">
        <x:v>Running Shoes</x:v>
      </x:c>
      <x:c r="I1120" t="n">
        <x:v>1</x:v>
      </x:c>
      <x:c r="J1120" s="4" t="n">
        <x:v>80.85</x:v>
      </x:c>
      <x:c r="K1120" s="4" t="n">
        <x:v>38</x:v>
      </x:c>
      <x:c r="L1120" s="5" t="n">
        <x:v>0</x:v>
      </x:c>
      <x:c r="M1120" s="4" t="n">
        <x:f>ROUND(I1120*J1120*(1-L1120),2)</x:f>
        <x:v>80.85</x:v>
      </x:c>
      <x:c r="N1120" s="4" t="n">
        <x:f>ROUND(I1120*K1120,2)</x:f>
        <x:v>38</x:v>
      </x:c>
      <x:c r="O1120" s="4" t="n">
        <x:f>ROUND(M1120-N1120,2)</x:f>
        <x:v>42.85</x:v>
      </x:c>
      <x:c r="P1120" s="6" t="n">
        <x:v>4.8</x:v>
      </x:c>
      <x:c r="Q1120" t="str">
        <x:v>No</x:v>
      </x:c>
    </x:row>
    <x:row r="1121">
      <x:c r="A1121" t="str">
        <x:v>ORD-00497</x:v>
      </x:c>
      <x:c r="B1121" s="3" t="n">
        <x:v>45752.63555520833</x:v>
      </x:c>
      <x:c r="C1121" t="str">
        <x:v>2025-04</x:v>
      </x:c>
      <x:c r="D1121" t="str">
        <x:v>CUS-0200</x:v>
      </x:c>
      <x:c r="E1121" t="str">
        <x:v>Scotland</x:v>
      </x:c>
      <x:c r="F1121" t="str">
        <x:v>Marketplace</x:v>
      </x:c>
      <x:c r="G1121" t="str">
        <x:v>Electronics</x:v>
      </x:c>
      <x:c r="H1121" t="str">
        <x:v>Bluetooth Speaker</x:v>
      </x:c>
      <x:c r="I1121" t="n">
        <x:v>4</x:v>
      </x:c>
      <x:c r="J1121" s="4" t="n">
        <x:v>65.84</x:v>
      </x:c>
      <x:c r="K1121" s="4" t="n">
        <x:v>34</x:v>
      </x:c>
      <x:c r="L1121" s="5" t="n">
        <x:v>0.2</x:v>
      </x:c>
      <x:c r="M1121" s="4" t="n">
        <x:f>ROUND(I1121*J1121*(1-L1121),2)</x:f>
        <x:v>210.69</x:v>
      </x:c>
      <x:c r="N1121" s="4" t="n">
        <x:f>ROUND(I1121*K1121,2)</x:f>
        <x:v>136</x:v>
      </x:c>
      <x:c r="O1121" s="4" t="n">
        <x:f>ROUND(M1121-N1121,2)</x:f>
        <x:v>74.69</x:v>
      </x:c>
      <x:c r="P1121" s="6" t="n">
        <x:v>3.5</x:v>
      </x:c>
      <x:c r="Q1121" t="str">
        <x:v>No</x:v>
      </x:c>
    </x:row>
    <x:row r="1122">
      <x:c r="A1122" t="str">
        <x:v>ORD-00276</x:v>
      </x:c>
      <x:c r="B1122" s="3" t="n">
        <x:v>45752.6620206713</x:v>
      </x:c>
      <x:c r="C1122" t="str">
        <x:v>2025-04</x:v>
      </x:c>
      <x:c r="D1122" t="str">
        <x:v>CUS-0061</x:v>
      </x:c>
      <x:c r="E1122" t="str">
        <x:v>North West</x:v>
      </x:c>
      <x:c r="F1122" t="str">
        <x:v>Marketplace</x:v>
      </x:c>
      <x:c r="G1122" t="str">
        <x:v>Sports</x:v>
      </x:c>
      <x:c r="H1122" t="str">
        <x:v>Fitness Tracker</x:v>
      </x:c>
      <x:c r="I1122" t="n">
        <x:v>1</x:v>
      </x:c>
      <x:c r="J1122" s="4" t="n">
        <x:v>54.71</x:v>
      </x:c>
      <x:c r="K1122" s="4" t="n">
        <x:v>27</x:v>
      </x:c>
      <x:c r="L1122" s="5" t="n">
        <x:v>0.15</x:v>
      </x:c>
      <x:c r="M1122" s="4" t="n">
        <x:f>ROUND(I1122*J1122*(1-L1122),2)</x:f>
        <x:v>46.5</x:v>
      </x:c>
      <x:c r="N1122" s="4" t="n">
        <x:f>ROUND(I1122*K1122,2)</x:f>
        <x:v>27</x:v>
      </x:c>
      <x:c r="O1122" s="4" t="n">
        <x:f>ROUND(M1122-N1122,2)</x:f>
        <x:v>19.5</x:v>
      </x:c>
      <x:c r="P1122" s="6" t="n">
        <x:v>4.4</x:v>
      </x:c>
      <x:c r="Q1122" t="str">
        <x:v>No</x:v>
      </x:c>
    </x:row>
    <x:row r="1123">
      <x:c r="A1123" t="str">
        <x:v>ORD-01009</x:v>
      </x:c>
      <x:c r="B1123" s="3" t="n">
        <x:v>45753.018629502316</x:v>
      </x:c>
      <x:c r="C1123" t="str">
        <x:v>2025-04</x:v>
      </x:c>
      <x:c r="D1123" t="str">
        <x:v>CUS-0577</x:v>
      </x:c>
      <x:c r="E1123" t="str">
        <x:v>London</x:v>
      </x:c>
      <x:c r="F1123" t="str">
        <x:v>Online</x:v>
      </x:c>
      <x:c r="G1123" t="str">
        <x:v>Fashion</x:v>
      </x:c>
      <x:c r="H1123" t="str">
        <x:v>Backpack</x:v>
      </x:c>
      <x:c r="I1123" t="n">
        <x:v>1</x:v>
      </x:c>
      <x:c r="J1123" s="4" t="n">
        <x:v>47.51</x:v>
      </x:c>
      <x:c r="K1123" s="4" t="n">
        <x:v>21</x:v>
      </x:c>
      <x:c r="L1123" s="5" t="n">
        <x:v>0.2</x:v>
      </x:c>
      <x:c r="M1123" s="4" t="n">
        <x:f>ROUND(I1123*J1123*(1-L1123),2)</x:f>
        <x:v>38.01</x:v>
      </x:c>
      <x:c r="N1123" s="4" t="n">
        <x:f>ROUND(I1123*K1123,2)</x:f>
        <x:v>21</x:v>
      </x:c>
      <x:c r="O1123" s="4" t="n">
        <x:f>ROUND(M1123-N1123,2)</x:f>
        <x:v>17.01</x:v>
      </x:c>
      <x:c r="P1123" s="6" t="n">
        <x:v>4.7</x:v>
      </x:c>
      <x:c r="Q1123" t="str">
        <x:v>No</x:v>
      </x:c>
    </x:row>
    <x:row r="1124">
      <x:c r="A1124" t="str">
        <x:v>ORD-00617</x:v>
      </x:c>
      <x:c r="B1124" s="3" t="n">
        <x:v>45753.06063702546</x:v>
      </x:c>
      <x:c r="C1124" t="str">
        <x:v>2025-04</x:v>
      </x:c>
      <x:c r="D1124" t="str">
        <x:v>CUS-0369</x:v>
      </x:c>
      <x:c r="E1124" t="str">
        <x:v>South East</x:v>
      </x:c>
      <x:c r="F1124" t="str">
        <x:v>Online</x:v>
      </x:c>
      <x:c r="G1124" t="str">
        <x:v>Sports</x:v>
      </x:c>
      <x:c r="H1124" t="str">
        <x:v>Running Shoes</x:v>
      </x:c>
      <x:c r="I1124" t="n">
        <x:v>4</x:v>
      </x:c>
      <x:c r="J1124" s="4" t="n">
        <x:v>81.37</x:v>
      </x:c>
      <x:c r="K1124" s="4" t="n">
        <x:v>38</x:v>
      </x:c>
      <x:c r="L1124" s="5" t="n">
        <x:v>0.2</x:v>
      </x:c>
      <x:c r="M1124" s="4" t="n">
        <x:f>ROUND(I1124*J1124*(1-L1124),2)</x:f>
        <x:v>260.38</x:v>
      </x:c>
      <x:c r="N1124" s="4" t="n">
        <x:f>ROUND(I1124*K1124,2)</x:f>
        <x:v>152</x:v>
      </x:c>
      <x:c r="O1124" s="4" t="n">
        <x:f>ROUND(M1124-N1124,2)</x:f>
        <x:v>108.38</x:v>
      </x:c>
      <x:c r="P1124" s="6" t="n">
        <x:v>3.7</x:v>
      </x:c>
      <x:c r="Q1124" t="str">
        <x:v>No</x:v>
      </x:c>
    </x:row>
    <x:row r="1125">
      <x:c r="A1125" t="str">
        <x:v>ORD-01392</x:v>
      </x:c>
      <x:c r="B1125" s="3" t="n">
        <x:v>45753.44068828704</x:v>
      </x:c>
      <x:c r="C1125" t="str">
        <x:v>2025-04</x:v>
      </x:c>
      <x:c r="D1125" t="str">
        <x:v>CUS-0483</x:v>
      </x:c>
      <x:c r="E1125" t="str">
        <x:v>Midlands</x:v>
      </x:c>
      <x:c r="F1125" t="str">
        <x:v>Store</x:v>
      </x:c>
      <x:c r="G1125" t="str">
        <x:v>Electronics</x:v>
      </x:c>
      <x:c r="H1125" t="str">
        <x:v>Wireless Headphones</x:v>
      </x:c>
      <x:c r="I1125" t="n">
        <x:v>4</x:v>
      </x:c>
      <x:c r="J1125" s="4" t="n">
        <x:v>91.55</x:v>
      </x:c>
      <x:c r="K1125" s="4" t="n">
        <x:v>48</x:v>
      </x:c>
      <x:c r="L1125" s="5" t="n">
        <x:v>0.1</x:v>
      </x:c>
      <x:c r="M1125" s="4" t="n">
        <x:f>ROUND(I1125*J1125*(1-L1125),2)</x:f>
        <x:v>329.58</x:v>
      </x:c>
      <x:c r="N1125" s="4" t="n">
        <x:f>ROUND(I1125*K1125,2)</x:f>
        <x:v>192</x:v>
      </x:c>
      <x:c r="O1125" s="4" t="n">
        <x:f>ROUND(M1125-N1125,2)</x:f>
        <x:v>137.58</x:v>
      </x:c>
      <x:c r="P1125" s="6" t="n">
        <x:v>3.4</x:v>
      </x:c>
      <x:c r="Q1125" t="str">
        <x:v>No</x:v>
      </x:c>
    </x:row>
    <x:row r="1126">
      <x:c r="A1126" t="str">
        <x:v>ORD-00099</x:v>
      </x:c>
      <x:c r="B1126" s="3" t="n">
        <x:v>45753.61603613426</x:v>
      </x:c>
      <x:c r="C1126" t="str">
        <x:v>2025-04</x:v>
      </x:c>
      <x:c r="D1126" t="str">
        <x:v>CUS-0190</x:v>
      </x:c>
      <x:c r="E1126" t="str">
        <x:v>South East</x:v>
      </x:c>
      <x:c r="F1126" t="str">
        <x:v>Store</x:v>
      </x:c>
      <x:c r="G1126" t="str">
        <x:v>Beauty</x:v>
      </x:c>
      <x:c r="H1126" t="str">
        <x:v>Hair Dryer</x:v>
      </x:c>
      <x:c r="I1126" t="n">
        <x:v>2</x:v>
      </x:c>
      <x:c r="J1126" s="4" t="n">
        <x:v>57.3</x:v>
      </x:c>
      <x:c r="K1126" s="4" t="n">
        <x:v>29</x:v>
      </x:c>
      <x:c r="L1126" s="5" t="n">
        <x:v>0</x:v>
      </x:c>
      <x:c r="M1126" s="4" t="n">
        <x:f>ROUND(I1126*J1126*(1-L1126),2)</x:f>
        <x:v>114.6</x:v>
      </x:c>
      <x:c r="N1126" s="4" t="n">
        <x:f>ROUND(I1126*K1126,2)</x:f>
        <x:v>58</x:v>
      </x:c>
      <x:c r="O1126" s="4" t="n">
        <x:f>ROUND(M1126-N1126,2)</x:f>
        <x:v>56.6</x:v>
      </x:c>
      <x:c r="P1126" s="6" t="n">
        <x:v>3.3</x:v>
      </x:c>
      <x:c r="Q1126" t="str">
        <x:v>No</x:v>
      </x:c>
    </x:row>
    <x:row r="1127">
      <x:c r="A1127" t="str">
        <x:v>ORD-00273</x:v>
      </x:c>
      <x:c r="B1127" s="3" t="n">
        <x:v>45754.71384415509</x:v>
      </x:c>
      <x:c r="C1127" t="str">
        <x:v>2025-04</x:v>
      </x:c>
      <x:c r="D1127" t="str">
        <x:v>CUS-0265</x:v>
      </x:c>
      <x:c r="E1127" t="str">
        <x:v>Wales</x:v>
      </x:c>
      <x:c r="F1127" t="str">
        <x:v>Store</x:v>
      </x:c>
      <x:c r="G1127" t="str">
        <x:v>Electronics</x:v>
      </x:c>
      <x:c r="H1127" t="str">
        <x:v>Wireless Headphones</x:v>
      </x:c>
      <x:c r="I1127" t="n">
        <x:v>3</x:v>
      </x:c>
      <x:c r="J1127" s="4" t="n">
        <x:v>91.99</x:v>
      </x:c>
      <x:c r="K1127" s="4" t="n">
        <x:v>48</x:v>
      </x:c>
      <x:c r="L1127" s="5" t="n">
        <x:v>0.1</x:v>
      </x:c>
      <x:c r="M1127" s="4" t="n">
        <x:f>ROUND(I1127*J1127*(1-L1127),2)</x:f>
        <x:v>248.37</x:v>
      </x:c>
      <x:c r="N1127" s="4" t="n">
        <x:f>ROUND(I1127*K1127,2)</x:f>
        <x:v>144</x:v>
      </x:c>
      <x:c r="O1127" s="4" t="n">
        <x:f>ROUND(M1127-N1127,2)</x:f>
        <x:v>104.37</x:v>
      </x:c>
      <x:c r="P1127" s="6" t="n">
        <x:v>5</x:v>
      </x:c>
      <x:c r="Q1127" t="str">
        <x:v>No</x:v>
      </x:c>
    </x:row>
    <x:row r="1128">
      <x:c r="A1128" t="str">
        <x:v>ORD-00212</x:v>
      </x:c>
      <x:c r="B1128" s="3" t="n">
        <x:v>45755.05164450232</x:v>
      </x:c>
      <x:c r="C1128" t="str">
        <x:v>2025-04</x:v>
      </x:c>
      <x:c r="D1128" t="str">
        <x:v>CUS-0435</x:v>
      </x:c>
      <x:c r="E1128" t="str">
        <x:v>South West</x:v>
      </x:c>
      <x:c r="F1128" t="str">
        <x:v>Online</x:v>
      </x:c>
      <x:c r="G1128" t="str">
        <x:v>Home</x:v>
      </x:c>
      <x:c r="H1128" t="str">
        <x:v>Air Fryer</x:v>
      </x:c>
      <x:c r="I1128" t="n">
        <x:v>5</x:v>
      </x:c>
      <x:c r="J1128" s="4" t="n">
        <x:v>114.56</x:v>
      </x:c>
      <x:c r="K1128" s="4" t="n">
        <x:v>69</x:v>
      </x:c>
      <x:c r="L1128" s="5" t="n">
        <x:v>0.15</x:v>
      </x:c>
      <x:c r="M1128" s="4" t="n">
        <x:f>ROUND(I1128*J1128*(1-L1128),2)</x:f>
        <x:v>486.88</x:v>
      </x:c>
      <x:c r="N1128" s="4" t="n">
        <x:f>ROUND(I1128*K1128,2)</x:f>
        <x:v>345</x:v>
      </x:c>
      <x:c r="O1128" s="4" t="n">
        <x:f>ROUND(M1128-N1128,2)</x:f>
        <x:v>141.88</x:v>
      </x:c>
      <x:c r="P1128" s="6" t="n">
        <x:v>5</x:v>
      </x:c>
      <x:c r="Q1128" t="str">
        <x:v>No</x:v>
      </x:c>
    </x:row>
    <x:row r="1129">
      <x:c r="A1129" t="str">
        <x:v>ORD-01416</x:v>
      </x:c>
      <x:c r="B1129" s="3" t="n">
        <x:v>45755.46419366898</x:v>
      </x:c>
      <x:c r="C1129" t="str">
        <x:v>2025-04</x:v>
      </x:c>
      <x:c r="D1129" t="str">
        <x:v>CUS-0018</x:v>
      </x:c>
      <x:c r="E1129" t="str">
        <x:v>Wales</x:v>
      </x:c>
      <x:c r="F1129" t="str">
        <x:v>Marketplace</x:v>
      </x:c>
      <x:c r="G1129" t="str">
        <x:v>Books</x:v>
      </x:c>
      <x:c r="H1129" t="str">
        <x:v>Business Intelligence Guide</x:v>
      </x:c>
      <x:c r="I1129" t="n">
        <x:v>4</x:v>
      </x:c>
      <x:c r="J1129" s="4" t="n">
        <x:v>35.52</x:v>
      </x:c>
      <x:c r="K1129" s="4" t="n">
        <x:v>12</x:v>
      </x:c>
      <x:c r="L1129" s="5" t="n">
        <x:v>0</x:v>
      </x:c>
      <x:c r="M1129" s="4" t="n">
        <x:f>ROUND(I1129*J1129*(1-L1129),2)</x:f>
        <x:v>142.08</x:v>
      </x:c>
      <x:c r="N1129" s="4" t="n">
        <x:f>ROUND(I1129*K1129,2)</x:f>
        <x:v>48</x:v>
      </x:c>
      <x:c r="O1129" s="4" t="n">
        <x:f>ROUND(M1129-N1129,2)</x:f>
        <x:v>94.08</x:v>
      </x:c>
      <x:c r="P1129" s="6" t="n">
        <x:v>4.2</x:v>
      </x:c>
      <x:c r="Q1129" t="str">
        <x:v>No</x:v>
      </x:c>
    </x:row>
    <x:row r="1130">
      <x:c r="A1130" t="str">
        <x:v>ORD-00731</x:v>
      </x:c>
      <x:c r="B1130" s="3" t="n">
        <x:v>45757.13804118056</x:v>
      </x:c>
      <x:c r="C1130" t="str">
        <x:v>2025-04</x:v>
      </x:c>
      <x:c r="D1130" t="str">
        <x:v>CUS-0084</x:v>
      </x:c>
      <x:c r="E1130" t="str">
        <x:v>North West</x:v>
      </x:c>
      <x:c r="F1130" t="str">
        <x:v>Store</x:v>
      </x:c>
      <x:c r="G1130" t="str">
        <x:v>Fashion</x:v>
      </x:c>
      <x:c r="H1130" t="str">
        <x:v>Winter Jacket</x:v>
      </x:c>
      <x:c r="I1130" t="n">
        <x:v>3</x:v>
      </x:c>
      <x:c r="J1130" s="4" t="n">
        <x:v>98.74</x:v>
      </x:c>
      <x:c r="K1130" s="4" t="n">
        <x:v>46</x:v>
      </x:c>
      <x:c r="L1130" s="5" t="n">
        <x:v>0.05</x:v>
      </x:c>
      <x:c r="M1130" s="4" t="n">
        <x:f>ROUND(I1130*J1130*(1-L1130),2)</x:f>
        <x:v>281.41</x:v>
      </x:c>
      <x:c r="N1130" s="4" t="n">
        <x:f>ROUND(I1130*K1130,2)</x:f>
        <x:v>138</x:v>
      </x:c>
      <x:c r="O1130" s="4" t="n">
        <x:f>ROUND(M1130-N1130,2)</x:f>
        <x:v>143.41</x:v>
      </x:c>
      <x:c r="P1130" s="6" t="n">
        <x:v>4.3</x:v>
      </x:c>
      <x:c r="Q1130" t="str">
        <x:v>No</x:v>
      </x:c>
    </x:row>
    <x:row r="1131">
      <x:c r="A1131" t="str">
        <x:v>ORD-00465</x:v>
      </x:c>
      <x:c r="B1131" s="3" t="n">
        <x:v>45757.95411565972</x:v>
      </x:c>
      <x:c r="C1131" t="str">
        <x:v>2025-04</x:v>
      </x:c>
      <x:c r="D1131" t="str">
        <x:v>CUS-0106</x:v>
      </x:c>
      <x:c r="E1131" t="str">
        <x:v>Wales</x:v>
      </x:c>
      <x:c r="F1131" t="str">
        <x:v>Online</x:v>
      </x:c>
      <x:c r="G1131" t="str">
        <x:v>Sports</x:v>
      </x:c>
      <x:c r="H1131" t="str">
        <x:v>Running Shoes</x:v>
      </x:c>
      <x:c r="I1131" t="n">
        <x:v>3</x:v>
      </x:c>
      <x:c r="J1131" s="4" t="n">
        <x:v>82.63</x:v>
      </x:c>
      <x:c r="K1131" s="4" t="n">
        <x:v>38</x:v>
      </x:c>
      <x:c r="L1131" s="5" t="n">
        <x:v>0.1</x:v>
      </x:c>
      <x:c r="M1131" s="4" t="n">
        <x:f>ROUND(I1131*J1131*(1-L1131),2)</x:f>
        <x:v>223.1</x:v>
      </x:c>
      <x:c r="N1131" s="4" t="n">
        <x:f>ROUND(I1131*K1131,2)</x:f>
        <x:v>114</x:v>
      </x:c>
      <x:c r="O1131" s="4" t="n">
        <x:f>ROUND(M1131-N1131,2)</x:f>
        <x:v>109.1</x:v>
      </x:c>
      <x:c r="P1131" s="6" t="n">
        <x:v>4.5</x:v>
      </x:c>
      <x:c r="Q1131" t="str">
        <x:v>No</x:v>
      </x:c>
    </x:row>
    <x:row r="1132">
      <x:c r="A1132" t="str">
        <x:v>ORD-00439</x:v>
      </x:c>
      <x:c r="B1132" s="3" t="n">
        <x:v>45759.61684023148</x:v>
      </x:c>
      <x:c r="C1132" t="str">
        <x:v>2025-04</x:v>
      </x:c>
      <x:c r="D1132" t="str">
        <x:v>CUS-0219</x:v>
      </x:c>
      <x:c r="E1132" t="str">
        <x:v>North West</x:v>
      </x:c>
      <x:c r="F1132" t="str">
        <x:v>Store</x:v>
      </x:c>
      <x:c r="G1132" t="str">
        <x:v>Fashion</x:v>
      </x:c>
      <x:c r="H1132" t="str">
        <x:v>Classic Trainers</x:v>
      </x:c>
      <x:c r="I1132" t="n">
        <x:v>2</x:v>
      </x:c>
      <x:c r="J1132" s="4" t="n">
        <x:v>71.02</x:v>
      </x:c>
      <x:c r="K1132" s="4" t="n">
        <x:v>32</x:v>
      </x:c>
      <x:c r="L1132" s="5" t="n">
        <x:v>0</x:v>
      </x:c>
      <x:c r="M1132" s="4" t="n">
        <x:f>ROUND(I1132*J1132*(1-L1132),2)</x:f>
        <x:v>142.04</x:v>
      </x:c>
      <x:c r="N1132" s="4" t="n">
        <x:f>ROUND(I1132*K1132,2)</x:f>
        <x:v>64</x:v>
      </x:c>
      <x:c r="O1132" s="4" t="n">
        <x:f>ROUND(M1132-N1132,2)</x:f>
        <x:v>78.04</x:v>
      </x:c>
      <x:c r="P1132" s="6" t="n">
        <x:v>4.7</x:v>
      </x:c>
      <x:c r="Q1132" t="str">
        <x:v>No</x:v>
      </x:c>
    </x:row>
    <x:row r="1133">
      <x:c r="A1133" t="str">
        <x:v>ORD-01255</x:v>
      </x:c>
      <x:c r="B1133" s="3" t="n">
        <x:v>45759.70253047454</x:v>
      </x:c>
      <x:c r="C1133" t="str">
        <x:v>2025-04</x:v>
      </x:c>
      <x:c r="D1133" t="str">
        <x:v>CUS-0610</x:v>
      </x:c>
      <x:c r="E1133" t="str">
        <x:v>Wales</x:v>
      </x:c>
      <x:c r="F1133" t="str">
        <x:v>Store</x:v>
      </x:c>
      <x:c r="G1133" t="str">
        <x:v>Electronics</x:v>
      </x:c>
      <x:c r="H1133" t="str">
        <x:v>Smart Watch</x:v>
      </x:c>
      <x:c r="I1133" t="n">
        <x:v>3</x:v>
      </x:c>
      <x:c r="J1133" s="4" t="n">
        <x:v>165.09</x:v>
      </x:c>
      <x:c r="K1133" s="4" t="n">
        <x:v>92</x:v>
      </x:c>
      <x:c r="L1133" s="5" t="n">
        <x:v>0.2</x:v>
      </x:c>
      <x:c r="M1133" s="4" t="n">
        <x:f>ROUND(I1133*J1133*(1-L1133),2)</x:f>
        <x:v>396.22</x:v>
      </x:c>
      <x:c r="N1133" s="4" t="n">
        <x:f>ROUND(I1133*K1133,2)</x:f>
        <x:v>276</x:v>
      </x:c>
      <x:c r="O1133" s="4" t="n">
        <x:f>ROUND(M1133-N1133,2)</x:f>
        <x:v>120.22</x:v>
      </x:c>
      <x:c r="P1133" s="6" t="n">
        <x:v>4</x:v>
      </x:c>
      <x:c r="Q1133" t="str">
        <x:v>No</x:v>
      </x:c>
    </x:row>
    <x:row r="1134">
      <x:c r="A1134" t="str">
        <x:v>ORD-00204</x:v>
      </x:c>
      <x:c r="B1134" s="3" t="n">
        <x:v>45759.734642222225</x:v>
      </x:c>
      <x:c r="C1134" t="str">
        <x:v>2025-04</x:v>
      </x:c>
      <x:c r="D1134" t="str">
        <x:v>CUS-0502</x:v>
      </x:c>
      <x:c r="E1134" t="str">
        <x:v>South East</x:v>
      </x:c>
      <x:c r="F1134" t="str">
        <x:v>Marketplace</x:v>
      </x:c>
      <x:c r="G1134" t="str">
        <x:v>Home</x:v>
      </x:c>
      <x:c r="H1134" t="str">
        <x:v>Air Fryer</x:v>
      </x:c>
      <x:c r="I1134" t="n">
        <x:v>1</x:v>
      </x:c>
      <x:c r="J1134" s="4" t="n">
        <x:v>117.84</x:v>
      </x:c>
      <x:c r="K1134" s="4" t="n">
        <x:v>69</x:v>
      </x:c>
      <x:c r="L1134" s="5" t="n">
        <x:v>0.15</x:v>
      </x:c>
      <x:c r="M1134" s="4" t="n">
        <x:f>ROUND(I1134*J1134*(1-L1134),2)</x:f>
        <x:v>100.16</x:v>
      </x:c>
      <x:c r="N1134" s="4" t="n">
        <x:f>ROUND(I1134*K1134,2)</x:f>
        <x:v>69</x:v>
      </x:c>
      <x:c r="O1134" s="4" t="n">
        <x:f>ROUND(M1134-N1134,2)</x:f>
        <x:v>31.16</x:v>
      </x:c>
      <x:c r="P1134" s="6" t="n">
        <x:v>4.9</x:v>
      </x:c>
      <x:c r="Q1134" t="str">
        <x:v>No</x:v>
      </x:c>
    </x:row>
    <x:row r="1135">
      <x:c r="A1135" t="str">
        <x:v>ORD-00915</x:v>
      </x:c>
      <x:c r="B1135" s="3" t="n">
        <x:v>45759.76634401621</x:v>
      </x:c>
      <x:c r="C1135" t="str">
        <x:v>2025-04</x:v>
      </x:c>
      <x:c r="D1135" t="str">
        <x:v>CUS-0604</x:v>
      </x:c>
      <x:c r="E1135" t="str">
        <x:v>South East</x:v>
      </x:c>
      <x:c r="F1135" t="str">
        <x:v>Store</x:v>
      </x:c>
      <x:c r="G1135" t="str">
        <x:v>Fashion</x:v>
      </x:c>
      <x:c r="H1135" t="str">
        <x:v>Winter Jacket</x:v>
      </x:c>
      <x:c r="I1135" t="n">
        <x:v>1</x:v>
      </x:c>
      <x:c r="J1135" s="4" t="n">
        <x:v>95.36</x:v>
      </x:c>
      <x:c r="K1135" s="4" t="n">
        <x:v>46</x:v>
      </x:c>
      <x:c r="L1135" s="5" t="n">
        <x:v>0</x:v>
      </x:c>
      <x:c r="M1135" s="4" t="n">
        <x:f>ROUND(I1135*J1135*(1-L1135),2)</x:f>
        <x:v>95.36</x:v>
      </x:c>
      <x:c r="N1135" s="4" t="n">
        <x:f>ROUND(I1135*K1135,2)</x:f>
        <x:v>46</x:v>
      </x:c>
      <x:c r="O1135" s="4" t="n">
        <x:f>ROUND(M1135-N1135,2)</x:f>
        <x:v>49.36</x:v>
      </x:c>
      <x:c r="P1135" s="6" t="n">
        <x:v>4.8</x:v>
      </x:c>
      <x:c r="Q1135" t="str">
        <x:v>No</x:v>
      </x:c>
    </x:row>
    <x:row r="1136">
      <x:c r="A1136" t="str">
        <x:v>ORD-01441</x:v>
      </x:c>
      <x:c r="B1136" s="3" t="n">
        <x:v>45760.42793946759</x:v>
      </x:c>
      <x:c r="C1136" t="str">
        <x:v>2025-04</x:v>
      </x:c>
      <x:c r="D1136" t="str">
        <x:v>CUS-0044</x:v>
      </x:c>
      <x:c r="E1136" t="str">
        <x:v>Midlands</x:v>
      </x:c>
      <x:c r="F1136" t="str">
        <x:v>Online</x:v>
      </x:c>
      <x:c r="G1136" t="str">
        <x:v>Electronics</x:v>
      </x:c>
      <x:c r="H1136" t="str">
        <x:v>Bluetooth Speaker</x:v>
      </x:c>
      <x:c r="I1136" t="n">
        <x:v>1</x:v>
      </x:c>
      <x:c r="J1136" s="4" t="n">
        <x:v>62</x:v>
      </x:c>
      <x:c r="K1136" s="4" t="n">
        <x:v>34</x:v>
      </x:c>
      <x:c r="L1136" s="5" t="n">
        <x:v>0.1</x:v>
      </x:c>
      <x:c r="M1136" s="4" t="n">
        <x:f>ROUND(I1136*J1136*(1-L1136),2)</x:f>
        <x:v>55.8</x:v>
      </x:c>
      <x:c r="N1136" s="4" t="n">
        <x:f>ROUND(I1136*K1136,2)</x:f>
        <x:v>34</x:v>
      </x:c>
      <x:c r="O1136" s="4" t="n">
        <x:f>ROUND(M1136-N1136,2)</x:f>
        <x:v>21.8</x:v>
      </x:c>
      <x:c r="P1136" s="6" t="n">
        <x:v>3.3</x:v>
      </x:c>
      <x:c r="Q1136" t="str">
        <x:v>No</x:v>
      </x:c>
    </x:row>
    <x:row r="1137">
      <x:c r="A1137" t="str">
        <x:v>ORD-01411</x:v>
      </x:c>
      <x:c r="B1137" s="3" t="n">
        <x:v>45760.545322997685</x:v>
      </x:c>
      <x:c r="C1137" t="str">
        <x:v>2025-04</x:v>
      </x:c>
      <x:c r="D1137" t="str">
        <x:v>CUS-0195</x:v>
      </x:c>
      <x:c r="E1137" t="str">
        <x:v>North East</x:v>
      </x:c>
      <x:c r="F1137" t="str">
        <x:v>Online</x:v>
      </x:c>
      <x:c r="G1137" t="str">
        <x:v>Beauty</x:v>
      </x:c>
      <x:c r="H1137" t="str">
        <x:v>Skin Care Set</x:v>
      </x:c>
      <x:c r="I1137" t="n">
        <x:v>4</x:v>
      </x:c>
      <x:c r="J1137" s="4" t="n">
        <x:v>45.34</x:v>
      </x:c>
      <x:c r="K1137" s="4" t="n">
        <x:v>18</x:v>
      </x:c>
      <x:c r="L1137" s="5" t="n">
        <x:v>0</x:v>
      </x:c>
      <x:c r="M1137" s="4" t="n">
        <x:f>ROUND(I1137*J1137*(1-L1137),2)</x:f>
        <x:v>181.36</x:v>
      </x:c>
      <x:c r="N1137" s="4" t="n">
        <x:f>ROUND(I1137*K1137,2)</x:f>
        <x:v>72</x:v>
      </x:c>
      <x:c r="O1137" s="4" t="n">
        <x:f>ROUND(M1137-N1137,2)</x:f>
        <x:v>109.36</x:v>
      </x:c>
      <x:c r="P1137" s="6" t="n">
        <x:v>3.8</x:v>
      </x:c>
      <x:c r="Q1137" t="str">
        <x:v>No</x:v>
      </x:c>
    </x:row>
    <x:row r="1138">
      <x:c r="A1138" t="str">
        <x:v>ORD-01184</x:v>
      </x:c>
      <x:c r="B1138" s="3" t="n">
        <x:v>45760.84129597222</x:v>
      </x:c>
      <x:c r="C1138" t="str">
        <x:v>2025-04</x:v>
      </x:c>
      <x:c r="D1138" t="str">
        <x:v>CUS-0511</x:v>
      </x:c>
      <x:c r="E1138" t="str">
        <x:v>North East</x:v>
      </x:c>
      <x:c r="F1138" t="str">
        <x:v>Online</x:v>
      </x:c>
      <x:c r="G1138" t="str">
        <x:v>Fashion</x:v>
      </x:c>
      <x:c r="H1138" t="str">
        <x:v>Backpack</x:v>
      </x:c>
      <x:c r="I1138" t="n">
        <x:v>4</x:v>
      </x:c>
      <x:c r="J1138" s="4" t="n">
        <x:v>49.85</x:v>
      </x:c>
      <x:c r="K1138" s="4" t="n">
        <x:v>21</x:v>
      </x:c>
      <x:c r="L1138" s="5" t="n">
        <x:v>0</x:v>
      </x:c>
      <x:c r="M1138" s="4" t="n">
        <x:f>ROUND(I1138*J1138*(1-L1138),2)</x:f>
        <x:v>199.4</x:v>
      </x:c>
      <x:c r="N1138" s="4" t="n">
        <x:f>ROUND(I1138*K1138,2)</x:f>
        <x:v>84</x:v>
      </x:c>
      <x:c r="O1138" s="4" t="n">
        <x:f>ROUND(M1138-N1138,2)</x:f>
        <x:v>115.4</x:v>
      </x:c>
      <x:c r="P1138" s="6" t="n">
        <x:v>3.9</x:v>
      </x:c>
      <x:c r="Q1138" t="str">
        <x:v>No</x:v>
      </x:c>
    </x:row>
    <x:row r="1139">
      <x:c r="A1139" t="str">
        <x:v>ORD-01488</x:v>
      </x:c>
      <x:c r="B1139" s="3" t="n">
        <x:v>45761.804480439816</x:v>
      </x:c>
      <x:c r="C1139" t="str">
        <x:v>2025-04</x:v>
      </x:c>
      <x:c r="D1139" t="str">
        <x:v>CUS-0468</x:v>
      </x:c>
      <x:c r="E1139" t="str">
        <x:v>Midlands</x:v>
      </x:c>
      <x:c r="F1139" t="str">
        <x:v>Online</x:v>
      </x:c>
      <x:c r="G1139" t="str">
        <x:v>Books</x:v>
      </x:c>
      <x:c r="H1139" t="str">
        <x:v>Data Analytics Handbook</x:v>
      </x:c>
      <x:c r="I1139" t="n">
        <x:v>1</x:v>
      </x:c>
      <x:c r="J1139" s="4" t="n">
        <x:v>41.83</x:v>
      </x:c>
      <x:c r="K1139" s="4" t="n">
        <x:v>14</x:v>
      </x:c>
      <x:c r="L1139" s="5" t="n">
        <x:v>0.15</x:v>
      </x:c>
      <x:c r="M1139" s="4" t="n">
        <x:f>ROUND(I1139*J1139*(1-L1139),2)</x:f>
        <x:v>35.56</x:v>
      </x:c>
      <x:c r="N1139" s="4" t="n">
        <x:f>ROUND(I1139*K1139,2)</x:f>
        <x:v>14</x:v>
      </x:c>
      <x:c r="O1139" s="4" t="n">
        <x:f>ROUND(M1139-N1139,2)</x:f>
        <x:v>21.56</x:v>
      </x:c>
      <x:c r="P1139" s="6" t="n">
        <x:v>5</x:v>
      </x:c>
      <x:c r="Q1139" t="str">
        <x:v>No</x:v>
      </x:c>
    </x:row>
    <x:row r="1140">
      <x:c r="A1140" t="str">
        <x:v>ORD-00280</x:v>
      </x:c>
      <x:c r="B1140" s="3" t="n">
        <x:v>45761.836398761574</x:v>
      </x:c>
      <x:c r="C1140" t="str">
        <x:v>2025-04</x:v>
      </x:c>
      <x:c r="D1140" t="str">
        <x:v>CUS-0038</x:v>
      </x:c>
      <x:c r="E1140" t="str">
        <x:v>South East</x:v>
      </x:c>
      <x:c r="F1140" t="str">
        <x:v>Marketplace</x:v>
      </x:c>
      <x:c r="G1140" t="str">
        <x:v>Fashion</x:v>
      </x:c>
      <x:c r="H1140" t="str">
        <x:v>Backpack</x:v>
      </x:c>
      <x:c r="I1140" t="n">
        <x:v>3</x:v>
      </x:c>
      <x:c r="J1140" s="4" t="n">
        <x:v>49.18</x:v>
      </x:c>
      <x:c r="K1140" s="4" t="n">
        <x:v>21</x:v>
      </x:c>
      <x:c r="L1140" s="5" t="n">
        <x:v>0.05</x:v>
      </x:c>
      <x:c r="M1140" s="4" t="n">
        <x:f>ROUND(I1140*J1140*(1-L1140),2)</x:f>
        <x:v>140.16</x:v>
      </x:c>
      <x:c r="N1140" s="4" t="n">
        <x:f>ROUND(I1140*K1140,2)</x:f>
        <x:v>63</x:v>
      </x:c>
      <x:c r="O1140" s="4" t="n">
        <x:f>ROUND(M1140-N1140,2)</x:f>
        <x:v>77.16</x:v>
      </x:c>
      <x:c r="P1140" s="6" t="n">
        <x:v>5</x:v>
      </x:c>
      <x:c r="Q1140" t="str">
        <x:v>No</x:v>
      </x:c>
    </x:row>
    <x:row r="1141">
      <x:c r="A1141" t="str">
        <x:v>ORD-00209</x:v>
      </x:c>
      <x:c r="B1141" s="3" t="n">
        <x:v>45762.240422766205</x:v>
      </x:c>
      <x:c r="C1141" t="str">
        <x:v>2025-04</x:v>
      </x:c>
      <x:c r="D1141" t="str">
        <x:v>CUS-0267</x:v>
      </x:c>
      <x:c r="E1141" t="str">
        <x:v>Midlands</x:v>
      </x:c>
      <x:c r="F1141" t="str">
        <x:v>Store</x:v>
      </x:c>
      <x:c r="G1141" t="str">
        <x:v>Books</x:v>
      </x:c>
      <x:c r="H1141" t="str">
        <x:v>Data Analytics Handbook</x:v>
      </x:c>
      <x:c r="I1141" t="n">
        <x:v>4</x:v>
      </x:c>
      <x:c r="J1141" s="4" t="n">
        <x:v>39.09</x:v>
      </x:c>
      <x:c r="K1141" s="4" t="n">
        <x:v>14</x:v>
      </x:c>
      <x:c r="L1141" s="5" t="n">
        <x:v>0</x:v>
      </x:c>
      <x:c r="M1141" s="4" t="n">
        <x:f>ROUND(I1141*J1141*(1-L1141),2)</x:f>
        <x:v>156.36</x:v>
      </x:c>
      <x:c r="N1141" s="4" t="n">
        <x:f>ROUND(I1141*K1141,2)</x:f>
        <x:v>56</x:v>
      </x:c>
      <x:c r="O1141" s="4" t="n">
        <x:f>ROUND(M1141-N1141,2)</x:f>
        <x:v>100.36</x:v>
      </x:c>
      <x:c r="P1141" s="6" t="n">
        <x:v>5</x:v>
      </x:c>
      <x:c r="Q1141" t="str">
        <x:v>No</x:v>
      </x:c>
    </x:row>
    <x:row r="1142">
      <x:c r="A1142" t="str">
        <x:v>ORD-00310</x:v>
      </x:c>
      <x:c r="B1142" s="3" t="n">
        <x:v>45762.48631141204</x:v>
      </x:c>
      <x:c r="C1142" t="str">
        <x:v>2025-04</x:v>
      </x:c>
      <x:c r="D1142" t="str">
        <x:v>CUS-0245</x:v>
      </x:c>
      <x:c r="E1142" t="str">
        <x:v>South East</x:v>
      </x:c>
      <x:c r="F1142" t="str">
        <x:v>Store</x:v>
      </x:c>
      <x:c r="G1142" t="str">
        <x:v>Fashion</x:v>
      </x:c>
      <x:c r="H1142" t="str">
        <x:v>Winter Jacket</x:v>
      </x:c>
      <x:c r="I1142" t="n">
        <x:v>5</x:v>
      </x:c>
      <x:c r="J1142" s="4" t="n">
        <x:v>94.81</x:v>
      </x:c>
      <x:c r="K1142" s="4" t="n">
        <x:v>46</x:v>
      </x:c>
      <x:c r="L1142" s="5" t="n">
        <x:v>0.2</x:v>
      </x:c>
      <x:c r="M1142" s="4" t="n">
        <x:f>ROUND(I1142*J1142*(1-L1142),2)</x:f>
        <x:v>379.24</x:v>
      </x:c>
      <x:c r="N1142" s="4" t="n">
        <x:f>ROUND(I1142*K1142,2)</x:f>
        <x:v>230</x:v>
      </x:c>
      <x:c r="O1142" s="4" t="n">
        <x:f>ROUND(M1142-N1142,2)</x:f>
        <x:v>149.24</x:v>
      </x:c>
      <x:c r="P1142" s="6" t="n">
        <x:v>3.2</x:v>
      </x:c>
      <x:c r="Q1142" t="str">
        <x:v>No</x:v>
      </x:c>
    </x:row>
    <x:row r="1143">
      <x:c r="A1143" t="str">
        <x:v>ORD-01111</x:v>
      </x:c>
      <x:c r="B1143" s="3" t="n">
        <x:v>45762.52615322917</x:v>
      </x:c>
      <x:c r="C1143" t="str">
        <x:v>2025-04</x:v>
      </x:c>
      <x:c r="D1143" t="str">
        <x:v>CUS-0487</x:v>
      </x:c>
      <x:c r="E1143" t="str">
        <x:v>North West</x:v>
      </x:c>
      <x:c r="F1143" t="str">
        <x:v>Store</x:v>
      </x:c>
      <x:c r="G1143" t="str">
        <x:v>Sports</x:v>
      </x:c>
      <x:c r="H1143" t="str">
        <x:v>Running Shoes</x:v>
      </x:c>
      <x:c r="I1143" t="n">
        <x:v>5</x:v>
      </x:c>
      <x:c r="J1143" s="4" t="n">
        <x:v>79.89</x:v>
      </x:c>
      <x:c r="K1143" s="4" t="n">
        <x:v>38</x:v>
      </x:c>
      <x:c r="L1143" s="5" t="n">
        <x:v>0</x:v>
      </x:c>
      <x:c r="M1143" s="4" t="n">
        <x:f>ROUND(I1143*J1143*(1-L1143),2)</x:f>
        <x:v>399.45</x:v>
      </x:c>
      <x:c r="N1143" s="4" t="n">
        <x:f>ROUND(I1143*K1143,2)</x:f>
        <x:v>190</x:v>
      </x:c>
      <x:c r="O1143" s="4" t="n">
        <x:f>ROUND(M1143-N1143,2)</x:f>
        <x:v>209.45</x:v>
      </x:c>
      <x:c r="P1143" s="6" t="n">
        <x:v>3.9</x:v>
      </x:c>
      <x:c r="Q1143" t="str">
        <x:v>No</x:v>
      </x:c>
    </x:row>
    <x:row r="1144">
      <x:c r="A1144" t="str">
        <x:v>ORD-00157</x:v>
      </x:c>
      <x:c r="B1144" s="3" t="n">
        <x:v>45762.74395152778</x:v>
      </x:c>
      <x:c r="C1144" t="str">
        <x:v>2025-04</x:v>
      </x:c>
      <x:c r="D1144" t="str">
        <x:v>CUS-0161</x:v>
      </x:c>
      <x:c r="E1144" t="str">
        <x:v>South West</x:v>
      </x:c>
      <x:c r="F1144" t="str">
        <x:v>Online</x:v>
      </x:c>
      <x:c r="G1144" t="str">
        <x:v>Electronics</x:v>
      </x:c>
      <x:c r="H1144" t="str">
        <x:v>Wireless Headphones</x:v>
      </x:c>
      <x:c r="I1144" t="n">
        <x:v>3</x:v>
      </x:c>
      <x:c r="J1144" s="4" t="n">
        <x:v>94.48</x:v>
      </x:c>
      <x:c r="K1144" s="4" t="n">
        <x:v>48</x:v>
      </x:c>
      <x:c r="L1144" s="5" t="n">
        <x:v>0</x:v>
      </x:c>
      <x:c r="M1144" s="4" t="n">
        <x:f>ROUND(I1144*J1144*(1-L1144),2)</x:f>
        <x:v>283.44</x:v>
      </x:c>
      <x:c r="N1144" s="4" t="n">
        <x:f>ROUND(I1144*K1144,2)</x:f>
        <x:v>144</x:v>
      </x:c>
      <x:c r="O1144" s="4" t="n">
        <x:f>ROUND(M1144-N1144,2)</x:f>
        <x:v>139.44</x:v>
      </x:c>
      <x:c r="P1144" s="6" t="n">
        <x:v>4.3</x:v>
      </x:c>
      <x:c r="Q1144" t="str">
        <x:v>No</x:v>
      </x:c>
    </x:row>
    <x:row r="1145">
      <x:c r="A1145" t="str">
        <x:v>ORD-01723</x:v>
      </x:c>
      <x:c r="B1145" s="3" t="n">
        <x:v>45763.145996099534</x:v>
      </x:c>
      <x:c r="C1145" t="str">
        <x:v>2025-04</x:v>
      </x:c>
      <x:c r="D1145" t="str">
        <x:v>CUS-0480</x:v>
      </x:c>
      <x:c r="E1145" t="str">
        <x:v>Scotland</x:v>
      </x:c>
      <x:c r="F1145" t="str">
        <x:v>Online</x:v>
      </x:c>
      <x:c r="G1145" t="str">
        <x:v>Beauty</x:v>
      </x:c>
      <x:c r="H1145" t="str">
        <x:v>Skin Care Set</x:v>
      </x:c>
      <x:c r="I1145" t="n">
        <x:v>3</x:v>
      </x:c>
      <x:c r="J1145" s="4" t="n">
        <x:v>46.53</x:v>
      </x:c>
      <x:c r="K1145" s="4" t="n">
        <x:v>18</x:v>
      </x:c>
      <x:c r="L1145" s="5" t="n">
        <x:v>0.15</x:v>
      </x:c>
      <x:c r="M1145" s="4" t="n">
        <x:f>ROUND(I1145*J1145*(1-L1145),2)</x:f>
        <x:v>118.65</x:v>
      </x:c>
      <x:c r="N1145" s="4" t="n">
        <x:f>ROUND(I1145*K1145,2)</x:f>
        <x:v>54</x:v>
      </x:c>
      <x:c r="O1145" s="4" t="n">
        <x:f>ROUND(M1145-N1145,2)</x:f>
        <x:v>64.65</x:v>
      </x:c>
      <x:c r="P1145" s="6" t="n">
        <x:v>4.9</x:v>
      </x:c>
      <x:c r="Q1145" t="str">
        <x:v>No</x:v>
      </x:c>
    </x:row>
    <x:row r="1146">
      <x:c r="A1146" t="str">
        <x:v>ORD-00070</x:v>
      </x:c>
      <x:c r="B1146" s="3" t="n">
        <x:v>45763.501263541664</x:v>
      </x:c>
      <x:c r="C1146" t="str">
        <x:v>2025-04</x:v>
      </x:c>
      <x:c r="D1146" t="str">
        <x:v>CUS-0534</x:v>
      </x:c>
      <x:c r="E1146" t="str">
        <x:v>North West</x:v>
      </x:c>
      <x:c r="F1146" t="str">
        <x:v>Marketplace</x:v>
      </x:c>
      <x:c r="G1146" t="str">
        <x:v>Beauty</x:v>
      </x:c>
      <x:c r="H1146" t="str">
        <x:v>Hair Dryer</x:v>
      </x:c>
      <x:c r="I1146" t="n">
        <x:v>3</x:v>
      </x:c>
      <x:c r="J1146" s="4" t="n">
        <x:v>58.58</x:v>
      </x:c>
      <x:c r="K1146" s="4" t="n">
        <x:v>29</x:v>
      </x:c>
      <x:c r="L1146" s="5" t="n">
        <x:v>0</x:v>
      </x:c>
      <x:c r="M1146" s="4" t="n">
        <x:f>ROUND(I1146*J1146*(1-L1146),2)</x:f>
        <x:v>175.74</x:v>
      </x:c>
      <x:c r="N1146" s="4" t="n">
        <x:f>ROUND(I1146*K1146,2)</x:f>
        <x:v>87</x:v>
      </x:c>
      <x:c r="O1146" s="4" t="n">
        <x:f>ROUND(M1146-N1146,2)</x:f>
        <x:v>88.74</x:v>
      </x:c>
      <x:c r="P1146" s="6" t="n">
        <x:v>3.7</x:v>
      </x:c>
      <x:c r="Q1146" t="str">
        <x:v>No</x:v>
      </x:c>
    </x:row>
    <x:row r="1147">
      <x:c r="A1147" t="str">
        <x:v>ORD-00742</x:v>
      </x:c>
      <x:c r="B1147" s="3" t="n">
        <x:v>45763.78483815972</x:v>
      </x:c>
      <x:c r="C1147" t="str">
        <x:v>2025-04</x:v>
      </x:c>
      <x:c r="D1147" t="str">
        <x:v>CUS-0584</x:v>
      </x:c>
      <x:c r="E1147" t="str">
        <x:v>Midlands</x:v>
      </x:c>
      <x:c r="F1147" t="str">
        <x:v>Online</x:v>
      </x:c>
      <x:c r="G1147" t="str">
        <x:v>Sports</x:v>
      </x:c>
      <x:c r="H1147" t="str">
        <x:v>Yoga Mat</x:v>
      </x:c>
      <x:c r="I1147" t="n">
        <x:v>1</x:v>
      </x:c>
      <x:c r="J1147" s="4" t="n">
        <x:v>31.38</x:v>
      </x:c>
      <x:c r="K1147" s="4" t="n">
        <x:v>12</x:v>
      </x:c>
      <x:c r="L1147" s="5" t="n">
        <x:v>0</x:v>
      </x:c>
      <x:c r="M1147" s="4" t="n">
        <x:f>ROUND(I1147*J1147*(1-L1147),2)</x:f>
        <x:v>31.38</x:v>
      </x:c>
      <x:c r="N1147" s="4" t="n">
        <x:f>ROUND(I1147*K1147,2)</x:f>
        <x:v>12</x:v>
      </x:c>
      <x:c r="O1147" s="4" t="n">
        <x:f>ROUND(M1147-N1147,2)</x:f>
        <x:v>19.38</x:v>
      </x:c>
      <x:c r="P1147" s="6" t="n">
        <x:v>3.7</x:v>
      </x:c>
      <x:c r="Q1147" t="str">
        <x:v>No</x:v>
      </x:c>
    </x:row>
    <x:row r="1148">
      <x:c r="A1148" t="str">
        <x:v>ORD-00159</x:v>
      </x:c>
      <x:c r="B1148" s="3" t="n">
        <x:v>45764.18163383102</x:v>
      </x:c>
      <x:c r="C1148" t="str">
        <x:v>2025-04</x:v>
      </x:c>
      <x:c r="D1148" t="str">
        <x:v>CUS-0106</x:v>
      </x:c>
      <x:c r="E1148" t="str">
        <x:v>Wales</x:v>
      </x:c>
      <x:c r="F1148" t="str">
        <x:v>Online</x:v>
      </x:c>
      <x:c r="G1148" t="str">
        <x:v>Home</x:v>
      </x:c>
      <x:c r="H1148" t="str">
        <x:v>Coffee Maker</x:v>
      </x:c>
      <x:c r="I1148" t="n">
        <x:v>5</x:v>
      </x:c>
      <x:c r="J1148" s="4" t="n">
        <x:v>76.25</x:v>
      </x:c>
      <x:c r="K1148" s="4" t="n">
        <x:v>41</x:v>
      </x:c>
      <x:c r="L1148" s="5" t="n">
        <x:v>0.15</x:v>
      </x:c>
      <x:c r="M1148" s="4" t="n">
        <x:f>ROUND(I1148*J1148*(1-L1148),2)</x:f>
        <x:v>324.06</x:v>
      </x:c>
      <x:c r="N1148" s="4" t="n">
        <x:f>ROUND(I1148*K1148,2)</x:f>
        <x:v>205</x:v>
      </x:c>
      <x:c r="O1148" s="4" t="n">
        <x:f>ROUND(M1148-N1148,2)</x:f>
        <x:v>119.06</x:v>
      </x:c>
      <x:c r="P1148" s="6" t="n">
        <x:v>4.6</x:v>
      </x:c>
      <x:c r="Q1148" t="str">
        <x:v>No</x:v>
      </x:c>
    </x:row>
    <x:row r="1149">
      <x:c r="A1149" t="str">
        <x:v>ORD-01063</x:v>
      </x:c>
      <x:c r="B1149" s="3" t="n">
        <x:v>45764.335732141204</x:v>
      </x:c>
      <x:c r="C1149" t="str">
        <x:v>2025-04</x:v>
      </x:c>
      <x:c r="D1149" t="str">
        <x:v>CUS-0363</x:v>
      </x:c>
      <x:c r="E1149" t="str">
        <x:v>Wales</x:v>
      </x:c>
      <x:c r="F1149" t="str">
        <x:v>Marketplace</x:v>
      </x:c>
      <x:c r="G1149" t="str">
        <x:v>Fashion</x:v>
      </x:c>
      <x:c r="H1149" t="str">
        <x:v>Winter Jacket</x:v>
      </x:c>
      <x:c r="I1149" t="n">
        <x:v>3</x:v>
      </x:c>
      <x:c r="J1149" s="4" t="n">
        <x:v>92</x:v>
      </x:c>
      <x:c r="K1149" s="4" t="n">
        <x:v>46</x:v>
      </x:c>
      <x:c r="L1149" s="5" t="n">
        <x:v>0.1</x:v>
      </x:c>
      <x:c r="M1149" s="4" t="n">
        <x:f>ROUND(I1149*J1149*(1-L1149),2)</x:f>
        <x:v>248.4</x:v>
      </x:c>
      <x:c r="N1149" s="4" t="n">
        <x:f>ROUND(I1149*K1149,2)</x:f>
        <x:v>138</x:v>
      </x:c>
      <x:c r="O1149" s="4" t="n">
        <x:f>ROUND(M1149-N1149,2)</x:f>
        <x:v>110.4</x:v>
      </x:c>
      <x:c r="P1149" s="6" t="n">
        <x:v>4.6</x:v>
      </x:c>
      <x:c r="Q1149" t="str">
        <x:v>No</x:v>
      </x:c>
    </x:row>
    <x:row r="1150">
      <x:c r="A1150" t="str">
        <x:v>ORD-01634</x:v>
      </x:c>
      <x:c r="B1150" s="3" t="n">
        <x:v>45765.19214746528</x:v>
      </x:c>
      <x:c r="C1150" t="str">
        <x:v>2025-04</x:v>
      </x:c>
      <x:c r="D1150" t="str">
        <x:v>CUS-0332</x:v>
      </x:c>
      <x:c r="E1150" t="str">
        <x:v>Wales</x:v>
      </x:c>
      <x:c r="F1150" t="str">
        <x:v>Marketplace</x:v>
      </x:c>
      <x:c r="G1150" t="str">
        <x:v>Home</x:v>
      </x:c>
      <x:c r="H1150" t="str">
        <x:v>Desk Lamp</x:v>
      </x:c>
      <x:c r="I1150" t="n">
        <x:v>4</x:v>
      </x:c>
      <x:c r="J1150" s="4" t="n">
        <x:v>36.06</x:v>
      </x:c>
      <x:c r="K1150" s="4" t="n">
        <x:v>17</x:v>
      </x:c>
      <x:c r="L1150" s="5" t="n">
        <x:v>0.05</x:v>
      </x:c>
      <x:c r="M1150" s="4" t="n">
        <x:f>ROUND(I1150*J1150*(1-L1150),2)</x:f>
        <x:v>137.03</x:v>
      </x:c>
      <x:c r="N1150" s="4" t="n">
        <x:f>ROUND(I1150*K1150,2)</x:f>
        <x:v>68</x:v>
      </x:c>
      <x:c r="O1150" s="4" t="n">
        <x:f>ROUND(M1150-N1150,2)</x:f>
        <x:v>69.03</x:v>
      </x:c>
      <x:c r="P1150" s="6" t="n">
        <x:v>4.9</x:v>
      </x:c>
      <x:c r="Q1150" t="str">
        <x:v>No</x:v>
      </x:c>
    </x:row>
    <x:row r="1151">
      <x:c r="A1151" t="str">
        <x:v>ORD-01445</x:v>
      </x:c>
      <x:c r="B1151" s="3" t="n">
        <x:v>45765.40735173611</x:v>
      </x:c>
      <x:c r="C1151" t="str">
        <x:v>2025-04</x:v>
      </x:c>
      <x:c r="D1151" t="str">
        <x:v>CUS-0324</x:v>
      </x:c>
      <x:c r="E1151" t="str">
        <x:v>North East</x:v>
      </x:c>
      <x:c r="F1151" t="str">
        <x:v>Marketplace</x:v>
      </x:c>
      <x:c r="G1151" t="str">
        <x:v>Electronics</x:v>
      </x:c>
      <x:c r="H1151" t="str">
        <x:v>Wireless Headphones</x:v>
      </x:c>
      <x:c r="I1151" t="n">
        <x:v>5</x:v>
      </x:c>
      <x:c r="J1151" s="4" t="n">
        <x:v>88.86</x:v>
      </x:c>
      <x:c r="K1151" s="4" t="n">
        <x:v>48</x:v>
      </x:c>
      <x:c r="L1151" s="5" t="n">
        <x:v>0</x:v>
      </x:c>
      <x:c r="M1151" s="4" t="n">
        <x:f>ROUND(I1151*J1151*(1-L1151),2)</x:f>
        <x:v>444.3</x:v>
      </x:c>
      <x:c r="N1151" s="4" t="n">
        <x:f>ROUND(I1151*K1151,2)</x:f>
        <x:v>240</x:v>
      </x:c>
      <x:c r="O1151" s="4" t="n">
        <x:f>ROUND(M1151-N1151,2)</x:f>
        <x:v>204.3</x:v>
      </x:c>
      <x:c r="P1151" s="6" t="n">
        <x:v>4.1</x:v>
      </x:c>
      <x:c r="Q1151" t="str">
        <x:v>No</x:v>
      </x:c>
    </x:row>
    <x:row r="1152">
      <x:c r="A1152" t="str">
        <x:v>ORD-00692</x:v>
      </x:c>
      <x:c r="B1152" s="3" t="n">
        <x:v>45765.621420648145</x:v>
      </x:c>
      <x:c r="C1152" t="str">
        <x:v>2025-04</x:v>
      </x:c>
      <x:c r="D1152" t="str">
        <x:v>CUS-0112</x:v>
      </x:c>
      <x:c r="E1152" t="str">
        <x:v>South West</x:v>
      </x:c>
      <x:c r="F1152" t="str">
        <x:v>Online</x:v>
      </x:c>
      <x:c r="G1152" t="str">
        <x:v>Electronics</x:v>
      </x:c>
      <x:c r="H1152" t="str">
        <x:v>Bluetooth Speaker</x:v>
      </x:c>
      <x:c r="I1152" t="n">
        <x:v>2</x:v>
      </x:c>
      <x:c r="J1152" s="4" t="n">
        <x:v>66.12</x:v>
      </x:c>
      <x:c r="K1152" s="4" t="n">
        <x:v>34</x:v>
      </x:c>
      <x:c r="L1152" s="5" t="n">
        <x:v>0</x:v>
      </x:c>
      <x:c r="M1152" s="4" t="n">
        <x:f>ROUND(I1152*J1152*(1-L1152),2)</x:f>
        <x:v>132.24</x:v>
      </x:c>
      <x:c r="N1152" s="4" t="n">
        <x:f>ROUND(I1152*K1152,2)</x:f>
        <x:v>68</x:v>
      </x:c>
      <x:c r="O1152" s="4" t="n">
        <x:f>ROUND(M1152-N1152,2)</x:f>
        <x:v>64.24</x:v>
      </x:c>
      <x:c r="P1152" s="6" t="n">
        <x:v>3.3</x:v>
      </x:c>
      <x:c r="Q1152" t="str">
        <x:v>No</x:v>
      </x:c>
    </x:row>
    <x:row r="1153">
      <x:c r="A1153" t="str">
        <x:v>ORD-00590</x:v>
      </x:c>
      <x:c r="B1153" s="3" t="n">
        <x:v>45766.938405057874</x:v>
      </x:c>
      <x:c r="C1153" t="str">
        <x:v>2025-04</x:v>
      </x:c>
      <x:c r="D1153" t="str">
        <x:v>CUS-0388</x:v>
      </x:c>
      <x:c r="E1153" t="str">
        <x:v>Scotland</x:v>
      </x:c>
      <x:c r="F1153" t="str">
        <x:v>Store</x:v>
      </x:c>
      <x:c r="G1153" t="str">
        <x:v>Electronics</x:v>
      </x:c>
      <x:c r="H1153" t="str">
        <x:v>Smart Watch</x:v>
      </x:c>
      <x:c r="I1153" t="n">
        <x:v>3</x:v>
      </x:c>
      <x:c r="J1153" s="4" t="n">
        <x:v>167.74</x:v>
      </x:c>
      <x:c r="K1153" s="4" t="n">
        <x:v>92</x:v>
      </x:c>
      <x:c r="L1153" s="5" t="n">
        <x:v>0.05</x:v>
      </x:c>
      <x:c r="M1153" s="4" t="n">
        <x:f>ROUND(I1153*J1153*(1-L1153),2)</x:f>
        <x:v>478.06</x:v>
      </x:c>
      <x:c r="N1153" s="4" t="n">
        <x:f>ROUND(I1153*K1153,2)</x:f>
        <x:v>276</x:v>
      </x:c>
      <x:c r="O1153" s="4" t="n">
        <x:f>ROUND(M1153-N1153,2)</x:f>
        <x:v>202.06</x:v>
      </x:c>
      <x:c r="P1153" s="6" t="n">
        <x:v>4.9</x:v>
      </x:c>
      <x:c r="Q1153" t="str">
        <x:v>No</x:v>
      </x:c>
    </x:row>
    <x:row r="1154">
      <x:c r="A1154" t="str">
        <x:v>ORD-00475</x:v>
      </x:c>
      <x:c r="B1154" s="3" t="n">
        <x:v>45767.07038633102</x:v>
      </x:c>
      <x:c r="C1154" t="str">
        <x:v>2025-04</x:v>
      </x:c>
      <x:c r="D1154" t="str">
        <x:v>CUS-0568</x:v>
      </x:c>
      <x:c r="E1154" t="str">
        <x:v>South East</x:v>
      </x:c>
      <x:c r="F1154" t="str">
        <x:v>Marketplace</x:v>
      </x:c>
      <x:c r="G1154" t="str">
        <x:v>Electronics</x:v>
      </x:c>
      <x:c r="H1154" t="str">
        <x:v>Smart Watch</x:v>
      </x:c>
      <x:c r="I1154" t="n">
        <x:v>2</x:v>
      </x:c>
      <x:c r="J1154" s="4" t="n">
        <x:v>163.37</x:v>
      </x:c>
      <x:c r="K1154" s="4" t="n">
        <x:v>92</x:v>
      </x:c>
      <x:c r="L1154" s="5" t="n">
        <x:v>0</x:v>
      </x:c>
      <x:c r="M1154" s="4" t="n">
        <x:f>ROUND(I1154*J1154*(1-L1154),2)</x:f>
        <x:v>326.74</x:v>
      </x:c>
      <x:c r="N1154" s="4" t="n">
        <x:f>ROUND(I1154*K1154,2)</x:f>
        <x:v>184</x:v>
      </x:c>
      <x:c r="O1154" s="4" t="n">
        <x:f>ROUND(M1154-N1154,2)</x:f>
        <x:v>142.74</x:v>
      </x:c>
      <x:c r="P1154" s="6" t="n">
        <x:v>3.6</x:v>
      </x:c>
      <x:c r="Q1154" t="str">
        <x:v>No</x:v>
      </x:c>
    </x:row>
    <x:row r="1155">
      <x:c r="A1155" t="str">
        <x:v>ORD-01099</x:v>
      </x:c>
      <x:c r="B1155" s="3" t="n">
        <x:v>45767.27575465278</x:v>
      </x:c>
      <x:c r="C1155" t="str">
        <x:v>2025-04</x:v>
      </x:c>
      <x:c r="D1155" t="str">
        <x:v>CUS-0490</x:v>
      </x:c>
      <x:c r="E1155" t="str">
        <x:v>North East</x:v>
      </x:c>
      <x:c r="F1155" t="str">
        <x:v>Online</x:v>
      </x:c>
      <x:c r="G1155" t="str">
        <x:v>Home</x:v>
      </x:c>
      <x:c r="H1155" t="str">
        <x:v>Desk Lamp</x:v>
      </x:c>
      <x:c r="I1155" t="n">
        <x:v>3</x:v>
      </x:c>
      <x:c r="J1155" s="4" t="n">
        <x:v>33.74</x:v>
      </x:c>
      <x:c r="K1155" s="4" t="n">
        <x:v>17</x:v>
      </x:c>
      <x:c r="L1155" s="5" t="n">
        <x:v>0.15</x:v>
      </x:c>
      <x:c r="M1155" s="4" t="n">
        <x:f>ROUND(I1155*J1155*(1-L1155),2)</x:f>
        <x:v>86.04</x:v>
      </x:c>
      <x:c r="N1155" s="4" t="n">
        <x:f>ROUND(I1155*K1155,2)</x:f>
        <x:v>51</x:v>
      </x:c>
      <x:c r="O1155" s="4" t="n">
        <x:f>ROUND(M1155-N1155,2)</x:f>
        <x:v>35.04</x:v>
      </x:c>
      <x:c r="P1155" s="6" t="n">
        <x:v>4</x:v>
      </x:c>
      <x:c r="Q1155" t="str">
        <x:v>No</x:v>
      </x:c>
    </x:row>
    <x:row r="1156">
      <x:c r="A1156" t="str">
        <x:v>ORD-01676</x:v>
      </x:c>
      <x:c r="B1156" s="3" t="n">
        <x:v>45767.626020324074</x:v>
      </x:c>
      <x:c r="C1156" t="str">
        <x:v>2025-04</x:v>
      </x:c>
      <x:c r="D1156" t="str">
        <x:v>CUS-0198</x:v>
      </x:c>
      <x:c r="E1156" t="str">
        <x:v>South West</x:v>
      </x:c>
      <x:c r="F1156" t="str">
        <x:v>Store</x:v>
      </x:c>
      <x:c r="G1156" t="str">
        <x:v>Electronics</x:v>
      </x:c>
      <x:c r="H1156" t="str">
        <x:v>Wireless Headphones</x:v>
      </x:c>
      <x:c r="I1156" t="n">
        <x:v>2</x:v>
      </x:c>
      <x:c r="J1156" s="4" t="n">
        <x:v>87.71</x:v>
      </x:c>
      <x:c r="K1156" s="4" t="n">
        <x:v>48</x:v>
      </x:c>
      <x:c r="L1156" s="5" t="n">
        <x:v>0.05</x:v>
      </x:c>
      <x:c r="M1156" s="4" t="n">
        <x:f>ROUND(I1156*J1156*(1-L1156),2)</x:f>
        <x:v>166.65</x:v>
      </x:c>
      <x:c r="N1156" s="4" t="n">
        <x:f>ROUND(I1156*K1156,2)</x:f>
        <x:v>96</x:v>
      </x:c>
      <x:c r="O1156" s="4" t="n">
        <x:f>ROUND(M1156-N1156,2)</x:f>
        <x:v>70.65</x:v>
      </x:c>
      <x:c r="P1156" s="6" t="n">
        <x:v>3.3</x:v>
      </x:c>
      <x:c r="Q1156" t="str">
        <x:v>No</x:v>
      </x:c>
    </x:row>
    <x:row r="1157">
      <x:c r="A1157" t="str">
        <x:v>ORD-00756</x:v>
      </x:c>
      <x:c r="B1157" s="3" t="n">
        <x:v>45768.10507258102</x:v>
      </x:c>
      <x:c r="C1157" t="str">
        <x:v>2025-04</x:v>
      </x:c>
      <x:c r="D1157" t="str">
        <x:v>CUS-0228</x:v>
      </x:c>
      <x:c r="E1157" t="str">
        <x:v>Wales</x:v>
      </x:c>
      <x:c r="F1157" t="str">
        <x:v>Online</x:v>
      </x:c>
      <x:c r="G1157" t="str">
        <x:v>Home</x:v>
      </x:c>
      <x:c r="H1157" t="str">
        <x:v>Desk Lamp</x:v>
      </x:c>
      <x:c r="I1157" t="n">
        <x:v>5</x:v>
      </x:c>
      <x:c r="J1157" s="4" t="n">
        <x:v>34.35</x:v>
      </x:c>
      <x:c r="K1157" s="4" t="n">
        <x:v>17</x:v>
      </x:c>
      <x:c r="L1157" s="5" t="n">
        <x:v>0.2</x:v>
      </x:c>
      <x:c r="M1157" s="4" t="n">
        <x:f>ROUND(I1157*J1157*(1-L1157),2)</x:f>
        <x:v>137.4</x:v>
      </x:c>
      <x:c r="N1157" s="4" t="n">
        <x:f>ROUND(I1157*K1157,2)</x:f>
        <x:v>85</x:v>
      </x:c>
      <x:c r="O1157" s="4" t="n">
        <x:f>ROUND(M1157-N1157,2)</x:f>
        <x:v>52.4</x:v>
      </x:c>
      <x:c r="P1157" s="6" t="n">
        <x:v>3.6</x:v>
      </x:c>
      <x:c r="Q1157" t="str">
        <x:v>No</x:v>
      </x:c>
    </x:row>
    <x:row r="1158">
      <x:c r="A1158" t="str">
        <x:v>ORD-01675</x:v>
      </x:c>
      <x:c r="B1158" s="3" t="n">
        <x:v>45769.22473862269</x:v>
      </x:c>
      <x:c r="C1158" t="str">
        <x:v>2025-04</x:v>
      </x:c>
      <x:c r="D1158" t="str">
        <x:v>CUS-0443</x:v>
      </x:c>
      <x:c r="E1158" t="str">
        <x:v>Midlands</x:v>
      </x:c>
      <x:c r="F1158" t="str">
        <x:v>Store</x:v>
      </x:c>
      <x:c r="G1158" t="str">
        <x:v>Home</x:v>
      </x:c>
      <x:c r="H1158" t="str">
        <x:v>Desk Lamp</x:v>
      </x:c>
      <x:c r="I1158" t="n">
        <x:v>4</x:v>
      </x:c>
      <x:c r="J1158" s="4" t="n">
        <x:v>34.53</x:v>
      </x:c>
      <x:c r="K1158" s="4" t="n">
        <x:v>17</x:v>
      </x:c>
      <x:c r="L1158" s="5" t="n">
        <x:v>0</x:v>
      </x:c>
      <x:c r="M1158" s="4" t="n">
        <x:f>ROUND(I1158*J1158*(1-L1158),2)</x:f>
        <x:v>138.12</x:v>
      </x:c>
      <x:c r="N1158" s="4" t="n">
        <x:f>ROUND(I1158*K1158,2)</x:f>
        <x:v>68</x:v>
      </x:c>
      <x:c r="O1158" s="4" t="n">
        <x:f>ROUND(M1158-N1158,2)</x:f>
        <x:v>70.12</x:v>
      </x:c>
      <x:c r="P1158" s="6" t="n">
        <x:v>3.2</x:v>
      </x:c>
      <x:c r="Q1158" t="str">
        <x:v>No</x:v>
      </x:c>
    </x:row>
    <x:row r="1159">
      <x:c r="A1159" t="str">
        <x:v>ORD-01018</x:v>
      </x:c>
      <x:c r="B1159" s="3" t="n">
        <x:v>45769.59842362269</x:v>
      </x:c>
      <x:c r="C1159" t="str">
        <x:v>2025-04</x:v>
      </x:c>
      <x:c r="D1159" t="str">
        <x:v>CUS-0604</x:v>
      </x:c>
      <x:c r="E1159" t="str">
        <x:v>South West</x:v>
      </x:c>
      <x:c r="F1159" t="str">
        <x:v>Store</x:v>
      </x:c>
      <x:c r="G1159" t="str">
        <x:v>Sports</x:v>
      </x:c>
      <x:c r="H1159" t="str">
        <x:v>Running Shoes</x:v>
      </x:c>
      <x:c r="I1159" t="n">
        <x:v>2</x:v>
      </x:c>
      <x:c r="J1159" s="4" t="n">
        <x:v>83.06</x:v>
      </x:c>
      <x:c r="K1159" s="4" t="n">
        <x:v>38</x:v>
      </x:c>
      <x:c r="L1159" s="5" t="n">
        <x:v>0.1</x:v>
      </x:c>
      <x:c r="M1159" s="4" t="n">
        <x:f>ROUND(I1159*J1159*(1-L1159),2)</x:f>
        <x:v>149.51</x:v>
      </x:c>
      <x:c r="N1159" s="4" t="n">
        <x:f>ROUND(I1159*K1159,2)</x:f>
        <x:v>76</x:v>
      </x:c>
      <x:c r="O1159" s="4" t="n">
        <x:f>ROUND(M1159-N1159,2)</x:f>
        <x:v>73.51</x:v>
      </x:c>
      <x:c r="P1159" s="6" t="n">
        <x:v>4.6</x:v>
      </x:c>
      <x:c r="Q1159" t="str">
        <x:v>No</x:v>
      </x:c>
    </x:row>
    <x:row r="1160">
      <x:c r="A1160" t="str">
        <x:v>ORD-00317</x:v>
      </x:c>
      <x:c r="B1160" s="3" t="n">
        <x:v>45769.80842828704</x:v>
      </x:c>
      <x:c r="C1160" t="str">
        <x:v>2025-04</x:v>
      </x:c>
      <x:c r="D1160" t="str">
        <x:v>CUS-0419</x:v>
      </x:c>
      <x:c r="E1160" t="str">
        <x:v>North East</x:v>
      </x:c>
      <x:c r="F1160" t="str">
        <x:v>Marketplace</x:v>
      </x:c>
      <x:c r="G1160" t="str">
        <x:v>Home</x:v>
      </x:c>
      <x:c r="H1160" t="str">
        <x:v>Air Fryer</x:v>
      </x:c>
      <x:c r="I1160" t="n">
        <x:v>5</x:v>
      </x:c>
      <x:c r="J1160" s="4" t="n">
        <x:v>114.55</x:v>
      </x:c>
      <x:c r="K1160" s="4" t="n">
        <x:v>69</x:v>
      </x:c>
      <x:c r="L1160" s="5" t="n">
        <x:v>0.2</x:v>
      </x:c>
      <x:c r="M1160" s="4" t="n">
        <x:f>ROUND(I1160*J1160*(1-L1160),2)</x:f>
        <x:v>458.2</x:v>
      </x:c>
      <x:c r="N1160" s="4" t="n">
        <x:f>ROUND(I1160*K1160,2)</x:f>
        <x:v>345</x:v>
      </x:c>
      <x:c r="O1160" s="4" t="n">
        <x:f>ROUND(M1160-N1160,2)</x:f>
        <x:v>113.2</x:v>
      </x:c>
      <x:c r="P1160" s="6" t="n">
        <x:v>4.7</x:v>
      </x:c>
      <x:c r="Q1160" t="str">
        <x:v>Yes</x:v>
      </x:c>
    </x:row>
    <x:row r="1161">
      <x:c r="A1161" t="str">
        <x:v>ORD-01095</x:v>
      </x:c>
      <x:c r="B1161" s="3" t="n">
        <x:v>45769.926173506945</x:v>
      </x:c>
      <x:c r="C1161" t="str">
        <x:v>2025-04</x:v>
      </x:c>
      <x:c r="D1161" t="str">
        <x:v>CUS-0103</x:v>
      </x:c>
      <x:c r="E1161" t="str">
        <x:v>South East</x:v>
      </x:c>
      <x:c r="F1161" t="str">
        <x:v>Online</x:v>
      </x:c>
      <x:c r="G1161" t="str">
        <x:v>Fashion</x:v>
      </x:c>
      <x:c r="H1161" t="str">
        <x:v>Classic Trainers</x:v>
      </x:c>
      <x:c r="I1161" t="n">
        <x:v>3</x:v>
      </x:c>
      <x:c r="J1161" s="4" t="n">
        <x:v>68.98</x:v>
      </x:c>
      <x:c r="K1161" s="4" t="n">
        <x:v>32</x:v>
      </x:c>
      <x:c r="L1161" s="5" t="n">
        <x:v>0.1</x:v>
      </x:c>
      <x:c r="M1161" s="4" t="n">
        <x:f>ROUND(I1161*J1161*(1-L1161),2)</x:f>
        <x:v>186.25</x:v>
      </x:c>
      <x:c r="N1161" s="4" t="n">
        <x:f>ROUND(I1161*K1161,2)</x:f>
        <x:v>96</x:v>
      </x:c>
      <x:c r="O1161" s="4" t="n">
        <x:f>ROUND(M1161-N1161,2)</x:f>
        <x:v>90.25</x:v>
      </x:c>
      <x:c r="P1161" s="6" t="n">
        <x:v>3.7</x:v>
      </x:c>
      <x:c r="Q1161" t="str">
        <x:v>No</x:v>
      </x:c>
    </x:row>
    <x:row r="1162">
      <x:c r="A1162" t="str">
        <x:v>ORD-00908</x:v>
      </x:c>
      <x:c r="B1162" s="3" t="n">
        <x:v>45770.03037275463</x:v>
      </x:c>
      <x:c r="C1162" t="str">
        <x:v>2025-04</x:v>
      </x:c>
      <x:c r="D1162" t="str">
        <x:v>CUS-0538</x:v>
      </x:c>
      <x:c r="E1162" t="str">
        <x:v>London</x:v>
      </x:c>
      <x:c r="F1162" t="str">
        <x:v>Online</x:v>
      </x:c>
      <x:c r="G1162" t="str">
        <x:v>Home</x:v>
      </x:c>
      <x:c r="H1162" t="str">
        <x:v>Desk Lamp</x:v>
      </x:c>
      <x:c r="I1162" t="n">
        <x:v>1</x:v>
      </x:c>
      <x:c r="J1162" s="4" t="n">
        <x:v>35.11</x:v>
      </x:c>
      <x:c r="K1162" s="4" t="n">
        <x:v>17</x:v>
      </x:c>
      <x:c r="L1162" s="5" t="n">
        <x:v>0.1</x:v>
      </x:c>
      <x:c r="M1162" s="4" t="n">
        <x:f>ROUND(I1162*J1162*(1-L1162),2)</x:f>
        <x:v>31.6</x:v>
      </x:c>
      <x:c r="N1162" s="4" t="n">
        <x:f>ROUND(I1162*K1162,2)</x:f>
        <x:v>17</x:v>
      </x:c>
      <x:c r="O1162" s="4" t="n">
        <x:f>ROUND(M1162-N1162,2)</x:f>
        <x:v>14.6</x:v>
      </x:c>
      <x:c r="P1162" s="6" t="n">
        <x:v>4.7</x:v>
      </x:c>
      <x:c r="Q1162" t="str">
        <x:v>No</x:v>
      </x:c>
    </x:row>
    <x:row r="1163">
      <x:c r="A1163" t="str">
        <x:v>ORD-00015</x:v>
      </x:c>
      <x:c r="B1163" s="3" t="n">
        <x:v>45770.79701320602</x:v>
      </x:c>
      <x:c r="C1163" t="str">
        <x:v>2025-04</x:v>
      </x:c>
      <x:c r="D1163" t="str">
        <x:v>CUS-0313</x:v>
      </x:c>
      <x:c r="E1163" t="str">
        <x:v>Scotland</x:v>
      </x:c>
      <x:c r="F1163" t="str">
        <x:v>Online</x:v>
      </x:c>
      <x:c r="G1163" t="str">
        <x:v>Sports</x:v>
      </x:c>
      <x:c r="H1163" t="str">
        <x:v>Running Shoes</x:v>
      </x:c>
      <x:c r="I1163" t="n">
        <x:v>2</x:v>
      </x:c>
      <x:c r="J1163" s="4" t="n">
        <x:v>79.26</x:v>
      </x:c>
      <x:c r="K1163" s="4" t="n">
        <x:v>38</x:v>
      </x:c>
      <x:c r="L1163" s="5" t="n">
        <x:v>0</x:v>
      </x:c>
      <x:c r="M1163" s="4" t="n">
        <x:f>ROUND(I1163*J1163*(1-L1163),2)</x:f>
        <x:v>158.52</x:v>
      </x:c>
      <x:c r="N1163" s="4" t="n">
        <x:f>ROUND(I1163*K1163,2)</x:f>
        <x:v>76</x:v>
      </x:c>
      <x:c r="O1163" s="4" t="n">
        <x:f>ROUND(M1163-N1163,2)</x:f>
        <x:v>82.52</x:v>
      </x:c>
      <x:c r="P1163" s="6" t="n">
        <x:v>4.8</x:v>
      </x:c>
      <x:c r="Q1163" t="str">
        <x:v>No</x:v>
      </x:c>
    </x:row>
    <x:row r="1164">
      <x:c r="A1164" t="str">
        <x:v>ORD-01007</x:v>
      </x:c>
      <x:c r="B1164" s="3" t="n">
        <x:v>45770.831376319446</x:v>
      </x:c>
      <x:c r="C1164" t="str">
        <x:v>2025-04</x:v>
      </x:c>
      <x:c r="D1164" t="str">
        <x:v>CUS-0526</x:v>
      </x:c>
      <x:c r="E1164" t="str">
        <x:v>North West</x:v>
      </x:c>
      <x:c r="F1164" t="str">
        <x:v>Online</x:v>
      </x:c>
      <x:c r="G1164" t="str">
        <x:v>Beauty</x:v>
      </x:c>
      <x:c r="H1164" t="str">
        <x:v>Skin Care Set</x:v>
      </x:c>
      <x:c r="I1164" t="n">
        <x:v>2</x:v>
      </x:c>
      <x:c r="J1164" s="4" t="n">
        <x:v>43.77</x:v>
      </x:c>
      <x:c r="K1164" s="4" t="n">
        <x:v>18</x:v>
      </x:c>
      <x:c r="L1164" s="5" t="n">
        <x:v>0.1</x:v>
      </x:c>
      <x:c r="M1164" s="4" t="n">
        <x:f>ROUND(I1164*J1164*(1-L1164),2)</x:f>
        <x:v>78.79</x:v>
      </x:c>
      <x:c r="N1164" s="4" t="n">
        <x:f>ROUND(I1164*K1164,2)</x:f>
        <x:v>36</x:v>
      </x:c>
      <x:c r="O1164" s="4" t="n">
        <x:f>ROUND(M1164-N1164,2)</x:f>
        <x:v>42.79</x:v>
      </x:c>
      <x:c r="P1164" s="6" t="n">
        <x:v>3.7</x:v>
      </x:c>
      <x:c r="Q1164" t="str">
        <x:v>No</x:v>
      </x:c>
    </x:row>
    <x:row r="1165">
      <x:c r="A1165" t="str">
        <x:v>ORD-01105</x:v>
      </x:c>
      <x:c r="B1165" s="3" t="n">
        <x:v>45770.919683368054</x:v>
      </x:c>
      <x:c r="C1165" t="str">
        <x:v>2025-04</x:v>
      </x:c>
      <x:c r="D1165" t="str">
        <x:v>CUS-0449</x:v>
      </x:c>
      <x:c r="E1165" t="str">
        <x:v>Wales</x:v>
      </x:c>
      <x:c r="F1165" t="str">
        <x:v>Online</x:v>
      </x:c>
      <x:c r="G1165" t="str">
        <x:v>Electronics</x:v>
      </x:c>
      <x:c r="H1165" t="str">
        <x:v>Smart Watch</x:v>
      </x:c>
      <x:c r="I1165" t="n">
        <x:v>1</x:v>
      </x:c>
      <x:c r="J1165" s="4" t="n">
        <x:v>156.86</x:v>
      </x:c>
      <x:c r="K1165" s="4" t="n">
        <x:v>92</x:v>
      </x:c>
      <x:c r="L1165" s="5" t="n">
        <x:v>0.2</x:v>
      </x:c>
      <x:c r="M1165" s="4" t="n">
        <x:f>ROUND(I1165*J1165*(1-L1165),2)</x:f>
        <x:v>125.49</x:v>
      </x:c>
      <x:c r="N1165" s="4" t="n">
        <x:f>ROUND(I1165*K1165,2)</x:f>
        <x:v>92</x:v>
      </x:c>
      <x:c r="O1165" s="4" t="n">
        <x:f>ROUND(M1165-N1165,2)</x:f>
        <x:v>33.49</x:v>
      </x:c>
      <x:c r="P1165" s="6" t="n">
        <x:v>4.8</x:v>
      </x:c>
      <x:c r="Q1165" t="str">
        <x:v>No</x:v>
      </x:c>
    </x:row>
    <x:row r="1166">
      <x:c r="A1166" t="str">
        <x:v>ORD-00143</x:v>
      </x:c>
      <x:c r="B1166" s="3" t="n">
        <x:v>45771.56877474537</x:v>
      </x:c>
      <x:c r="C1166" t="str">
        <x:v>2025-04</x:v>
      </x:c>
      <x:c r="D1166" t="str">
        <x:v>CUS-0179</x:v>
      </x:c>
      <x:c r="E1166" t="str">
        <x:v>North West</x:v>
      </x:c>
      <x:c r="F1166" t="str">
        <x:v>Store</x:v>
      </x:c>
      <x:c r="G1166" t="str">
        <x:v>Electronics</x:v>
      </x:c>
      <x:c r="H1166" t="str">
        <x:v>Bluetooth Speaker</x:v>
      </x:c>
      <x:c r="I1166" t="n">
        <x:v>2</x:v>
      </x:c>
      <x:c r="J1166" s="4" t="n">
        <x:v>65.54</x:v>
      </x:c>
      <x:c r="K1166" s="4" t="n">
        <x:v>34</x:v>
      </x:c>
      <x:c r="L1166" s="5" t="n">
        <x:v>0.1</x:v>
      </x:c>
      <x:c r="M1166" s="4" t="n">
        <x:f>ROUND(I1166*J1166*(1-L1166),2)</x:f>
        <x:v>117.97</x:v>
      </x:c>
      <x:c r="N1166" s="4" t="n">
        <x:f>ROUND(I1166*K1166,2)</x:f>
        <x:v>68</x:v>
      </x:c>
      <x:c r="O1166" s="4" t="n">
        <x:f>ROUND(M1166-N1166,2)</x:f>
        <x:v>49.97</x:v>
      </x:c>
      <x:c r="P1166" s="6" t="n">
        <x:v>4.1</x:v>
      </x:c>
      <x:c r="Q1166" t="str">
        <x:v>No</x:v>
      </x:c>
    </x:row>
    <x:row r="1167">
      <x:c r="A1167" t="str">
        <x:v>ORD-00753</x:v>
      </x:c>
      <x:c r="B1167" s="3" t="n">
        <x:v>45771.62958259259</x:v>
      </x:c>
      <x:c r="C1167" t="str">
        <x:v>2025-04</x:v>
      </x:c>
      <x:c r="D1167" t="str">
        <x:v>CUS-0509</x:v>
      </x:c>
      <x:c r="E1167" t="str">
        <x:v>South East</x:v>
      </x:c>
      <x:c r="F1167" t="str">
        <x:v>Store</x:v>
      </x:c>
      <x:c r="G1167" t="str">
        <x:v>Beauty</x:v>
      </x:c>
      <x:c r="H1167" t="str">
        <x:v>Hair Dryer</x:v>
      </x:c>
      <x:c r="I1167" t="n">
        <x:v>5</x:v>
      </x:c>
      <x:c r="J1167" s="4" t="n">
        <x:v>61.24</x:v>
      </x:c>
      <x:c r="K1167" s="4" t="n">
        <x:v>29</x:v>
      </x:c>
      <x:c r="L1167" s="5" t="n">
        <x:v>0.1</x:v>
      </x:c>
      <x:c r="M1167" s="4" t="n">
        <x:f>ROUND(I1167*J1167*(1-L1167),2)</x:f>
        <x:v>275.58</x:v>
      </x:c>
      <x:c r="N1167" s="4" t="n">
        <x:f>ROUND(I1167*K1167,2)</x:f>
        <x:v>145</x:v>
      </x:c>
      <x:c r="O1167" s="4" t="n">
        <x:f>ROUND(M1167-N1167,2)</x:f>
        <x:v>130.58</x:v>
      </x:c>
      <x:c r="P1167" s="6" t="n">
        <x:v>3.4</x:v>
      </x:c>
      <x:c r="Q1167" t="str">
        <x:v>No</x:v>
      </x:c>
    </x:row>
    <x:row r="1168">
      <x:c r="A1168" t="str">
        <x:v>ORD-00597</x:v>
      </x:c>
      <x:c r="B1168" s="3" t="n">
        <x:v>45771.82329665509</x:v>
      </x:c>
      <x:c r="C1168" t="str">
        <x:v>2025-04</x:v>
      </x:c>
      <x:c r="D1168" t="str">
        <x:v>CUS-0216</x:v>
      </x:c>
      <x:c r="E1168" t="str">
        <x:v>London</x:v>
      </x:c>
      <x:c r="F1168" t="str">
        <x:v>Store</x:v>
      </x:c>
      <x:c r="G1168" t="str">
        <x:v>Sports</x:v>
      </x:c>
      <x:c r="H1168" t="str">
        <x:v>Fitness Tracker</x:v>
      </x:c>
      <x:c r="I1168" t="n">
        <x:v>4</x:v>
      </x:c>
      <x:c r="J1168" s="4" t="n">
        <x:v>52.24</x:v>
      </x:c>
      <x:c r="K1168" s="4" t="n">
        <x:v>27</x:v>
      </x:c>
      <x:c r="L1168" s="5" t="n">
        <x:v>0</x:v>
      </x:c>
      <x:c r="M1168" s="4" t="n">
        <x:f>ROUND(I1168*J1168*(1-L1168),2)</x:f>
        <x:v>208.96</x:v>
      </x:c>
      <x:c r="N1168" s="4" t="n">
        <x:f>ROUND(I1168*K1168,2)</x:f>
        <x:v>108</x:v>
      </x:c>
      <x:c r="O1168" s="4" t="n">
        <x:f>ROUND(M1168-N1168,2)</x:f>
        <x:v>100.96</x:v>
      </x:c>
      <x:c r="P1168" s="6" t="n">
        <x:v>3.2</x:v>
      </x:c>
      <x:c r="Q1168" t="str">
        <x:v>No</x:v>
      </x:c>
    </x:row>
    <x:row r="1169">
      <x:c r="A1169" t="str">
        <x:v>ORD-00189</x:v>
      </x:c>
      <x:c r="B1169" s="3" t="n">
        <x:v>45773.06686579861</x:v>
      </x:c>
      <x:c r="C1169" t="str">
        <x:v>2025-04</x:v>
      </x:c>
      <x:c r="D1169" t="str">
        <x:v>CUS-0407</x:v>
      </x:c>
      <x:c r="E1169" t="str">
        <x:v>South East</x:v>
      </x:c>
      <x:c r="F1169" t="str">
        <x:v>Online</x:v>
      </x:c>
      <x:c r="G1169" t="str">
        <x:v>Electronics</x:v>
      </x:c>
      <x:c r="H1169" t="str">
        <x:v>Smart Watch</x:v>
      </x:c>
      <x:c r="I1169" t="n">
        <x:v>2</x:v>
      </x:c>
      <x:c r="J1169" s="4" t="n">
        <x:v>159.39</x:v>
      </x:c>
      <x:c r="K1169" s="4" t="n">
        <x:v>92</x:v>
      </x:c>
      <x:c r="L1169" s="5" t="n">
        <x:v>0.05</x:v>
      </x:c>
      <x:c r="M1169" s="4" t="n">
        <x:f>ROUND(I1169*J1169*(1-L1169),2)</x:f>
        <x:v>302.84</x:v>
      </x:c>
      <x:c r="N1169" s="4" t="n">
        <x:f>ROUND(I1169*K1169,2)</x:f>
        <x:v>184</x:v>
      </x:c>
      <x:c r="O1169" s="4" t="n">
        <x:f>ROUND(M1169-N1169,2)</x:f>
        <x:v>118.84</x:v>
      </x:c>
      <x:c r="P1169" s="6" t="n">
        <x:v>4</x:v>
      </x:c>
      <x:c r="Q1169" t="str">
        <x:v>No</x:v>
      </x:c>
    </x:row>
    <x:row r="1170">
      <x:c r="A1170" t="str">
        <x:v>ORD-00366</x:v>
      </x:c>
      <x:c r="B1170" s="3" t="n">
        <x:v>45773.08144109954</x:v>
      </x:c>
      <x:c r="C1170" t="str">
        <x:v>2025-04</x:v>
      </x:c>
      <x:c r="D1170" t="str">
        <x:v>CUS-0500</x:v>
      </x:c>
      <x:c r="E1170" t="str">
        <x:v>Midlands</x:v>
      </x:c>
      <x:c r="F1170" t="str">
        <x:v>Store</x:v>
      </x:c>
      <x:c r="G1170" t="str">
        <x:v>Home</x:v>
      </x:c>
      <x:c r="H1170" t="str">
        <x:v>Air Fryer</x:v>
      </x:c>
      <x:c r="I1170" t="n">
        <x:v>3</x:v>
      </x:c>
      <x:c r="J1170" s="4" t="n">
        <x:v>123.16</x:v>
      </x:c>
      <x:c r="K1170" s="4" t="n">
        <x:v>69</x:v>
      </x:c>
      <x:c r="L1170" s="5" t="n">
        <x:v>0</x:v>
      </x:c>
      <x:c r="M1170" s="4" t="n">
        <x:f>ROUND(I1170*J1170*(1-L1170),2)</x:f>
        <x:v>369.48</x:v>
      </x:c>
      <x:c r="N1170" s="4" t="n">
        <x:f>ROUND(I1170*K1170,2)</x:f>
        <x:v>207</x:v>
      </x:c>
      <x:c r="O1170" s="4" t="n">
        <x:f>ROUND(M1170-N1170,2)</x:f>
        <x:v>162.48</x:v>
      </x:c>
      <x:c r="P1170" s="6" t="n">
        <x:v>4.3</x:v>
      </x:c>
      <x:c r="Q1170" t="str">
        <x:v>No</x:v>
      </x:c>
    </x:row>
    <x:row r="1171">
      <x:c r="A1171" t="str">
        <x:v>ORD-00257</x:v>
      </x:c>
      <x:c r="B1171" s="3" t="n">
        <x:v>45773.16775920139</x:v>
      </x:c>
      <x:c r="C1171" t="str">
        <x:v>2025-04</x:v>
      </x:c>
      <x:c r="D1171" t="str">
        <x:v>CUS-0426</x:v>
      </x:c>
      <x:c r="E1171" t="str">
        <x:v>Midlands</x:v>
      </x:c>
      <x:c r="F1171" t="str">
        <x:v>Store</x:v>
      </x:c>
      <x:c r="G1171" t="str">
        <x:v>Electronics</x:v>
      </x:c>
      <x:c r="H1171" t="str">
        <x:v>Smart Watch</x:v>
      </x:c>
      <x:c r="I1171" t="n">
        <x:v>4</x:v>
      </x:c>
      <x:c r="J1171" s="4" t="n">
        <x:v>162.77</x:v>
      </x:c>
      <x:c r="K1171" s="4" t="n">
        <x:v>92</x:v>
      </x:c>
      <x:c r="L1171" s="5" t="n">
        <x:v>0.15</x:v>
      </x:c>
      <x:c r="M1171" s="4" t="n">
        <x:f>ROUND(I1171*J1171*(1-L1171),2)</x:f>
        <x:v>553.42</x:v>
      </x:c>
      <x:c r="N1171" s="4" t="n">
        <x:f>ROUND(I1171*K1171,2)</x:f>
        <x:v>368</x:v>
      </x:c>
      <x:c r="O1171" s="4" t="n">
        <x:f>ROUND(M1171-N1171,2)</x:f>
        <x:v>185.42</x:v>
      </x:c>
      <x:c r="P1171" s="6" t="n">
        <x:v>3.4</x:v>
      </x:c>
      <x:c r="Q1171" t="str">
        <x:v>Yes</x:v>
      </x:c>
    </x:row>
    <x:row r="1172">
      <x:c r="A1172" t="str">
        <x:v>ORD-00021</x:v>
      </x:c>
      <x:c r="B1172" s="3" t="n">
        <x:v>45775.4991171875</x:v>
      </x:c>
      <x:c r="C1172" t="str">
        <x:v>2025-04</x:v>
      </x:c>
      <x:c r="D1172" t="str">
        <x:v>CUS-0216</x:v>
      </x:c>
      <x:c r="E1172" t="str">
        <x:v>Midlands</x:v>
      </x:c>
      <x:c r="F1172" t="str">
        <x:v>Store</x:v>
      </x:c>
      <x:c r="G1172" t="str">
        <x:v>Electronics</x:v>
      </x:c>
      <x:c r="H1172" t="str">
        <x:v>Wireless Headphones</x:v>
      </x:c>
      <x:c r="I1172" t="n">
        <x:v>3</x:v>
      </x:c>
      <x:c r="J1172" s="4" t="n">
        <x:v>92.38</x:v>
      </x:c>
      <x:c r="K1172" s="4" t="n">
        <x:v>48</x:v>
      </x:c>
      <x:c r="L1172" s="5" t="n">
        <x:v>0</x:v>
      </x:c>
      <x:c r="M1172" s="4" t="n">
        <x:f>ROUND(I1172*J1172*(1-L1172),2)</x:f>
        <x:v>277.14</x:v>
      </x:c>
      <x:c r="N1172" s="4" t="n">
        <x:f>ROUND(I1172*K1172,2)</x:f>
        <x:v>144</x:v>
      </x:c>
      <x:c r="O1172" s="4" t="n">
        <x:f>ROUND(M1172-N1172,2)</x:f>
        <x:v>133.14</x:v>
      </x:c>
      <x:c r="P1172" s="6" t="n">
        <x:v>4.2</x:v>
      </x:c>
      <x:c r="Q1172" t="str">
        <x:v>No</x:v>
      </x:c>
    </x:row>
    <x:row r="1173">
      <x:c r="A1173" t="str">
        <x:v>ORD-01519</x:v>
      </x:c>
      <x:c r="B1173" s="3" t="n">
        <x:v>45776.10165001157</x:v>
      </x:c>
      <x:c r="C1173" t="str">
        <x:v>2025-04</x:v>
      </x:c>
      <x:c r="D1173" t="str">
        <x:v>CUS-0496</x:v>
      </x:c>
      <x:c r="E1173" t="str">
        <x:v>South East</x:v>
      </x:c>
      <x:c r="F1173" t="str">
        <x:v>Store</x:v>
      </x:c>
      <x:c r="G1173" t="str">
        <x:v>Books</x:v>
      </x:c>
      <x:c r="H1173" t="str">
        <x:v>Data Analytics Handbook</x:v>
      </x:c>
      <x:c r="I1173" t="n">
        <x:v>3</x:v>
      </x:c>
      <x:c r="J1173" s="4" t="n">
        <x:v>38.9</x:v>
      </x:c>
      <x:c r="K1173" s="4" t="n">
        <x:v>14</x:v>
      </x:c>
      <x:c r="L1173" s="5" t="n">
        <x:v>0</x:v>
      </x:c>
      <x:c r="M1173" s="4" t="n">
        <x:f>ROUND(I1173*J1173*(1-L1173),2)</x:f>
        <x:v>116.7</x:v>
      </x:c>
      <x:c r="N1173" s="4" t="n">
        <x:f>ROUND(I1173*K1173,2)</x:f>
        <x:v>42</x:v>
      </x:c>
      <x:c r="O1173" s="4" t="n">
        <x:f>ROUND(M1173-N1173,2)</x:f>
        <x:v>74.7</x:v>
      </x:c>
      <x:c r="P1173" s="6" t="n">
        <x:v>3.9</x:v>
      </x:c>
      <x:c r="Q1173" t="str">
        <x:v>No</x:v>
      </x:c>
    </x:row>
    <x:row r="1174">
      <x:c r="A1174" t="str">
        <x:v>ORD-01517</x:v>
      </x:c>
      <x:c r="B1174" s="3" t="n">
        <x:v>45776.16276107639</x:v>
      </x:c>
      <x:c r="C1174" t="str">
        <x:v>2025-04</x:v>
      </x:c>
      <x:c r="D1174" t="str">
        <x:v>CUS-0188</x:v>
      </x:c>
      <x:c r="E1174" t="str">
        <x:v>South East</x:v>
      </x:c>
      <x:c r="F1174" t="str">
        <x:v>Online</x:v>
      </x:c>
      <x:c r="G1174" t="str">
        <x:v>Home</x:v>
      </x:c>
      <x:c r="H1174" t="str">
        <x:v>Coffee Maker</x:v>
      </x:c>
      <x:c r="I1174" t="n">
        <x:v>5</x:v>
      </x:c>
      <x:c r="J1174" s="4" t="n">
        <x:v>74.15</x:v>
      </x:c>
      <x:c r="K1174" s="4" t="n">
        <x:v>41</x:v>
      </x:c>
      <x:c r="L1174" s="5" t="n">
        <x:v>0.2</x:v>
      </x:c>
      <x:c r="M1174" s="4" t="n">
        <x:f>ROUND(I1174*J1174*(1-L1174),2)</x:f>
        <x:v>296.6</x:v>
      </x:c>
      <x:c r="N1174" s="4" t="n">
        <x:f>ROUND(I1174*K1174,2)</x:f>
        <x:v>205</x:v>
      </x:c>
      <x:c r="O1174" s="4" t="n">
        <x:f>ROUND(M1174-N1174,2)</x:f>
        <x:v>91.6</x:v>
      </x:c>
      <x:c r="P1174" s="6" t="n">
        <x:v>5</x:v>
      </x:c>
      <x:c r="Q1174" t="str">
        <x:v>No</x:v>
      </x:c>
    </x:row>
    <x:row r="1175">
      <x:c r="A1175" t="str">
        <x:v>ORD-00733</x:v>
      </x:c>
      <x:c r="B1175" s="3" t="n">
        <x:v>45778.36769535879</x:v>
      </x:c>
      <x:c r="C1175" t="str">
        <x:v>2025-05</x:v>
      </x:c>
      <x:c r="D1175" t="str">
        <x:v>CUS-0448</x:v>
      </x:c>
      <x:c r="E1175" t="str">
        <x:v>Midlands</x:v>
      </x:c>
      <x:c r="F1175" t="str">
        <x:v>Store</x:v>
      </x:c>
      <x:c r="G1175" t="str">
        <x:v>Beauty</x:v>
      </x:c>
      <x:c r="H1175" t="str">
        <x:v>Hair Dryer</x:v>
      </x:c>
      <x:c r="I1175" t="n">
        <x:v>4</x:v>
      </x:c>
      <x:c r="J1175" s="4" t="n">
        <x:v>57.68</x:v>
      </x:c>
      <x:c r="K1175" s="4" t="n">
        <x:v>29</x:v>
      </x:c>
      <x:c r="L1175" s="5" t="n">
        <x:v>0.05</x:v>
      </x:c>
      <x:c r="M1175" s="4" t="n">
        <x:f>ROUND(I1175*J1175*(1-L1175),2)</x:f>
        <x:v>219.18</x:v>
      </x:c>
      <x:c r="N1175" s="4" t="n">
        <x:f>ROUND(I1175*K1175,2)</x:f>
        <x:v>116</x:v>
      </x:c>
      <x:c r="O1175" s="4" t="n">
        <x:f>ROUND(M1175-N1175,2)</x:f>
        <x:v>103.18</x:v>
      </x:c>
      <x:c r="P1175" s="6" t="n">
        <x:v>3.5</x:v>
      </x:c>
      <x:c r="Q1175" t="str">
        <x:v>No</x:v>
      </x:c>
    </x:row>
    <x:row r="1176">
      <x:c r="A1176" t="str">
        <x:v>ORD-01541</x:v>
      </x:c>
      <x:c r="B1176" s="3" t="n">
        <x:v>45778.466806157405</x:v>
      </x:c>
      <x:c r="C1176" t="str">
        <x:v>2025-05</x:v>
      </x:c>
      <x:c r="D1176" t="str">
        <x:v>CUS-0022</x:v>
      </x:c>
      <x:c r="E1176" t="str">
        <x:v>London</x:v>
      </x:c>
      <x:c r="F1176" t="str">
        <x:v>Store</x:v>
      </x:c>
      <x:c r="G1176" t="str">
        <x:v>Beauty</x:v>
      </x:c>
      <x:c r="H1176" t="str">
        <x:v>Hair Dryer</x:v>
      </x:c>
      <x:c r="I1176" t="n">
        <x:v>5</x:v>
      </x:c>
      <x:c r="J1176" s="4" t="n">
        <x:v>57.58</x:v>
      </x:c>
      <x:c r="K1176" s="4" t="n">
        <x:v>29</x:v>
      </x:c>
      <x:c r="L1176" s="5" t="n">
        <x:v>0.05</x:v>
      </x:c>
      <x:c r="M1176" s="4" t="n">
        <x:f>ROUND(I1176*J1176*(1-L1176),2)</x:f>
        <x:v>273.5</x:v>
      </x:c>
      <x:c r="N1176" s="4" t="n">
        <x:f>ROUND(I1176*K1176,2)</x:f>
        <x:v>145</x:v>
      </x:c>
      <x:c r="O1176" s="4" t="n">
        <x:f>ROUND(M1176-N1176,2)</x:f>
        <x:v>128.5</x:v>
      </x:c>
      <x:c r="P1176" s="6" t="n">
        <x:v>5</x:v>
      </x:c>
      <x:c r="Q1176" t="str">
        <x:v>No</x:v>
      </x:c>
    </x:row>
    <x:row r="1177">
      <x:c r="A1177" t="str">
        <x:v>ORD-00110</x:v>
      </x:c>
      <x:c r="B1177" s="3" t="n">
        <x:v>45778.773340162035</x:v>
      </x:c>
      <x:c r="C1177" t="str">
        <x:v>2025-05</x:v>
      </x:c>
      <x:c r="D1177" t="str">
        <x:v>CUS-0286</x:v>
      </x:c>
      <x:c r="E1177" t="str">
        <x:v>London</x:v>
      </x:c>
      <x:c r="F1177" t="str">
        <x:v>Online</x:v>
      </x:c>
      <x:c r="G1177" t="str">
        <x:v>Beauty</x:v>
      </x:c>
      <x:c r="H1177" t="str">
        <x:v>Skin Care Set</x:v>
      </x:c>
      <x:c r="I1177" t="n">
        <x:v>1</x:v>
      </x:c>
      <x:c r="J1177" s="4" t="n">
        <x:v>42.92</x:v>
      </x:c>
      <x:c r="K1177" s="4" t="n">
        <x:v>18</x:v>
      </x:c>
      <x:c r="L1177" s="5" t="n">
        <x:v>0.05</x:v>
      </x:c>
      <x:c r="M1177" s="4" t="n">
        <x:f>ROUND(I1177*J1177*(1-L1177),2)</x:f>
        <x:v>40.77</x:v>
      </x:c>
      <x:c r="N1177" s="4" t="n">
        <x:f>ROUND(I1177*K1177,2)</x:f>
        <x:v>18</x:v>
      </x:c>
      <x:c r="O1177" s="4" t="n">
        <x:f>ROUND(M1177-N1177,2)</x:f>
        <x:v>22.77</x:v>
      </x:c>
      <x:c r="P1177" s="6" t="n">
        <x:v>4.2</x:v>
      </x:c>
      <x:c r="Q1177" t="str">
        <x:v>No</x:v>
      </x:c>
    </x:row>
    <x:row r="1178">
      <x:c r="A1178" t="str">
        <x:v>ORD-01724</x:v>
      </x:c>
      <x:c r="B1178" s="3" t="n">
        <x:v>45779.64953923611</x:v>
      </x:c>
      <x:c r="C1178" t="str">
        <x:v>2025-05</x:v>
      </x:c>
      <x:c r="D1178" t="str">
        <x:v>CUS-0161</x:v>
      </x:c>
      <x:c r="E1178" t="str">
        <x:v>Scotland</x:v>
      </x:c>
      <x:c r="F1178" t="str">
        <x:v>Marketplace</x:v>
      </x:c>
      <x:c r="G1178" t="str">
        <x:v>Fashion</x:v>
      </x:c>
      <x:c r="H1178" t="str">
        <x:v>Backpack</x:v>
      </x:c>
      <x:c r="I1178" t="n">
        <x:v>5</x:v>
      </x:c>
      <x:c r="J1178" s="4" t="n">
        <x:v>48.95</x:v>
      </x:c>
      <x:c r="K1178" s="4" t="n">
        <x:v>21</x:v>
      </x:c>
      <x:c r="L1178" s="5" t="n">
        <x:v>0</x:v>
      </x:c>
      <x:c r="M1178" s="4" t="n">
        <x:f>ROUND(I1178*J1178*(1-L1178),2)</x:f>
        <x:v>244.75</x:v>
      </x:c>
      <x:c r="N1178" s="4" t="n">
        <x:f>ROUND(I1178*K1178,2)</x:f>
        <x:v>105</x:v>
      </x:c>
      <x:c r="O1178" s="4" t="n">
        <x:f>ROUND(M1178-N1178,2)</x:f>
        <x:v>139.75</x:v>
      </x:c>
      <x:c r="P1178" s="6" t="n">
        <x:v>3.3</x:v>
      </x:c>
      <x:c r="Q1178" t="str">
        <x:v>No</x:v>
      </x:c>
    </x:row>
    <x:row r="1179">
      <x:c r="A1179" t="str">
        <x:v>ORD-01599</x:v>
      </x:c>
      <x:c r="B1179" s="3" t="n">
        <x:v>45780.21842041667</x:v>
      </x:c>
      <x:c r="C1179" t="str">
        <x:v>2025-05</x:v>
      </x:c>
      <x:c r="D1179" t="str">
        <x:v>CUS-0428</x:v>
      </x:c>
      <x:c r="E1179" t="str">
        <x:v>North West</x:v>
      </x:c>
      <x:c r="F1179" t="str">
        <x:v>Store</x:v>
      </x:c>
      <x:c r="G1179" t="str">
        <x:v>Beauty</x:v>
      </x:c>
      <x:c r="H1179" t="str">
        <x:v>Hair Dryer</x:v>
      </x:c>
      <x:c r="I1179" t="n">
        <x:v>2</x:v>
      </x:c>
      <x:c r="J1179" s="4" t="n">
        <x:v>62.29</x:v>
      </x:c>
      <x:c r="K1179" s="4" t="n">
        <x:v>29</x:v>
      </x:c>
      <x:c r="L1179" s="5" t="n">
        <x:v>0.15</x:v>
      </x:c>
      <x:c r="M1179" s="4" t="n">
        <x:f>ROUND(I1179*J1179*(1-L1179),2)</x:f>
        <x:v>105.89</x:v>
      </x:c>
      <x:c r="N1179" s="4" t="n">
        <x:f>ROUND(I1179*K1179,2)</x:f>
        <x:v>58</x:v>
      </x:c>
      <x:c r="O1179" s="4" t="n">
        <x:f>ROUND(M1179-N1179,2)</x:f>
        <x:v>47.89</x:v>
      </x:c>
      <x:c r="P1179" s="6" t="n">
        <x:v>3.7</x:v>
      </x:c>
      <x:c r="Q1179" t="str">
        <x:v>No</x:v>
      </x:c>
    </x:row>
    <x:row r="1180">
      <x:c r="A1180" t="str">
        <x:v>ORD-01436</x:v>
      </x:c>
      <x:c r="B1180" s="3" t="n">
        <x:v>45780.84913739583</x:v>
      </x:c>
      <x:c r="C1180" t="str">
        <x:v>2025-05</x:v>
      </x:c>
      <x:c r="D1180" t="str">
        <x:v>CUS-0350</x:v>
      </x:c>
      <x:c r="E1180" t="str">
        <x:v>South East</x:v>
      </x:c>
      <x:c r="F1180" t="str">
        <x:v>Online</x:v>
      </x:c>
      <x:c r="G1180" t="str">
        <x:v>Books</x:v>
      </x:c>
      <x:c r="H1180" t="str">
        <x:v>Business Intelligence Guide</x:v>
      </x:c>
      <x:c r="I1180" t="n">
        <x:v>1</x:v>
      </x:c>
      <x:c r="J1180" s="4" t="n">
        <x:v>34.89</x:v>
      </x:c>
      <x:c r="K1180" s="4" t="n">
        <x:v>12</x:v>
      </x:c>
      <x:c r="L1180" s="5" t="n">
        <x:v>0.05</x:v>
      </x:c>
      <x:c r="M1180" s="4" t="n">
        <x:f>ROUND(I1180*J1180*(1-L1180),2)</x:f>
        <x:v>33.15</x:v>
      </x:c>
      <x:c r="N1180" s="4" t="n">
        <x:f>ROUND(I1180*K1180,2)</x:f>
        <x:v>12</x:v>
      </x:c>
      <x:c r="O1180" s="4" t="n">
        <x:f>ROUND(M1180-N1180,2)</x:f>
        <x:v>21.15</x:v>
      </x:c>
      <x:c r="P1180" s="6" t="n">
        <x:v>5</x:v>
      </x:c>
      <x:c r="Q1180" t="str">
        <x:v>No</x:v>
      </x:c>
    </x:row>
    <x:row r="1181">
      <x:c r="A1181" t="str">
        <x:v>ORD-01100</x:v>
      </x:c>
      <x:c r="B1181" s="3" t="n">
        <x:v>45780.974771099536</x:v>
      </x:c>
      <x:c r="C1181" t="str">
        <x:v>2025-05</x:v>
      </x:c>
      <x:c r="D1181" t="str">
        <x:v>CUS-0214</x:v>
      </x:c>
      <x:c r="E1181" t="str">
        <x:v>South East</x:v>
      </x:c>
      <x:c r="F1181" t="str">
        <x:v>Online</x:v>
      </x:c>
      <x:c r="G1181" t="str">
        <x:v>Sports</x:v>
      </x:c>
      <x:c r="H1181" t="str">
        <x:v>Yoga Mat</x:v>
      </x:c>
      <x:c r="I1181" t="n">
        <x:v>2</x:v>
      </x:c>
      <x:c r="J1181" s="4" t="n">
        <x:v>30.85</x:v>
      </x:c>
      <x:c r="K1181" s="4" t="n">
        <x:v>12</x:v>
      </x:c>
      <x:c r="L1181" s="5" t="n">
        <x:v>0.2</x:v>
      </x:c>
      <x:c r="M1181" s="4" t="n">
        <x:f>ROUND(I1181*J1181*(1-L1181),2)</x:f>
        <x:v>49.36</x:v>
      </x:c>
      <x:c r="N1181" s="4" t="n">
        <x:f>ROUND(I1181*K1181,2)</x:f>
        <x:v>24</x:v>
      </x:c>
      <x:c r="O1181" s="4" t="n">
        <x:f>ROUND(M1181-N1181,2)</x:f>
        <x:v>25.36</x:v>
      </x:c>
      <x:c r="P1181" s="6" t="n">
        <x:v>4.1</x:v>
      </x:c>
      <x:c r="Q1181" t="str">
        <x:v>No</x:v>
      </x:c>
    </x:row>
    <x:row r="1182">
      <x:c r="A1182" t="str">
        <x:v>ORD-01765</x:v>
      </x:c>
      <x:c r="B1182" s="3" t="n">
        <x:v>45781.15562517361</x:v>
      </x:c>
      <x:c r="C1182" t="str">
        <x:v>2025-05</x:v>
      </x:c>
      <x:c r="D1182" t="str">
        <x:v>CUS-0464</x:v>
      </x:c>
      <x:c r="E1182" t="str">
        <x:v>London</x:v>
      </x:c>
      <x:c r="F1182" t="str">
        <x:v>Store</x:v>
      </x:c>
      <x:c r="G1182" t="str">
        <x:v>Beauty</x:v>
      </x:c>
      <x:c r="H1182" t="str">
        <x:v>Hair Dryer</x:v>
      </x:c>
      <x:c r="I1182" t="n">
        <x:v>3</x:v>
      </x:c>
      <x:c r="J1182" s="4" t="n">
        <x:v>59.07</x:v>
      </x:c>
      <x:c r="K1182" s="4" t="n">
        <x:v>29</x:v>
      </x:c>
      <x:c r="L1182" s="5" t="n">
        <x:v>0</x:v>
      </x:c>
      <x:c r="M1182" s="4" t="n">
        <x:f>ROUND(I1182*J1182*(1-L1182),2)</x:f>
        <x:v>177.21</x:v>
      </x:c>
      <x:c r="N1182" s="4" t="n">
        <x:f>ROUND(I1182*K1182,2)</x:f>
        <x:v>87</x:v>
      </x:c>
      <x:c r="O1182" s="4" t="n">
        <x:f>ROUND(M1182-N1182,2)</x:f>
        <x:v>90.21</x:v>
      </x:c>
      <x:c r="P1182" s="6" t="n">
        <x:v>3.6</x:v>
      </x:c>
      <x:c r="Q1182" t="str">
        <x:v>No</x:v>
      </x:c>
    </x:row>
    <x:row r="1183">
      <x:c r="A1183" t="str">
        <x:v>ORD-01550</x:v>
      </x:c>
      <x:c r="B1183" s="3" t="n">
        <x:v>45781.583621226855</x:v>
      </x:c>
      <x:c r="C1183" t="str">
        <x:v>2025-05</x:v>
      </x:c>
      <x:c r="D1183" t="str">
        <x:v>CUS-0361</x:v>
      </x:c>
      <x:c r="E1183" t="str">
        <x:v>London</x:v>
      </x:c>
      <x:c r="F1183" t="str">
        <x:v>Online</x:v>
      </x:c>
      <x:c r="G1183" t="str">
        <x:v>Fashion</x:v>
      </x:c>
      <x:c r="H1183" t="str">
        <x:v>Classic Trainers</x:v>
      </x:c>
      <x:c r="I1183" t="n">
        <x:v>3</x:v>
      </x:c>
      <x:c r="J1183" s="4" t="n">
        <x:v>66.99</x:v>
      </x:c>
      <x:c r="K1183" s="4" t="n">
        <x:v>32</x:v>
      </x:c>
      <x:c r="L1183" s="5" t="n">
        <x:v>0</x:v>
      </x:c>
      <x:c r="M1183" s="4" t="n">
        <x:f>ROUND(I1183*J1183*(1-L1183),2)</x:f>
        <x:v>200.97</x:v>
      </x:c>
      <x:c r="N1183" s="4" t="n">
        <x:f>ROUND(I1183*K1183,2)</x:f>
        <x:v>96</x:v>
      </x:c>
      <x:c r="O1183" s="4" t="n">
        <x:f>ROUND(M1183-N1183,2)</x:f>
        <x:v>104.97</x:v>
      </x:c>
      <x:c r="P1183" s="6" t="n">
        <x:v>4.3</x:v>
      </x:c>
      <x:c r="Q1183" t="str">
        <x:v>No</x:v>
      </x:c>
    </x:row>
    <x:row r="1184">
      <x:c r="A1184" t="str">
        <x:v>ORD-01013</x:v>
      </x:c>
      <x:c r="B1184" s="3" t="n">
        <x:v>45782.47319903935</x:v>
      </x:c>
      <x:c r="C1184" t="str">
        <x:v>2025-05</x:v>
      </x:c>
      <x:c r="D1184" t="str">
        <x:v>CUS-0018</x:v>
      </x:c>
      <x:c r="E1184" t="str">
        <x:v>Scotland</x:v>
      </x:c>
      <x:c r="F1184" t="str">
        <x:v>Marketplace</x:v>
      </x:c>
      <x:c r="G1184" t="str">
        <x:v>Electronics</x:v>
      </x:c>
      <x:c r="H1184" t="str">
        <x:v>Smart Watch</x:v>
      </x:c>
      <x:c r="I1184" t="n">
        <x:v>1</x:v>
      </x:c>
      <x:c r="J1184" s="4" t="n">
        <x:v>152.47</x:v>
      </x:c>
      <x:c r="K1184" s="4" t="n">
        <x:v>92</x:v>
      </x:c>
      <x:c r="L1184" s="5" t="n">
        <x:v>0.15</x:v>
      </x:c>
      <x:c r="M1184" s="4" t="n">
        <x:f>ROUND(I1184*J1184*(1-L1184),2)</x:f>
        <x:v>129.6</x:v>
      </x:c>
      <x:c r="N1184" s="4" t="n">
        <x:f>ROUND(I1184*K1184,2)</x:f>
        <x:v>92</x:v>
      </x:c>
      <x:c r="O1184" s="4" t="n">
        <x:f>ROUND(M1184-N1184,2)</x:f>
        <x:v>37.6</x:v>
      </x:c>
      <x:c r="P1184" s="6" t="n">
        <x:v>3.8</x:v>
      </x:c>
      <x:c r="Q1184" t="str">
        <x:v>No</x:v>
      </x:c>
    </x:row>
    <x:row r="1185">
      <x:c r="A1185" t="str">
        <x:v>ORD-00825</x:v>
      </x:c>
      <x:c r="B1185" s="3" t="n">
        <x:v>45782.77755168982</x:v>
      </x:c>
      <x:c r="C1185" t="str">
        <x:v>2025-05</x:v>
      </x:c>
      <x:c r="D1185" t="str">
        <x:v>CUS-0326</x:v>
      </x:c>
      <x:c r="E1185" t="str">
        <x:v>North West</x:v>
      </x:c>
      <x:c r="F1185" t="str">
        <x:v>Marketplace</x:v>
      </x:c>
      <x:c r="G1185" t="str">
        <x:v>Electronics</x:v>
      </x:c>
      <x:c r="H1185" t="str">
        <x:v>Smart Watch</x:v>
      </x:c>
      <x:c r="I1185" t="n">
        <x:v>1</x:v>
      </x:c>
      <x:c r="J1185" s="4" t="n">
        <x:v>166.45</x:v>
      </x:c>
      <x:c r="K1185" s="4" t="n">
        <x:v>92</x:v>
      </x:c>
      <x:c r="L1185" s="5" t="n">
        <x:v>0</x:v>
      </x:c>
      <x:c r="M1185" s="4" t="n">
        <x:f>ROUND(I1185*J1185*(1-L1185),2)</x:f>
        <x:v>166.45</x:v>
      </x:c>
      <x:c r="N1185" s="4" t="n">
        <x:f>ROUND(I1185*K1185,2)</x:f>
        <x:v>92</x:v>
      </x:c>
      <x:c r="O1185" s="4" t="n">
        <x:f>ROUND(M1185-N1185,2)</x:f>
        <x:v>74.45</x:v>
      </x:c>
      <x:c r="P1185" s="6" t="n">
        <x:v>4</x:v>
      </x:c>
      <x:c r="Q1185" t="str">
        <x:v>No</x:v>
      </x:c>
    </x:row>
    <x:row r="1186">
      <x:c r="A1186" t="str">
        <x:v>ORD-01565</x:v>
      </x:c>
      <x:c r="B1186" s="3" t="n">
        <x:v>45782.82963619213</x:v>
      </x:c>
      <x:c r="C1186" t="str">
        <x:v>2025-05</x:v>
      </x:c>
      <x:c r="D1186" t="str">
        <x:v>CUS-0319</x:v>
      </x:c>
      <x:c r="E1186" t="str">
        <x:v>Scotland</x:v>
      </x:c>
      <x:c r="F1186" t="str">
        <x:v>Store</x:v>
      </x:c>
      <x:c r="G1186" t="str">
        <x:v>Beauty</x:v>
      </x:c>
      <x:c r="H1186" t="str">
        <x:v>Hair Dryer</x:v>
      </x:c>
      <x:c r="I1186" t="n">
        <x:v>2</x:v>
      </x:c>
      <x:c r="J1186" s="4" t="n">
        <x:v>58.19</x:v>
      </x:c>
      <x:c r="K1186" s="4" t="n">
        <x:v>29</x:v>
      </x:c>
      <x:c r="L1186" s="5" t="n">
        <x:v>0</x:v>
      </x:c>
      <x:c r="M1186" s="4" t="n">
        <x:f>ROUND(I1186*J1186*(1-L1186),2)</x:f>
        <x:v>116.38</x:v>
      </x:c>
      <x:c r="N1186" s="4" t="n">
        <x:f>ROUND(I1186*K1186,2)</x:f>
        <x:v>58</x:v>
      </x:c>
      <x:c r="O1186" s="4" t="n">
        <x:f>ROUND(M1186-N1186,2)</x:f>
        <x:v>58.38</x:v>
      </x:c>
      <x:c r="P1186" s="6" t="n">
        <x:v>3.9</x:v>
      </x:c>
      <x:c r="Q1186" t="str">
        <x:v>No</x:v>
      </x:c>
    </x:row>
    <x:row r="1187">
      <x:c r="A1187" t="str">
        <x:v>ORD-01733</x:v>
      </x:c>
      <x:c r="B1187" s="3" t="n">
        <x:v>45782.92887751157</x:v>
      </x:c>
      <x:c r="C1187" t="str">
        <x:v>2025-05</x:v>
      </x:c>
      <x:c r="D1187" t="str">
        <x:v>CUS-0536</x:v>
      </x:c>
      <x:c r="E1187" t="str">
        <x:v>South West</x:v>
      </x:c>
      <x:c r="F1187" t="str">
        <x:v>Online</x:v>
      </x:c>
      <x:c r="G1187" t="str">
        <x:v>Electronics</x:v>
      </x:c>
      <x:c r="H1187" t="str">
        <x:v>Bluetooth Speaker</x:v>
      </x:c>
      <x:c r="I1187" t="n">
        <x:v>1</x:v>
      </x:c>
      <x:c r="J1187" s="4" t="n">
        <x:v>65.71</x:v>
      </x:c>
      <x:c r="K1187" s="4" t="n">
        <x:v>34</x:v>
      </x:c>
      <x:c r="L1187" s="5" t="n">
        <x:v>0</x:v>
      </x:c>
      <x:c r="M1187" s="4" t="n">
        <x:f>ROUND(I1187*J1187*(1-L1187),2)</x:f>
        <x:v>65.71</x:v>
      </x:c>
      <x:c r="N1187" s="4" t="n">
        <x:f>ROUND(I1187*K1187,2)</x:f>
        <x:v>34</x:v>
      </x:c>
      <x:c r="O1187" s="4" t="n">
        <x:f>ROUND(M1187-N1187,2)</x:f>
        <x:v>31.71</x:v>
      </x:c>
      <x:c r="P1187" s="6" t="n">
        <x:v>5</x:v>
      </x:c>
      <x:c r="Q1187" t="str">
        <x:v>No</x:v>
      </x:c>
    </x:row>
    <x:row r="1188">
      <x:c r="A1188" t="str">
        <x:v>ORD-00898</x:v>
      </x:c>
      <x:c r="B1188" s="3" t="n">
        <x:v>45783.0980528588</x:v>
      </x:c>
      <x:c r="C1188" t="str">
        <x:v>2025-05</x:v>
      </x:c>
      <x:c r="D1188" t="str">
        <x:v>CUS-0527</x:v>
      </x:c>
      <x:c r="E1188" t="str">
        <x:v>Wales</x:v>
      </x:c>
      <x:c r="F1188" t="str">
        <x:v>Store</x:v>
      </x:c>
      <x:c r="G1188" t="str">
        <x:v>Books</x:v>
      </x:c>
      <x:c r="H1188" t="str">
        <x:v>Data Analytics Handbook</x:v>
      </x:c>
      <x:c r="I1188" t="n">
        <x:v>4</x:v>
      </x:c>
      <x:c r="J1188" s="4" t="n">
        <x:v>40.8</x:v>
      </x:c>
      <x:c r="K1188" s="4" t="n">
        <x:v>14</x:v>
      </x:c>
      <x:c r="L1188" s="5" t="n">
        <x:v>0.2</x:v>
      </x:c>
      <x:c r="M1188" s="4" t="n">
        <x:f>ROUND(I1188*J1188*(1-L1188),2)</x:f>
        <x:v>130.56</x:v>
      </x:c>
      <x:c r="N1188" s="4" t="n">
        <x:f>ROUND(I1188*K1188,2)</x:f>
        <x:v>56</x:v>
      </x:c>
      <x:c r="O1188" s="4" t="n">
        <x:f>ROUND(M1188-N1188,2)</x:f>
        <x:v>74.56</x:v>
      </x:c>
      <x:c r="P1188" s="6" t="n">
        <x:v>4.2</x:v>
      </x:c>
      <x:c r="Q1188" t="str">
        <x:v>No</x:v>
      </x:c>
    </x:row>
    <x:row r="1189">
      <x:c r="A1189" t="str">
        <x:v>ORD-00720</x:v>
      </x:c>
      <x:c r="B1189" s="3" t="n">
        <x:v>45783.23688614583</x:v>
      </x:c>
      <x:c r="C1189" t="str">
        <x:v>2025-05</x:v>
      </x:c>
      <x:c r="D1189" t="str">
        <x:v>CUS-0600</x:v>
      </x:c>
      <x:c r="E1189" t="str">
        <x:v>North East</x:v>
      </x:c>
      <x:c r="F1189" t="str">
        <x:v>Store</x:v>
      </x:c>
      <x:c r="G1189" t="str">
        <x:v>Sports</x:v>
      </x:c>
      <x:c r="H1189" t="str">
        <x:v>Yoga Mat</x:v>
      </x:c>
      <x:c r="I1189" t="n">
        <x:v>1</x:v>
      </x:c>
      <x:c r="J1189" s="4" t="n">
        <x:v>30.61</x:v>
      </x:c>
      <x:c r="K1189" s="4" t="n">
        <x:v>12</x:v>
      </x:c>
      <x:c r="L1189" s="5" t="n">
        <x:v>0.15</x:v>
      </x:c>
      <x:c r="M1189" s="4" t="n">
        <x:f>ROUND(I1189*J1189*(1-L1189),2)</x:f>
        <x:v>26.02</x:v>
      </x:c>
      <x:c r="N1189" s="4" t="n">
        <x:f>ROUND(I1189*K1189,2)</x:f>
        <x:v>12</x:v>
      </x:c>
      <x:c r="O1189" s="4" t="n">
        <x:f>ROUND(M1189-N1189,2)</x:f>
        <x:v>14.02</x:v>
      </x:c>
      <x:c r="P1189" s="6" t="n">
        <x:v>4.8</x:v>
      </x:c>
      <x:c r="Q1189" t="str">
        <x:v>Yes</x:v>
      </x:c>
    </x:row>
    <x:row r="1190">
      <x:c r="A1190" t="str">
        <x:v>ORD-01721</x:v>
      </x:c>
      <x:c r="B1190" s="3" t="n">
        <x:v>45783.344896712966</x:v>
      </x:c>
      <x:c r="C1190" t="str">
        <x:v>2025-05</x:v>
      </x:c>
      <x:c r="D1190" t="str">
        <x:v>CUS-0151</x:v>
      </x:c>
      <x:c r="E1190" t="str">
        <x:v>Scotland</x:v>
      </x:c>
      <x:c r="F1190" t="str">
        <x:v>Marketplace</x:v>
      </x:c>
      <x:c r="G1190" t="str">
        <x:v>Fashion</x:v>
      </x:c>
      <x:c r="H1190" t="str">
        <x:v>Classic Trainers</x:v>
      </x:c>
      <x:c r="I1190" t="n">
        <x:v>4</x:v>
      </x:c>
      <x:c r="J1190" s="4" t="n">
        <x:v>73.08</x:v>
      </x:c>
      <x:c r="K1190" s="4" t="n">
        <x:v>32</x:v>
      </x:c>
      <x:c r="L1190" s="5" t="n">
        <x:v>0.05</x:v>
      </x:c>
      <x:c r="M1190" s="4" t="n">
        <x:f>ROUND(I1190*J1190*(1-L1190),2)</x:f>
        <x:v>277.7</x:v>
      </x:c>
      <x:c r="N1190" s="4" t="n">
        <x:f>ROUND(I1190*K1190,2)</x:f>
        <x:v>128</x:v>
      </x:c>
      <x:c r="O1190" s="4" t="n">
        <x:f>ROUND(M1190-N1190,2)</x:f>
        <x:v>149.7</x:v>
      </x:c>
      <x:c r="P1190" s="6" t="n">
        <x:v>3.5</x:v>
      </x:c>
      <x:c r="Q1190" t="str">
        <x:v>No</x:v>
      </x:c>
    </x:row>
    <x:row r="1191">
      <x:c r="A1191" t="str">
        <x:v>ORD-01552</x:v>
      </x:c>
      <x:c r="B1191" s="3" t="n">
        <x:v>45783.54940671296</x:v>
      </x:c>
      <x:c r="C1191" t="str">
        <x:v>2025-05</x:v>
      </x:c>
      <x:c r="D1191" t="str">
        <x:v>CUS-0235</x:v>
      </x:c>
      <x:c r="E1191" t="str">
        <x:v>North West</x:v>
      </x:c>
      <x:c r="F1191" t="str">
        <x:v>Online</x:v>
      </x:c>
      <x:c r="G1191" t="str">
        <x:v>Electronics</x:v>
      </x:c>
      <x:c r="H1191" t="str">
        <x:v>Wireless Headphones</x:v>
      </x:c>
      <x:c r="I1191" t="n">
        <x:v>5</x:v>
      </x:c>
      <x:c r="J1191" s="4" t="n">
        <x:v>89.44</x:v>
      </x:c>
      <x:c r="K1191" s="4" t="n">
        <x:v>48</x:v>
      </x:c>
      <x:c r="L1191" s="5" t="n">
        <x:v>0.1</x:v>
      </x:c>
      <x:c r="M1191" s="4" t="n">
        <x:f>ROUND(I1191*J1191*(1-L1191),2)</x:f>
        <x:v>402.48</x:v>
      </x:c>
      <x:c r="N1191" s="4" t="n">
        <x:f>ROUND(I1191*K1191,2)</x:f>
        <x:v>240</x:v>
      </x:c>
      <x:c r="O1191" s="4" t="n">
        <x:f>ROUND(M1191-N1191,2)</x:f>
        <x:v>162.48</x:v>
      </x:c>
      <x:c r="P1191" s="6" t="n">
        <x:v>4.5</x:v>
      </x:c>
      <x:c r="Q1191" t="str">
        <x:v>No</x:v>
      </x:c>
    </x:row>
    <x:row r="1192">
      <x:c r="A1192" t="str">
        <x:v>ORD-00011</x:v>
      </x:c>
      <x:c r="B1192" s="3" t="n">
        <x:v>45783.9327634838</x:v>
      </x:c>
      <x:c r="C1192" t="str">
        <x:v>2025-05</x:v>
      </x:c>
      <x:c r="D1192" t="str">
        <x:v>CUS-0230</x:v>
      </x:c>
      <x:c r="E1192" t="str">
        <x:v>North East</x:v>
      </x:c>
      <x:c r="F1192" t="str">
        <x:v>Marketplace</x:v>
      </x:c>
      <x:c r="G1192" t="str">
        <x:v>Electronics</x:v>
      </x:c>
      <x:c r="H1192" t="str">
        <x:v>Bluetooth Speaker</x:v>
      </x:c>
      <x:c r="I1192" t="n">
        <x:v>1</x:v>
      </x:c>
      <x:c r="J1192" s="4" t="n">
        <x:v>63.91</x:v>
      </x:c>
      <x:c r="K1192" s="4" t="n">
        <x:v>34</x:v>
      </x:c>
      <x:c r="L1192" s="5" t="n">
        <x:v>0.05</x:v>
      </x:c>
      <x:c r="M1192" s="4" t="n">
        <x:f>ROUND(I1192*J1192*(1-L1192),2)</x:f>
        <x:v>60.71</x:v>
      </x:c>
      <x:c r="N1192" s="4" t="n">
        <x:f>ROUND(I1192*K1192,2)</x:f>
        <x:v>34</x:v>
      </x:c>
      <x:c r="O1192" s="4" t="n">
        <x:f>ROUND(M1192-N1192,2)</x:f>
        <x:v>26.71</x:v>
      </x:c>
      <x:c r="P1192" s="6" t="n">
        <x:v>5</x:v>
      </x:c>
      <x:c r="Q1192" t="str">
        <x:v>No</x:v>
      </x:c>
    </x:row>
    <x:row r="1193">
      <x:c r="A1193" t="str">
        <x:v>ORD-00169</x:v>
      </x:c>
      <x:c r="B1193" s="3" t="n">
        <x:v>45784.26946481482</x:v>
      </x:c>
      <x:c r="C1193" t="str">
        <x:v>2025-05</x:v>
      </x:c>
      <x:c r="D1193" t="str">
        <x:v>CUS-0347</x:v>
      </x:c>
      <x:c r="E1193" t="str">
        <x:v>North East</x:v>
      </x:c>
      <x:c r="F1193" t="str">
        <x:v>Store</x:v>
      </x:c>
      <x:c r="G1193" t="str">
        <x:v>Books</x:v>
      </x:c>
      <x:c r="H1193" t="str">
        <x:v>Data Analytics Handbook</x:v>
      </x:c>
      <x:c r="I1193" t="n">
        <x:v>1</x:v>
      </x:c>
      <x:c r="J1193" s="4" t="n">
        <x:v>39.23</x:v>
      </x:c>
      <x:c r="K1193" s="4" t="n">
        <x:v>14</x:v>
      </x:c>
      <x:c r="L1193" s="5" t="n">
        <x:v>0</x:v>
      </x:c>
      <x:c r="M1193" s="4" t="n">
        <x:f>ROUND(I1193*J1193*(1-L1193),2)</x:f>
        <x:v>39.23</x:v>
      </x:c>
      <x:c r="N1193" s="4" t="n">
        <x:f>ROUND(I1193*K1193,2)</x:f>
        <x:v>14</x:v>
      </x:c>
      <x:c r="O1193" s="4" t="n">
        <x:f>ROUND(M1193-N1193,2)</x:f>
        <x:v>25.23</x:v>
      </x:c>
      <x:c r="P1193" s="6" t="n">
        <x:v>4.5</x:v>
      </x:c>
      <x:c r="Q1193" t="str">
        <x:v>No</x:v>
      </x:c>
    </x:row>
    <x:row r="1194">
      <x:c r="A1194" t="str">
        <x:v>ORD-00374</x:v>
      </x:c>
      <x:c r="B1194" s="3" t="n">
        <x:v>45784.87973144676</x:v>
      </x:c>
      <x:c r="C1194" t="str">
        <x:v>2025-05</x:v>
      </x:c>
      <x:c r="D1194" t="str">
        <x:v>CUS-0036</x:v>
      </x:c>
      <x:c r="E1194" t="str">
        <x:v>Midlands</x:v>
      </x:c>
      <x:c r="F1194" t="str">
        <x:v>Store</x:v>
      </x:c>
      <x:c r="G1194" t="str">
        <x:v>Sports</x:v>
      </x:c>
      <x:c r="H1194" t="str">
        <x:v>Running Shoes</x:v>
      </x:c>
      <x:c r="I1194" t="n">
        <x:v>2</x:v>
      </x:c>
      <x:c r="J1194" s="4" t="n">
        <x:v>76.72</x:v>
      </x:c>
      <x:c r="K1194" s="4" t="n">
        <x:v>38</x:v>
      </x:c>
      <x:c r="L1194" s="5" t="n">
        <x:v>0</x:v>
      </x:c>
      <x:c r="M1194" s="4" t="n">
        <x:f>ROUND(I1194*J1194*(1-L1194),2)</x:f>
        <x:v>153.44</x:v>
      </x:c>
      <x:c r="N1194" s="4" t="n">
        <x:f>ROUND(I1194*K1194,2)</x:f>
        <x:v>76</x:v>
      </x:c>
      <x:c r="O1194" s="4" t="n">
        <x:f>ROUND(M1194-N1194,2)</x:f>
        <x:v>77.44</x:v>
      </x:c>
      <x:c r="P1194" s="6" t="n">
        <x:v>3.3</x:v>
      </x:c>
      <x:c r="Q1194" t="str">
        <x:v>No</x:v>
      </x:c>
    </x:row>
    <x:row r="1195">
      <x:c r="A1195" t="str">
        <x:v>ORD-00354</x:v>
      </x:c>
      <x:c r="B1195" s="3" t="n">
        <x:v>45785.12758729167</x:v>
      </x:c>
      <x:c r="C1195" t="str">
        <x:v>2025-05</x:v>
      </x:c>
      <x:c r="D1195" t="str">
        <x:v>CUS-0524</x:v>
      </x:c>
      <x:c r="E1195" t="str">
        <x:v>North East</x:v>
      </x:c>
      <x:c r="F1195" t="str">
        <x:v>Online</x:v>
      </x:c>
      <x:c r="G1195" t="str">
        <x:v>Fashion</x:v>
      </x:c>
      <x:c r="H1195" t="str">
        <x:v>Winter Jacket</x:v>
      </x:c>
      <x:c r="I1195" t="n">
        <x:v>2</x:v>
      </x:c>
      <x:c r="J1195" s="4" t="n">
        <x:v>97.13</x:v>
      </x:c>
      <x:c r="K1195" s="4" t="n">
        <x:v>46</x:v>
      </x:c>
      <x:c r="L1195" s="5" t="n">
        <x:v>0.05</x:v>
      </x:c>
      <x:c r="M1195" s="4" t="n">
        <x:f>ROUND(I1195*J1195*(1-L1195),2)</x:f>
        <x:v>184.55</x:v>
      </x:c>
      <x:c r="N1195" s="4" t="n">
        <x:f>ROUND(I1195*K1195,2)</x:f>
        <x:v>92</x:v>
      </x:c>
      <x:c r="O1195" s="4" t="n">
        <x:f>ROUND(M1195-N1195,2)</x:f>
        <x:v>92.55</x:v>
      </x:c>
      <x:c r="P1195" s="6" t="n">
        <x:v>4.8</x:v>
      </x:c>
      <x:c r="Q1195" t="str">
        <x:v>No</x:v>
      </x:c>
    </x:row>
    <x:row r="1196">
      <x:c r="A1196" t="str">
        <x:v>ORD-00494</x:v>
      </x:c>
      <x:c r="B1196" s="3" t="n">
        <x:v>45785.183916863425</x:v>
      </x:c>
      <x:c r="C1196" t="str">
        <x:v>2025-05</x:v>
      </x:c>
      <x:c r="D1196" t="str">
        <x:v>CUS-0257</x:v>
      </x:c>
      <x:c r="E1196" t="str">
        <x:v>Scotland</x:v>
      </x:c>
      <x:c r="F1196" t="str">
        <x:v>Store</x:v>
      </x:c>
      <x:c r="G1196" t="str">
        <x:v>Electronics</x:v>
      </x:c>
      <x:c r="H1196" t="str">
        <x:v>Wireless Headphones</x:v>
      </x:c>
      <x:c r="I1196" t="n">
        <x:v>5</x:v>
      </x:c>
      <x:c r="J1196" s="4" t="n">
        <x:v>90.36</x:v>
      </x:c>
      <x:c r="K1196" s="4" t="n">
        <x:v>48</x:v>
      </x:c>
      <x:c r="L1196" s="5" t="n">
        <x:v>0.1</x:v>
      </x:c>
      <x:c r="M1196" s="4" t="n">
        <x:f>ROUND(I1196*J1196*(1-L1196),2)</x:f>
        <x:v>406.62</x:v>
      </x:c>
      <x:c r="N1196" s="4" t="n">
        <x:f>ROUND(I1196*K1196,2)</x:f>
        <x:v>240</x:v>
      </x:c>
      <x:c r="O1196" s="4" t="n">
        <x:f>ROUND(M1196-N1196,2)</x:f>
        <x:v>166.62</x:v>
      </x:c>
      <x:c r="P1196" s="6" t="n">
        <x:v>4</x:v>
      </x:c>
      <x:c r="Q1196" t="str">
        <x:v>No</x:v>
      </x:c>
    </x:row>
    <x:row r="1197">
      <x:c r="A1197" t="str">
        <x:v>ORD-01295</x:v>
      </x:c>
      <x:c r="B1197" s="3" t="n">
        <x:v>45785.33164517361</x:v>
      </x:c>
      <x:c r="C1197" t="str">
        <x:v>2025-05</x:v>
      </x:c>
      <x:c r="D1197" t="str">
        <x:v>CUS-0263</x:v>
      </x:c>
      <x:c r="E1197" t="str">
        <x:v>North East</x:v>
      </x:c>
      <x:c r="F1197" t="str">
        <x:v>Store</x:v>
      </x:c>
      <x:c r="G1197" t="str">
        <x:v>Beauty</x:v>
      </x:c>
      <x:c r="H1197" t="str">
        <x:v>Hair Dryer</x:v>
      </x:c>
      <x:c r="I1197" t="n">
        <x:v>2</x:v>
      </x:c>
      <x:c r="J1197" s="4" t="n">
        <x:v>61.55</x:v>
      </x:c>
      <x:c r="K1197" s="4" t="n">
        <x:v>29</x:v>
      </x:c>
      <x:c r="L1197" s="5" t="n">
        <x:v>0</x:v>
      </x:c>
      <x:c r="M1197" s="4" t="n">
        <x:f>ROUND(I1197*J1197*(1-L1197),2)</x:f>
        <x:v>123.1</x:v>
      </x:c>
      <x:c r="N1197" s="4" t="n">
        <x:f>ROUND(I1197*K1197,2)</x:f>
        <x:v>58</x:v>
      </x:c>
      <x:c r="O1197" s="4" t="n">
        <x:f>ROUND(M1197-N1197,2)</x:f>
        <x:v>65.1</x:v>
      </x:c>
      <x:c r="P1197" s="6" t="n">
        <x:v>4.3</x:v>
      </x:c>
      <x:c r="Q1197" t="str">
        <x:v>Yes</x:v>
      </x:c>
    </x:row>
    <x:row r="1198">
      <x:c r="A1198" t="str">
        <x:v>ORD-00569</x:v>
      </x:c>
      <x:c r="B1198" s="3" t="n">
        <x:v>45785.58795241898</x:v>
      </x:c>
      <x:c r="C1198" t="str">
        <x:v>2025-05</x:v>
      </x:c>
      <x:c r="D1198" t="str">
        <x:v>CUS-0059</x:v>
      </x:c>
      <x:c r="E1198" t="str">
        <x:v>Scotland</x:v>
      </x:c>
      <x:c r="F1198" t="str">
        <x:v>Marketplace</x:v>
      </x:c>
      <x:c r="G1198" t="str">
        <x:v>Home</x:v>
      </x:c>
      <x:c r="H1198" t="str">
        <x:v>Air Fryer</x:v>
      </x:c>
      <x:c r="I1198" t="n">
        <x:v>3</x:v>
      </x:c>
      <x:c r="J1198" s="4" t="n">
        <x:v>125.93</x:v>
      </x:c>
      <x:c r="K1198" s="4" t="n">
        <x:v>69</x:v>
      </x:c>
      <x:c r="L1198" s="5" t="n">
        <x:v>0.2</x:v>
      </x:c>
      <x:c r="M1198" s="4" t="n">
        <x:f>ROUND(I1198*J1198*(1-L1198),2)</x:f>
        <x:v>302.23</x:v>
      </x:c>
      <x:c r="N1198" s="4" t="n">
        <x:f>ROUND(I1198*K1198,2)</x:f>
        <x:v>207</x:v>
      </x:c>
      <x:c r="O1198" s="4" t="n">
        <x:f>ROUND(M1198-N1198,2)</x:f>
        <x:v>95.23</x:v>
      </x:c>
      <x:c r="P1198" s="6" t="n">
        <x:v>4.5</x:v>
      </x:c>
      <x:c r="Q1198" t="str">
        <x:v>Yes</x:v>
      </x:c>
    </x:row>
    <x:row r="1199">
      <x:c r="A1199" t="str">
        <x:v>ORD-01648</x:v>
      </x:c>
      <x:c r="B1199" s="3" t="n">
        <x:v>45786.24070587963</x:v>
      </x:c>
      <x:c r="C1199" t="str">
        <x:v>2025-05</x:v>
      </x:c>
      <x:c r="D1199" t="str">
        <x:v>CUS-0486</x:v>
      </x:c>
      <x:c r="E1199" t="str">
        <x:v>South East</x:v>
      </x:c>
      <x:c r="F1199" t="str">
        <x:v>Online</x:v>
      </x:c>
      <x:c r="G1199" t="str">
        <x:v>Fashion</x:v>
      </x:c>
      <x:c r="H1199" t="str">
        <x:v>Backpack</x:v>
      </x:c>
      <x:c r="I1199" t="n">
        <x:v>5</x:v>
      </x:c>
      <x:c r="J1199" s="4" t="n">
        <x:v>51.64</x:v>
      </x:c>
      <x:c r="K1199" s="4" t="n">
        <x:v>21</x:v>
      </x:c>
      <x:c r="L1199" s="5" t="n">
        <x:v>0.05</x:v>
      </x:c>
      <x:c r="M1199" s="4" t="n">
        <x:f>ROUND(I1199*J1199*(1-L1199),2)</x:f>
        <x:v>245.29</x:v>
      </x:c>
      <x:c r="N1199" s="4" t="n">
        <x:f>ROUND(I1199*K1199,2)</x:f>
        <x:v>105</x:v>
      </x:c>
      <x:c r="O1199" s="4" t="n">
        <x:f>ROUND(M1199-N1199,2)</x:f>
        <x:v>140.29</x:v>
      </x:c>
      <x:c r="P1199" s="6" t="n">
        <x:v>5</x:v>
      </x:c>
      <x:c r="Q1199" t="str">
        <x:v>No</x:v>
      </x:c>
    </x:row>
    <x:row r="1200">
      <x:c r="A1200" t="str">
        <x:v>ORD-01505</x:v>
      </x:c>
      <x:c r="B1200" s="3" t="n">
        <x:v>45786.25406013889</x:v>
      </x:c>
      <x:c r="C1200" t="str">
        <x:v>2025-05</x:v>
      </x:c>
      <x:c r="D1200" t="str">
        <x:v>CUS-0225</x:v>
      </x:c>
      <x:c r="E1200" t="str">
        <x:v>South West</x:v>
      </x:c>
      <x:c r="F1200" t="str">
        <x:v>Marketplace</x:v>
      </x:c>
      <x:c r="G1200" t="str">
        <x:v>Electronics</x:v>
      </x:c>
      <x:c r="H1200" t="str">
        <x:v>Bluetooth Speaker</x:v>
      </x:c>
      <x:c r="I1200" t="n">
        <x:v>3</x:v>
      </x:c>
      <x:c r="J1200" s="4" t="n">
        <x:v>63.08</x:v>
      </x:c>
      <x:c r="K1200" s="4" t="n">
        <x:v>34</x:v>
      </x:c>
      <x:c r="L1200" s="5" t="n">
        <x:v>0</x:v>
      </x:c>
      <x:c r="M1200" s="4" t="n">
        <x:f>ROUND(I1200*J1200*(1-L1200),2)</x:f>
        <x:v>189.24</x:v>
      </x:c>
      <x:c r="N1200" s="4" t="n">
        <x:f>ROUND(I1200*K1200,2)</x:f>
        <x:v>102</x:v>
      </x:c>
      <x:c r="O1200" s="4" t="n">
        <x:f>ROUND(M1200-N1200,2)</x:f>
        <x:v>87.24</x:v>
      </x:c>
      <x:c r="P1200" s="6" t="n">
        <x:v>3.7</x:v>
      </x:c>
      <x:c r="Q1200" t="str">
        <x:v>No</x:v>
      </x:c>
    </x:row>
    <x:row r="1201">
      <x:c r="A1201" t="str">
        <x:v>ORD-00619</x:v>
      </x:c>
      <x:c r="B1201" s="3" t="n">
        <x:v>45786.45584761574</x:v>
      </x:c>
      <x:c r="C1201" t="str">
        <x:v>2025-05</x:v>
      </x:c>
      <x:c r="D1201" t="str">
        <x:v>CUS-0092</x:v>
      </x:c>
      <x:c r="E1201" t="str">
        <x:v>Wales</x:v>
      </x:c>
      <x:c r="F1201" t="str">
        <x:v>Marketplace</x:v>
      </x:c>
      <x:c r="G1201" t="str">
        <x:v>Home</x:v>
      </x:c>
      <x:c r="H1201" t="str">
        <x:v>Coffee Maker</x:v>
      </x:c>
      <x:c r="I1201" t="n">
        <x:v>5</x:v>
      </x:c>
      <x:c r="J1201" s="4" t="n">
        <x:v>77.06</x:v>
      </x:c>
      <x:c r="K1201" s="4" t="n">
        <x:v>41</x:v>
      </x:c>
      <x:c r="L1201" s="5" t="n">
        <x:v>0</x:v>
      </x:c>
      <x:c r="M1201" s="4" t="n">
        <x:f>ROUND(I1201*J1201*(1-L1201),2)</x:f>
        <x:v>385.3</x:v>
      </x:c>
      <x:c r="N1201" s="4" t="n">
        <x:f>ROUND(I1201*K1201,2)</x:f>
        <x:v>205</x:v>
      </x:c>
      <x:c r="O1201" s="4" t="n">
        <x:f>ROUND(M1201-N1201,2)</x:f>
        <x:v>180.3</x:v>
      </x:c>
      <x:c r="P1201" s="6" t="n">
        <x:v>3.8</x:v>
      </x:c>
      <x:c r="Q1201" t="str">
        <x:v>No</x:v>
      </x:c>
    </x:row>
    <x:row r="1202">
      <x:c r="A1202" t="str">
        <x:v>ORD-00481</x:v>
      </x:c>
      <x:c r="B1202" s="3" t="n">
        <x:v>45786.78002583333</x:v>
      </x:c>
      <x:c r="C1202" t="str">
        <x:v>2025-05</x:v>
      </x:c>
      <x:c r="D1202" t="str">
        <x:v>CUS-0328</x:v>
      </x:c>
      <x:c r="E1202" t="str">
        <x:v>South West</x:v>
      </x:c>
      <x:c r="F1202" t="str">
        <x:v>Online</x:v>
      </x:c>
      <x:c r="G1202" t="str">
        <x:v>Sports</x:v>
      </x:c>
      <x:c r="H1202" t="str">
        <x:v>Running Shoes</x:v>
      </x:c>
      <x:c r="I1202" t="n">
        <x:v>5</x:v>
      </x:c>
      <x:c r="J1202" s="4" t="n">
        <x:v>79.08</x:v>
      </x:c>
      <x:c r="K1202" s="4" t="n">
        <x:v>38</x:v>
      </x:c>
      <x:c r="L1202" s="5" t="n">
        <x:v>0.2</x:v>
      </x:c>
      <x:c r="M1202" s="4" t="n">
        <x:f>ROUND(I1202*J1202*(1-L1202),2)</x:f>
        <x:v>316.32</x:v>
      </x:c>
      <x:c r="N1202" s="4" t="n">
        <x:f>ROUND(I1202*K1202,2)</x:f>
        <x:v>190</x:v>
      </x:c>
      <x:c r="O1202" s="4" t="n">
        <x:f>ROUND(M1202-N1202,2)</x:f>
        <x:v>126.32</x:v>
      </x:c>
      <x:c r="P1202" s="6" t="n">
        <x:v>4.7</x:v>
      </x:c>
      <x:c r="Q1202" t="str">
        <x:v>Yes</x:v>
      </x:c>
    </x:row>
    <x:row r="1203">
      <x:c r="A1203" t="str">
        <x:v>ORD-00838</x:v>
      </x:c>
      <x:c r="B1203" s="3" t="n">
        <x:v>45787.97929255787</x:v>
      </x:c>
      <x:c r="C1203" t="str">
        <x:v>2025-05</x:v>
      </x:c>
      <x:c r="D1203" t="str">
        <x:v>CUS-0193</x:v>
      </x:c>
      <x:c r="E1203" t="str">
        <x:v>Wales</x:v>
      </x:c>
      <x:c r="F1203" t="str">
        <x:v>Online</x:v>
      </x:c>
      <x:c r="G1203" t="str">
        <x:v>Books</x:v>
      </x:c>
      <x:c r="H1203" t="str">
        <x:v>Business Intelligence Guide</x:v>
      </x:c>
      <x:c r="I1203" t="n">
        <x:v>1</x:v>
      </x:c>
      <x:c r="J1203" s="4" t="n">
        <x:v>34.59</x:v>
      </x:c>
      <x:c r="K1203" s="4" t="n">
        <x:v>12</x:v>
      </x:c>
      <x:c r="L1203" s="5" t="n">
        <x:v>0</x:v>
      </x:c>
      <x:c r="M1203" s="4" t="n">
        <x:f>ROUND(I1203*J1203*(1-L1203),2)</x:f>
        <x:v>34.59</x:v>
      </x:c>
      <x:c r="N1203" s="4" t="n">
        <x:f>ROUND(I1203*K1203,2)</x:f>
        <x:v>12</x:v>
      </x:c>
      <x:c r="O1203" s="4" t="n">
        <x:f>ROUND(M1203-N1203,2)</x:f>
        <x:v>22.59</x:v>
      </x:c>
      <x:c r="P1203" s="6" t="n">
        <x:v>3.2</x:v>
      </x:c>
      <x:c r="Q1203" t="str">
        <x:v>No</x:v>
      </x:c>
    </x:row>
    <x:row r="1204">
      <x:c r="A1204" t="str">
        <x:v>ORD-00537</x:v>
      </x:c>
      <x:c r="B1204" s="3" t="n">
        <x:v>45788.018052708336</x:v>
      </x:c>
      <x:c r="C1204" t="str">
        <x:v>2025-05</x:v>
      </x:c>
      <x:c r="D1204" t="str">
        <x:v>CUS-0361</x:v>
      </x:c>
      <x:c r="E1204" t="str">
        <x:v>Wales</x:v>
      </x:c>
      <x:c r="F1204" t="str">
        <x:v>Marketplace</x:v>
      </x:c>
      <x:c r="G1204" t="str">
        <x:v>Home</x:v>
      </x:c>
      <x:c r="H1204" t="str">
        <x:v>Desk Lamp</x:v>
      </x:c>
      <x:c r="I1204" t="n">
        <x:v>4</x:v>
      </x:c>
      <x:c r="J1204" s="4" t="n">
        <x:v>36.11</x:v>
      </x:c>
      <x:c r="K1204" s="4" t="n">
        <x:v>17</x:v>
      </x:c>
      <x:c r="L1204" s="5" t="n">
        <x:v>0</x:v>
      </x:c>
      <x:c r="M1204" s="4" t="n">
        <x:f>ROUND(I1204*J1204*(1-L1204),2)</x:f>
        <x:v>144.44</x:v>
      </x:c>
      <x:c r="N1204" s="4" t="n">
        <x:f>ROUND(I1204*K1204,2)</x:f>
        <x:v>68</x:v>
      </x:c>
      <x:c r="O1204" s="4" t="n">
        <x:f>ROUND(M1204-N1204,2)</x:f>
        <x:v>76.44</x:v>
      </x:c>
      <x:c r="P1204" s="6" t="n">
        <x:v>5</x:v>
      </x:c>
      <x:c r="Q1204" t="str">
        <x:v>No</x:v>
      </x:c>
    </x:row>
    <x:row r="1205">
      <x:c r="A1205" t="str">
        <x:v>ORD-00748</x:v>
      </x:c>
      <x:c r="B1205" s="3" t="n">
        <x:v>45789.52638016204</x:v>
      </x:c>
      <x:c r="C1205" t="str">
        <x:v>2025-05</x:v>
      </x:c>
      <x:c r="D1205" t="str">
        <x:v>CUS-0364</x:v>
      </x:c>
      <x:c r="E1205" t="str">
        <x:v>South East</x:v>
      </x:c>
      <x:c r="F1205" t="str">
        <x:v>Online</x:v>
      </x:c>
      <x:c r="G1205" t="str">
        <x:v>Fashion</x:v>
      </x:c>
      <x:c r="H1205" t="str">
        <x:v>Winter Jacket</x:v>
      </x:c>
      <x:c r="I1205" t="n">
        <x:v>3</x:v>
      </x:c>
      <x:c r="J1205" s="4" t="n">
        <x:v>90.66</x:v>
      </x:c>
      <x:c r="K1205" s="4" t="n">
        <x:v>46</x:v>
      </x:c>
      <x:c r="L1205" s="5" t="n">
        <x:v>0</x:v>
      </x:c>
      <x:c r="M1205" s="4" t="n">
        <x:f>ROUND(I1205*J1205*(1-L1205),2)</x:f>
        <x:v>271.98</x:v>
      </x:c>
      <x:c r="N1205" s="4" t="n">
        <x:f>ROUND(I1205*K1205,2)</x:f>
        <x:v>138</x:v>
      </x:c>
      <x:c r="O1205" s="4" t="n">
        <x:f>ROUND(M1205-N1205,2)</x:f>
        <x:v>133.98</x:v>
      </x:c>
      <x:c r="P1205" s="6" t="n">
        <x:v>4.2</x:v>
      </x:c>
      <x:c r="Q1205" t="str">
        <x:v>No</x:v>
      </x:c>
    </x:row>
    <x:row r="1206">
      <x:c r="A1206" t="str">
        <x:v>ORD-00625</x:v>
      </x:c>
      <x:c r="B1206" s="3" t="n">
        <x:v>45789.64569145833</x:v>
      </x:c>
      <x:c r="C1206" t="str">
        <x:v>2025-05</x:v>
      </x:c>
      <x:c r="D1206" t="str">
        <x:v>CUS-0404</x:v>
      </x:c>
      <x:c r="E1206" t="str">
        <x:v>London</x:v>
      </x:c>
      <x:c r="F1206" t="str">
        <x:v>Marketplace</x:v>
      </x:c>
      <x:c r="G1206" t="str">
        <x:v>Fashion</x:v>
      </x:c>
      <x:c r="H1206" t="str">
        <x:v>Backpack</x:v>
      </x:c>
      <x:c r="I1206" t="n">
        <x:v>5</x:v>
      </x:c>
      <x:c r="J1206" s="4" t="n">
        <x:v>49.61</x:v>
      </x:c>
      <x:c r="K1206" s="4" t="n">
        <x:v>21</x:v>
      </x:c>
      <x:c r="L1206" s="5" t="n">
        <x:v>0.2</x:v>
      </x:c>
      <x:c r="M1206" s="4" t="n">
        <x:f>ROUND(I1206*J1206*(1-L1206),2)</x:f>
        <x:v>198.44</x:v>
      </x:c>
      <x:c r="N1206" s="4" t="n">
        <x:f>ROUND(I1206*K1206,2)</x:f>
        <x:v>105</x:v>
      </x:c>
      <x:c r="O1206" s="4" t="n">
        <x:f>ROUND(M1206-N1206,2)</x:f>
        <x:v>93.44</x:v>
      </x:c>
      <x:c r="P1206" s="6" t="n">
        <x:v>4.8</x:v>
      </x:c>
      <x:c r="Q1206" t="str">
        <x:v>No</x:v>
      </x:c>
    </x:row>
    <x:row r="1207">
      <x:c r="A1207" t="str">
        <x:v>ORD-01337</x:v>
      </x:c>
      <x:c r="B1207" s="3" t="n">
        <x:v>45789.81055884259</x:v>
      </x:c>
      <x:c r="C1207" t="str">
        <x:v>2025-05</x:v>
      </x:c>
      <x:c r="D1207" t="str">
        <x:v>CUS-0356</x:v>
      </x:c>
      <x:c r="E1207" t="str">
        <x:v>Wales</x:v>
      </x:c>
      <x:c r="F1207" t="str">
        <x:v>Store</x:v>
      </x:c>
      <x:c r="G1207" t="str">
        <x:v>Sports</x:v>
      </x:c>
      <x:c r="H1207" t="str">
        <x:v>Fitness Tracker</x:v>
      </x:c>
      <x:c r="I1207" t="n">
        <x:v>3</x:v>
      </x:c>
      <x:c r="J1207" s="4" t="n">
        <x:v>53.88</x:v>
      </x:c>
      <x:c r="K1207" s="4" t="n">
        <x:v>27</x:v>
      </x:c>
      <x:c r="L1207" s="5" t="n">
        <x:v>0.2</x:v>
      </x:c>
      <x:c r="M1207" s="4" t="n">
        <x:f>ROUND(I1207*J1207*(1-L1207),2)</x:f>
        <x:v>129.31</x:v>
      </x:c>
      <x:c r="N1207" s="4" t="n">
        <x:f>ROUND(I1207*K1207,2)</x:f>
        <x:v>81</x:v>
      </x:c>
      <x:c r="O1207" s="4" t="n">
        <x:f>ROUND(M1207-N1207,2)</x:f>
        <x:v>48.31</x:v>
      </x:c>
      <x:c r="P1207" s="6" t="n">
        <x:v>3.3</x:v>
      </x:c>
      <x:c r="Q1207" t="str">
        <x:v>No</x:v>
      </x:c>
    </x:row>
    <x:row r="1208">
      <x:c r="A1208" t="str">
        <x:v>ORD-01049</x:v>
      </x:c>
      <x:c r="B1208" s="3" t="n">
        <x:v>45791.263828414354</x:v>
      </x:c>
      <x:c r="C1208" t="str">
        <x:v>2025-05</x:v>
      </x:c>
      <x:c r="D1208" t="str">
        <x:v>CUS-0017</x:v>
      </x:c>
      <x:c r="E1208" t="str">
        <x:v>South East</x:v>
      </x:c>
      <x:c r="F1208" t="str">
        <x:v>Marketplace</x:v>
      </x:c>
      <x:c r="G1208" t="str">
        <x:v>Home</x:v>
      </x:c>
      <x:c r="H1208" t="str">
        <x:v>Air Fryer</x:v>
      </x:c>
      <x:c r="I1208" t="n">
        <x:v>1</x:v>
      </x:c>
      <x:c r="J1208" s="4" t="n">
        <x:v>121.96</x:v>
      </x:c>
      <x:c r="K1208" s="4" t="n">
        <x:v>69</x:v>
      </x:c>
      <x:c r="L1208" s="5" t="n">
        <x:v>0.1</x:v>
      </x:c>
      <x:c r="M1208" s="4" t="n">
        <x:f>ROUND(I1208*J1208*(1-L1208),2)</x:f>
        <x:v>109.76</x:v>
      </x:c>
      <x:c r="N1208" s="4" t="n">
        <x:f>ROUND(I1208*K1208,2)</x:f>
        <x:v>69</x:v>
      </x:c>
      <x:c r="O1208" s="4" t="n">
        <x:f>ROUND(M1208-N1208,2)</x:f>
        <x:v>40.76</x:v>
      </x:c>
      <x:c r="P1208" s="6" t="n">
        <x:v>4.2</x:v>
      </x:c>
      <x:c r="Q1208" t="str">
        <x:v>No</x:v>
      </x:c>
    </x:row>
    <x:row r="1209">
      <x:c r="A1209" t="str">
        <x:v>ORD-01082</x:v>
      </x:c>
      <x:c r="B1209" s="3" t="n">
        <x:v>45791.895074328706</x:v>
      </x:c>
      <x:c r="C1209" t="str">
        <x:v>2025-05</x:v>
      </x:c>
      <x:c r="D1209" t="str">
        <x:v>CUS-0180</x:v>
      </x:c>
      <x:c r="E1209" t="str">
        <x:v>North East</x:v>
      </x:c>
      <x:c r="F1209" t="str">
        <x:v>Store</x:v>
      </x:c>
      <x:c r="G1209" t="str">
        <x:v>Fashion</x:v>
      </x:c>
      <x:c r="H1209" t="str">
        <x:v>Winter Jacket</x:v>
      </x:c>
      <x:c r="I1209" t="n">
        <x:v>1</x:v>
      </x:c>
      <x:c r="J1209" s="4" t="n">
        <x:v>94.5</x:v>
      </x:c>
      <x:c r="K1209" s="4" t="n">
        <x:v>46</x:v>
      </x:c>
      <x:c r="L1209" s="5" t="n">
        <x:v>0</x:v>
      </x:c>
      <x:c r="M1209" s="4" t="n">
        <x:f>ROUND(I1209*J1209*(1-L1209),2)</x:f>
        <x:v>94.5</x:v>
      </x:c>
      <x:c r="N1209" s="4" t="n">
        <x:f>ROUND(I1209*K1209,2)</x:f>
        <x:v>46</x:v>
      </x:c>
      <x:c r="O1209" s="4" t="n">
        <x:f>ROUND(M1209-N1209,2)</x:f>
        <x:v>48.5</x:v>
      </x:c>
      <x:c r="P1209" s="6" t="n">
        <x:v>3.6</x:v>
      </x:c>
      <x:c r="Q1209" t="str">
        <x:v>No</x:v>
      </x:c>
    </x:row>
    <x:row r="1210">
      <x:c r="A1210" t="str">
        <x:v>ORD-01420</x:v>
      </x:c>
      <x:c r="B1210" s="3" t="n">
        <x:v>45792.249899525465</x:v>
      </x:c>
      <x:c r="C1210" t="str">
        <x:v>2025-05</x:v>
      </x:c>
      <x:c r="D1210" t="str">
        <x:v>CUS-0508</x:v>
      </x:c>
      <x:c r="E1210" t="str">
        <x:v>London</x:v>
      </x:c>
      <x:c r="F1210" t="str">
        <x:v>Store</x:v>
      </x:c>
      <x:c r="G1210" t="str">
        <x:v>Fashion</x:v>
      </x:c>
      <x:c r="H1210" t="str">
        <x:v>Backpack</x:v>
      </x:c>
      <x:c r="I1210" t="n">
        <x:v>1</x:v>
      </x:c>
      <x:c r="J1210" s="4" t="n">
        <x:v>50.26</x:v>
      </x:c>
      <x:c r="K1210" s="4" t="n">
        <x:v>21</x:v>
      </x:c>
      <x:c r="L1210" s="5" t="n">
        <x:v>0.2</x:v>
      </x:c>
      <x:c r="M1210" s="4" t="n">
        <x:f>ROUND(I1210*J1210*(1-L1210),2)</x:f>
        <x:v>40.21</x:v>
      </x:c>
      <x:c r="N1210" s="4" t="n">
        <x:f>ROUND(I1210*K1210,2)</x:f>
        <x:v>21</x:v>
      </x:c>
      <x:c r="O1210" s="4" t="n">
        <x:f>ROUND(M1210-N1210,2)</x:f>
        <x:v>19.21</x:v>
      </x:c>
      <x:c r="P1210" s="6" t="n">
        <x:v>4.2</x:v>
      </x:c>
      <x:c r="Q1210" t="str">
        <x:v>No</x:v>
      </x:c>
    </x:row>
    <x:row r="1211">
      <x:c r="A1211" t="str">
        <x:v>ORD-01323</x:v>
      </x:c>
      <x:c r="B1211" s="3" t="n">
        <x:v>45792.49459771991</x:v>
      </x:c>
      <x:c r="C1211" t="str">
        <x:v>2025-05</x:v>
      </x:c>
      <x:c r="D1211" t="str">
        <x:v>CUS-0496</x:v>
      </x:c>
      <x:c r="E1211" t="str">
        <x:v>Scotland</x:v>
      </x:c>
      <x:c r="F1211" t="str">
        <x:v>Store</x:v>
      </x:c>
      <x:c r="G1211" t="str">
        <x:v>Fashion</x:v>
      </x:c>
      <x:c r="H1211" t="str">
        <x:v>Winter Jacket</x:v>
      </x:c>
      <x:c r="I1211" t="n">
        <x:v>5</x:v>
      </x:c>
      <x:c r="J1211" s="4" t="n">
        <x:v>94.97</x:v>
      </x:c>
      <x:c r="K1211" s="4" t="n">
        <x:v>46</x:v>
      </x:c>
      <x:c r="L1211" s="5" t="n">
        <x:v>0.2</x:v>
      </x:c>
      <x:c r="M1211" s="4" t="n">
        <x:f>ROUND(I1211*J1211*(1-L1211),2)</x:f>
        <x:v>379.88</x:v>
      </x:c>
      <x:c r="N1211" s="4" t="n">
        <x:f>ROUND(I1211*K1211,2)</x:f>
        <x:v>230</x:v>
      </x:c>
      <x:c r="O1211" s="4" t="n">
        <x:f>ROUND(M1211-N1211,2)</x:f>
        <x:v>149.88</x:v>
      </x:c>
      <x:c r="P1211" s="6" t="n">
        <x:v>4.5</x:v>
      </x:c>
      <x:c r="Q1211" t="str">
        <x:v>No</x:v>
      </x:c>
    </x:row>
    <x:row r="1212">
      <x:c r="A1212" t="str">
        <x:v>ORD-01272</x:v>
      </x:c>
      <x:c r="B1212" s="3" t="n">
        <x:v>45792.5744006713</x:v>
      </x:c>
      <x:c r="C1212" t="str">
        <x:v>2025-05</x:v>
      </x:c>
      <x:c r="D1212" t="str">
        <x:v>CUS-0105</x:v>
      </x:c>
      <x:c r="E1212" t="str">
        <x:v>Scotland</x:v>
      </x:c>
      <x:c r="F1212" t="str">
        <x:v>Store</x:v>
      </x:c>
      <x:c r="G1212" t="str">
        <x:v>Fashion</x:v>
      </x:c>
      <x:c r="H1212" t="str">
        <x:v>Winter Jacket</x:v>
      </x:c>
      <x:c r="I1212" t="n">
        <x:v>2</x:v>
      </x:c>
      <x:c r="J1212" s="4" t="n">
        <x:v>94.95</x:v>
      </x:c>
      <x:c r="K1212" s="4" t="n">
        <x:v>46</x:v>
      </x:c>
      <x:c r="L1212" s="5" t="n">
        <x:v>0.05</x:v>
      </x:c>
      <x:c r="M1212" s="4" t="n">
        <x:f>ROUND(I1212*J1212*(1-L1212),2)</x:f>
        <x:v>180.41</x:v>
      </x:c>
      <x:c r="N1212" s="4" t="n">
        <x:f>ROUND(I1212*K1212,2)</x:f>
        <x:v>92</x:v>
      </x:c>
      <x:c r="O1212" s="4" t="n">
        <x:f>ROUND(M1212-N1212,2)</x:f>
        <x:v>88.41</x:v>
      </x:c>
      <x:c r="P1212" s="6" t="n">
        <x:v>3.6</x:v>
      </x:c>
      <x:c r="Q1212" t="str">
        <x:v>No</x:v>
      </x:c>
    </x:row>
    <x:row r="1213">
      <x:c r="A1213" t="str">
        <x:v>ORD-00553</x:v>
      </x:c>
      <x:c r="B1213" s="3" t="n">
        <x:v>45792.78007527778</x:v>
      </x:c>
      <x:c r="C1213" t="str">
        <x:v>2025-05</x:v>
      </x:c>
      <x:c r="D1213" t="str">
        <x:v>CUS-0479</x:v>
      </x:c>
      <x:c r="E1213" t="str">
        <x:v>London</x:v>
      </x:c>
      <x:c r="F1213" t="str">
        <x:v>Store</x:v>
      </x:c>
      <x:c r="G1213" t="str">
        <x:v>Sports</x:v>
      </x:c>
      <x:c r="H1213" t="str">
        <x:v>Fitness Tracker</x:v>
      </x:c>
      <x:c r="I1213" t="n">
        <x:v>1</x:v>
      </x:c>
      <x:c r="J1213" s="4" t="n">
        <x:v>55.71</x:v>
      </x:c>
      <x:c r="K1213" s="4" t="n">
        <x:v>27</x:v>
      </x:c>
      <x:c r="L1213" s="5" t="n">
        <x:v>0</x:v>
      </x:c>
      <x:c r="M1213" s="4" t="n">
        <x:f>ROUND(I1213*J1213*(1-L1213),2)</x:f>
        <x:v>55.71</x:v>
      </x:c>
      <x:c r="N1213" s="4" t="n">
        <x:f>ROUND(I1213*K1213,2)</x:f>
        <x:v>27</x:v>
      </x:c>
      <x:c r="O1213" s="4" t="n">
        <x:f>ROUND(M1213-N1213,2)</x:f>
        <x:v>28.71</x:v>
      </x:c>
      <x:c r="P1213" s="6" t="n">
        <x:v>3.9</x:v>
      </x:c>
      <x:c r="Q1213" t="str">
        <x:v>No</x:v>
      </x:c>
    </x:row>
    <x:row r="1214">
      <x:c r="A1214" t="str">
        <x:v>ORD-01035</x:v>
      </x:c>
      <x:c r="B1214" s="3" t="n">
        <x:v>45793.348280335646</x:v>
      </x:c>
      <x:c r="C1214" t="str">
        <x:v>2025-05</x:v>
      </x:c>
      <x:c r="D1214" t="str">
        <x:v>CUS-0333</x:v>
      </x:c>
      <x:c r="E1214" t="str">
        <x:v>North East</x:v>
      </x:c>
      <x:c r="F1214" t="str">
        <x:v>Store</x:v>
      </x:c>
      <x:c r="G1214" t="str">
        <x:v>Electronics</x:v>
      </x:c>
      <x:c r="H1214" t="str">
        <x:v>Bluetooth Speaker</x:v>
      </x:c>
      <x:c r="I1214" t="n">
        <x:v>4</x:v>
      </x:c>
      <x:c r="J1214" s="4" t="n">
        <x:v>68.04</x:v>
      </x:c>
      <x:c r="K1214" s="4" t="n">
        <x:v>34</x:v>
      </x:c>
      <x:c r="L1214" s="5" t="n">
        <x:v>0.2</x:v>
      </x:c>
      <x:c r="M1214" s="4" t="n">
        <x:f>ROUND(I1214*J1214*(1-L1214),2)</x:f>
        <x:v>217.73</x:v>
      </x:c>
      <x:c r="N1214" s="4" t="n">
        <x:f>ROUND(I1214*K1214,2)</x:f>
        <x:v>136</x:v>
      </x:c>
      <x:c r="O1214" s="4" t="n">
        <x:f>ROUND(M1214-N1214,2)</x:f>
        <x:v>81.73</x:v>
      </x:c>
      <x:c r="P1214" s="6" t="n">
        <x:v>4</x:v>
      </x:c>
      <x:c r="Q1214" t="str">
        <x:v>No</x:v>
      </x:c>
    </x:row>
    <x:row r="1215">
      <x:c r="A1215" t="str">
        <x:v>ORD-00752</x:v>
      </x:c>
      <x:c r="B1215" s="3" t="n">
        <x:v>45793.67910865741</x:v>
      </x:c>
      <x:c r="C1215" t="str">
        <x:v>2025-05</x:v>
      </x:c>
      <x:c r="D1215" t="str">
        <x:v>CUS-0416</x:v>
      </x:c>
      <x:c r="E1215" t="str">
        <x:v>London</x:v>
      </x:c>
      <x:c r="F1215" t="str">
        <x:v>Marketplace</x:v>
      </x:c>
      <x:c r="G1215" t="str">
        <x:v>Sports</x:v>
      </x:c>
      <x:c r="H1215" t="str">
        <x:v>Fitness Tracker</x:v>
      </x:c>
      <x:c r="I1215" t="n">
        <x:v>4</x:v>
      </x:c>
      <x:c r="J1215" s="4" t="n">
        <x:v>57.1</x:v>
      </x:c>
      <x:c r="K1215" s="4" t="n">
        <x:v>27</x:v>
      </x:c>
      <x:c r="L1215" s="5" t="n">
        <x:v>0.05</x:v>
      </x:c>
      <x:c r="M1215" s="4" t="n">
        <x:f>ROUND(I1215*J1215*(1-L1215),2)</x:f>
        <x:v>216.98</x:v>
      </x:c>
      <x:c r="N1215" s="4" t="n">
        <x:f>ROUND(I1215*K1215,2)</x:f>
        <x:v>108</x:v>
      </x:c>
      <x:c r="O1215" s="4" t="n">
        <x:f>ROUND(M1215-N1215,2)</x:f>
        <x:v>108.98</x:v>
      </x:c>
      <x:c r="P1215" s="6" t="n">
        <x:v>5</x:v>
      </x:c>
      <x:c r="Q1215" t="str">
        <x:v>No</x:v>
      </x:c>
    </x:row>
    <x:row r="1216">
      <x:c r="A1216" t="str">
        <x:v>ORD-00927</x:v>
      </x:c>
      <x:c r="B1216" s="3" t="n">
        <x:v>45794.77701627315</x:v>
      </x:c>
      <x:c r="C1216" t="str">
        <x:v>2025-05</x:v>
      </x:c>
      <x:c r="D1216" t="str">
        <x:v>CUS-0236</x:v>
      </x:c>
      <x:c r="E1216" t="str">
        <x:v>South East</x:v>
      </x:c>
      <x:c r="F1216" t="str">
        <x:v>Marketplace</x:v>
      </x:c>
      <x:c r="G1216" t="str">
        <x:v>Books</x:v>
      </x:c>
      <x:c r="H1216" t="str">
        <x:v>Data Analytics Handbook</x:v>
      </x:c>
      <x:c r="I1216" t="n">
        <x:v>5</x:v>
      </x:c>
      <x:c r="J1216" s="4" t="n">
        <x:v>38.97</x:v>
      </x:c>
      <x:c r="K1216" s="4" t="n">
        <x:v>14</x:v>
      </x:c>
      <x:c r="L1216" s="5" t="n">
        <x:v>0</x:v>
      </x:c>
      <x:c r="M1216" s="4" t="n">
        <x:f>ROUND(I1216*J1216*(1-L1216),2)</x:f>
        <x:v>194.85</x:v>
      </x:c>
      <x:c r="N1216" s="4" t="n">
        <x:f>ROUND(I1216*K1216,2)</x:f>
        <x:v>70</x:v>
      </x:c>
      <x:c r="O1216" s="4" t="n">
        <x:f>ROUND(M1216-N1216,2)</x:f>
        <x:v>124.85</x:v>
      </x:c>
      <x:c r="P1216" s="6" t="n">
        <x:v>4</x:v>
      </x:c>
      <x:c r="Q1216" t="str">
        <x:v>No</x:v>
      </x:c>
    </x:row>
    <x:row r="1217">
      <x:c r="A1217" t="str">
        <x:v>ORD-01646</x:v>
      </x:c>
      <x:c r="B1217" s="3" t="n">
        <x:v>45795.058957511574</x:v>
      </x:c>
      <x:c r="C1217" t="str">
        <x:v>2025-05</x:v>
      </x:c>
      <x:c r="D1217" t="str">
        <x:v>CUS-0122</x:v>
      </x:c>
      <x:c r="E1217" t="str">
        <x:v>South West</x:v>
      </x:c>
      <x:c r="F1217" t="str">
        <x:v>Store</x:v>
      </x:c>
      <x:c r="G1217" t="str">
        <x:v>Beauty</x:v>
      </x:c>
      <x:c r="H1217" t="str">
        <x:v>Skin Care Set</x:v>
      </x:c>
      <x:c r="I1217" t="n">
        <x:v>5</x:v>
      </x:c>
      <x:c r="J1217" s="4" t="n">
        <x:v>43.71</x:v>
      </x:c>
      <x:c r="K1217" s="4" t="n">
        <x:v>18</x:v>
      </x:c>
      <x:c r="L1217" s="5" t="n">
        <x:v>0</x:v>
      </x:c>
      <x:c r="M1217" s="4" t="n">
        <x:f>ROUND(I1217*J1217*(1-L1217),2)</x:f>
        <x:v>218.55</x:v>
      </x:c>
      <x:c r="N1217" s="4" t="n">
        <x:f>ROUND(I1217*K1217,2)</x:f>
        <x:v>90</x:v>
      </x:c>
      <x:c r="O1217" s="4" t="n">
        <x:f>ROUND(M1217-N1217,2)</x:f>
        <x:v>128.55</x:v>
      </x:c>
      <x:c r="P1217" s="6" t="n">
        <x:v>4.5</x:v>
      </x:c>
      <x:c r="Q1217" t="str">
        <x:v>No</x:v>
      </x:c>
    </x:row>
    <x:row r="1218">
      <x:c r="A1218" t="str">
        <x:v>ORD-01314</x:v>
      </x:c>
      <x:c r="B1218" s="3" t="n">
        <x:v>45795.26641574074</x:v>
      </x:c>
      <x:c r="C1218" t="str">
        <x:v>2025-05</x:v>
      </x:c>
      <x:c r="D1218" t="str">
        <x:v>CUS-0063</x:v>
      </x:c>
      <x:c r="E1218" t="str">
        <x:v>Midlands</x:v>
      </x:c>
      <x:c r="F1218" t="str">
        <x:v>Online</x:v>
      </x:c>
      <x:c r="G1218" t="str">
        <x:v>Beauty</x:v>
      </x:c>
      <x:c r="H1218" t="str">
        <x:v>Hair Dryer</x:v>
      </x:c>
      <x:c r="I1218" t="n">
        <x:v>3</x:v>
      </x:c>
      <x:c r="J1218" s="4" t="n">
        <x:v>61.79</x:v>
      </x:c>
      <x:c r="K1218" s="4" t="n">
        <x:v>29</x:v>
      </x:c>
      <x:c r="L1218" s="5" t="n">
        <x:v>0</x:v>
      </x:c>
      <x:c r="M1218" s="4" t="n">
        <x:f>ROUND(I1218*J1218*(1-L1218),2)</x:f>
        <x:v>185.37</x:v>
      </x:c>
      <x:c r="N1218" s="4" t="n">
        <x:f>ROUND(I1218*K1218,2)</x:f>
        <x:v>87</x:v>
      </x:c>
      <x:c r="O1218" s="4" t="n">
        <x:f>ROUND(M1218-N1218,2)</x:f>
        <x:v>98.37</x:v>
      </x:c>
      <x:c r="P1218" s="6" t="n">
        <x:v>4.6</x:v>
      </x:c>
      <x:c r="Q1218" t="str">
        <x:v>No</x:v>
      </x:c>
    </x:row>
    <x:row r="1219">
      <x:c r="A1219" t="str">
        <x:v>ORD-01196</x:v>
      </x:c>
      <x:c r="B1219" s="3" t="n">
        <x:v>45795.32329396991</x:v>
      </x:c>
      <x:c r="C1219" t="str">
        <x:v>2025-05</x:v>
      </x:c>
      <x:c r="D1219" t="str">
        <x:v>CUS-0036</x:v>
      </x:c>
      <x:c r="E1219" t="str">
        <x:v>London</x:v>
      </x:c>
      <x:c r="F1219" t="str">
        <x:v>Store</x:v>
      </x:c>
      <x:c r="G1219" t="str">
        <x:v>Sports</x:v>
      </x:c>
      <x:c r="H1219" t="str">
        <x:v>Fitness Tracker</x:v>
      </x:c>
      <x:c r="I1219" t="n">
        <x:v>5</x:v>
      </x:c>
      <x:c r="J1219" s="4" t="n">
        <x:v>52.81</x:v>
      </x:c>
      <x:c r="K1219" s="4" t="n">
        <x:v>27</x:v>
      </x:c>
      <x:c r="L1219" s="5" t="n">
        <x:v>0.2</x:v>
      </x:c>
      <x:c r="M1219" s="4" t="n">
        <x:f>ROUND(I1219*J1219*(1-L1219),2)</x:f>
        <x:v>211.24</x:v>
      </x:c>
      <x:c r="N1219" s="4" t="n">
        <x:f>ROUND(I1219*K1219,2)</x:f>
        <x:v>135</x:v>
      </x:c>
      <x:c r="O1219" s="4" t="n">
        <x:f>ROUND(M1219-N1219,2)</x:f>
        <x:v>76.24</x:v>
      </x:c>
      <x:c r="P1219" s="6" t="n">
        <x:v>4.4</x:v>
      </x:c>
      <x:c r="Q1219" t="str">
        <x:v>No</x:v>
      </x:c>
    </x:row>
    <x:row r="1220">
      <x:c r="A1220" t="str">
        <x:v>ORD-00685</x:v>
      </x:c>
      <x:c r="B1220" s="3" t="n">
        <x:v>45795.390509895835</x:v>
      </x:c>
      <x:c r="C1220" t="str">
        <x:v>2025-05</x:v>
      </x:c>
      <x:c r="D1220" t="str">
        <x:v>CUS-0341</x:v>
      </x:c>
      <x:c r="E1220" t="str">
        <x:v>South West</x:v>
      </x:c>
      <x:c r="F1220" t="str">
        <x:v>Online</x:v>
      </x:c>
      <x:c r="G1220" t="str">
        <x:v>Beauty</x:v>
      </x:c>
      <x:c r="H1220" t="str">
        <x:v>Skin Care Set</x:v>
      </x:c>
      <x:c r="I1220" t="n">
        <x:v>1</x:v>
      </x:c>
      <x:c r="J1220" s="4" t="n">
        <x:v>46.42</x:v>
      </x:c>
      <x:c r="K1220" s="4" t="n">
        <x:v>18</x:v>
      </x:c>
      <x:c r="L1220" s="5" t="n">
        <x:v>0.15</x:v>
      </x:c>
      <x:c r="M1220" s="4" t="n">
        <x:f>ROUND(I1220*J1220*(1-L1220),2)</x:f>
        <x:v>39.46</x:v>
      </x:c>
      <x:c r="N1220" s="4" t="n">
        <x:f>ROUND(I1220*K1220,2)</x:f>
        <x:v>18</x:v>
      </x:c>
      <x:c r="O1220" s="4" t="n">
        <x:f>ROUND(M1220-N1220,2)</x:f>
        <x:v>21.46</x:v>
      </x:c>
      <x:c r="P1220" s="6" t="n">
        <x:v>3.9</x:v>
      </x:c>
      <x:c r="Q1220" t="str">
        <x:v>No</x:v>
      </x:c>
    </x:row>
    <x:row r="1221">
      <x:c r="A1221" t="str">
        <x:v>ORD-01032</x:v>
      </x:c>
      <x:c r="B1221" s="3" t="n">
        <x:v>45795.76257273148</x:v>
      </x:c>
      <x:c r="C1221" t="str">
        <x:v>2025-05</x:v>
      </x:c>
      <x:c r="D1221" t="str">
        <x:v>CUS-0615</x:v>
      </x:c>
      <x:c r="E1221" t="str">
        <x:v>London</x:v>
      </x:c>
      <x:c r="F1221" t="str">
        <x:v>Marketplace</x:v>
      </x:c>
      <x:c r="G1221" t="str">
        <x:v>Electronics</x:v>
      </x:c>
      <x:c r="H1221" t="str">
        <x:v>Bluetooth Speaker</x:v>
      </x:c>
      <x:c r="I1221" t="n">
        <x:v>1</x:v>
      </x:c>
      <x:c r="J1221" s="4" t="n">
        <x:v>62.07</x:v>
      </x:c>
      <x:c r="K1221" s="4" t="n">
        <x:v>34</x:v>
      </x:c>
      <x:c r="L1221" s="5" t="n">
        <x:v>0</x:v>
      </x:c>
      <x:c r="M1221" s="4" t="n">
        <x:f>ROUND(I1221*J1221*(1-L1221),2)</x:f>
        <x:v>62.07</x:v>
      </x:c>
      <x:c r="N1221" s="4" t="n">
        <x:f>ROUND(I1221*K1221,2)</x:f>
        <x:v>34</x:v>
      </x:c>
      <x:c r="O1221" s="4" t="n">
        <x:f>ROUND(M1221-N1221,2)</x:f>
        <x:v>28.07</x:v>
      </x:c>
      <x:c r="P1221" s="6" t="n">
        <x:v>3.9</x:v>
      </x:c>
      <x:c r="Q1221" t="str">
        <x:v>No</x:v>
      </x:c>
    </x:row>
    <x:row r="1222">
      <x:c r="A1222" t="str">
        <x:v>ORD-01713</x:v>
      </x:c>
      <x:c r="B1222" s="3" t="n">
        <x:v>45795.94564045139</x:v>
      </x:c>
      <x:c r="C1222" t="str">
        <x:v>2025-05</x:v>
      </x:c>
      <x:c r="D1222" t="str">
        <x:v>CUS-0137</x:v>
      </x:c>
      <x:c r="E1222" t="str">
        <x:v>Midlands</x:v>
      </x:c>
      <x:c r="F1222" t="str">
        <x:v>Marketplace</x:v>
      </x:c>
      <x:c r="G1222" t="str">
        <x:v>Fashion</x:v>
      </x:c>
      <x:c r="H1222" t="str">
        <x:v>Winter Jacket</x:v>
      </x:c>
      <x:c r="I1222" t="n">
        <x:v>3</x:v>
      </x:c>
      <x:c r="J1222" s="4" t="n">
        <x:v>97</x:v>
      </x:c>
      <x:c r="K1222" s="4" t="n">
        <x:v>46</x:v>
      </x:c>
      <x:c r="L1222" s="5" t="n">
        <x:v>0</x:v>
      </x:c>
      <x:c r="M1222" s="4" t="n">
        <x:f>ROUND(I1222*J1222*(1-L1222),2)</x:f>
        <x:v>291</x:v>
      </x:c>
      <x:c r="N1222" s="4" t="n">
        <x:f>ROUND(I1222*K1222,2)</x:f>
        <x:v>138</x:v>
      </x:c>
      <x:c r="O1222" s="4" t="n">
        <x:f>ROUND(M1222-N1222,2)</x:f>
        <x:v>153</x:v>
      </x:c>
      <x:c r="P1222" s="6" t="n">
        <x:v>3.5</x:v>
      </x:c>
      <x:c r="Q1222" t="str">
        <x:v>No</x:v>
      </x:c>
    </x:row>
    <x:row r="1223">
      <x:c r="A1223" t="str">
        <x:v>ORD-00116</x:v>
      </x:c>
      <x:c r="B1223" s="3" t="n">
        <x:v>45796.7464890162</x:v>
      </x:c>
      <x:c r="C1223" t="str">
        <x:v>2025-05</x:v>
      </x:c>
      <x:c r="D1223" t="str">
        <x:v>CUS-0060</x:v>
      </x:c>
      <x:c r="E1223" t="str">
        <x:v>Midlands</x:v>
      </x:c>
      <x:c r="F1223" t="str">
        <x:v>Marketplace</x:v>
      </x:c>
      <x:c r="G1223" t="str">
        <x:v>Fashion</x:v>
      </x:c>
      <x:c r="H1223" t="str">
        <x:v>Backpack</x:v>
      </x:c>
      <x:c r="I1223" t="n">
        <x:v>1</x:v>
      </x:c>
      <x:c r="J1223" s="4" t="n">
        <x:v>50.72</x:v>
      </x:c>
      <x:c r="K1223" s="4" t="n">
        <x:v>21</x:v>
      </x:c>
      <x:c r="L1223" s="5" t="n">
        <x:v>0.1</x:v>
      </x:c>
      <x:c r="M1223" s="4" t="n">
        <x:f>ROUND(I1223*J1223*(1-L1223),2)</x:f>
        <x:v>45.65</x:v>
      </x:c>
      <x:c r="N1223" s="4" t="n">
        <x:f>ROUND(I1223*K1223,2)</x:f>
        <x:v>21</x:v>
      </x:c>
      <x:c r="O1223" s="4" t="n">
        <x:f>ROUND(M1223-N1223,2)</x:f>
        <x:v>24.65</x:v>
      </x:c>
      <x:c r="P1223" s="6" t="n">
        <x:v>4.9</x:v>
      </x:c>
      <x:c r="Q1223" t="str">
        <x:v>No</x:v>
      </x:c>
    </x:row>
    <x:row r="1224">
      <x:c r="A1224" t="str">
        <x:v>ORD-01201</x:v>
      </x:c>
      <x:c r="B1224" s="3" t="n">
        <x:v>45797.07745875</x:v>
      </x:c>
      <x:c r="C1224" t="str">
        <x:v>2025-05</x:v>
      </x:c>
      <x:c r="D1224" t="str">
        <x:v>CUS-0529</x:v>
      </x:c>
      <x:c r="E1224" t="str">
        <x:v>Wales</x:v>
      </x:c>
      <x:c r="F1224" t="str">
        <x:v>Store</x:v>
      </x:c>
      <x:c r="G1224" t="str">
        <x:v>Home</x:v>
      </x:c>
      <x:c r="H1224" t="str">
        <x:v>Desk Lamp</x:v>
      </x:c>
      <x:c r="I1224" t="n">
        <x:v>3</x:v>
      </x:c>
      <x:c r="J1224" s="4" t="n">
        <x:v>34.49</x:v>
      </x:c>
      <x:c r="K1224" s="4" t="n">
        <x:v>17</x:v>
      </x:c>
      <x:c r="L1224" s="5" t="n">
        <x:v>0.15</x:v>
      </x:c>
      <x:c r="M1224" s="4" t="n">
        <x:f>ROUND(I1224*J1224*(1-L1224),2)</x:f>
        <x:v>87.95</x:v>
      </x:c>
      <x:c r="N1224" s="4" t="n">
        <x:f>ROUND(I1224*K1224,2)</x:f>
        <x:v>51</x:v>
      </x:c>
      <x:c r="O1224" s="4" t="n">
        <x:f>ROUND(M1224-N1224,2)</x:f>
        <x:v>36.95</x:v>
      </x:c>
      <x:c r="P1224" s="6" t="n">
        <x:v>5</x:v>
      </x:c>
      <x:c r="Q1224" t="str">
        <x:v>No</x:v>
      </x:c>
    </x:row>
    <x:row r="1225">
      <x:c r="A1225" t="str">
        <x:v>ORD-00198</x:v>
      </x:c>
      <x:c r="B1225" s="3" t="n">
        <x:v>45797.32184081018</x:v>
      </x:c>
      <x:c r="C1225" t="str">
        <x:v>2025-05</x:v>
      </x:c>
      <x:c r="D1225" t="str">
        <x:v>CUS-0066</x:v>
      </x:c>
      <x:c r="E1225" t="str">
        <x:v>Midlands</x:v>
      </x:c>
      <x:c r="F1225" t="str">
        <x:v>Store</x:v>
      </x:c>
      <x:c r="G1225" t="str">
        <x:v>Sports</x:v>
      </x:c>
      <x:c r="H1225" t="str">
        <x:v>Fitness Tracker</x:v>
      </x:c>
      <x:c r="I1225" t="n">
        <x:v>4</x:v>
      </x:c>
      <x:c r="J1225" s="4" t="n">
        <x:v>54.72</x:v>
      </x:c>
      <x:c r="K1225" s="4" t="n">
        <x:v>27</x:v>
      </x:c>
      <x:c r="L1225" s="5" t="n">
        <x:v>0</x:v>
      </x:c>
      <x:c r="M1225" s="4" t="n">
        <x:f>ROUND(I1225*J1225*(1-L1225),2)</x:f>
        <x:v>218.88</x:v>
      </x:c>
      <x:c r="N1225" s="4" t="n">
        <x:f>ROUND(I1225*K1225,2)</x:f>
        <x:v>108</x:v>
      </x:c>
      <x:c r="O1225" s="4" t="n">
        <x:f>ROUND(M1225-N1225,2)</x:f>
        <x:v>110.88</x:v>
      </x:c>
      <x:c r="P1225" s="6" t="n">
        <x:v>4.1</x:v>
      </x:c>
      <x:c r="Q1225" t="str">
        <x:v>No</x:v>
      </x:c>
    </x:row>
    <x:row r="1226">
      <x:c r="A1226" t="str">
        <x:v>ORD-01522</x:v>
      </x:c>
      <x:c r="B1226" s="3" t="n">
        <x:v>45797.370871354164</x:v>
      </x:c>
      <x:c r="C1226" t="str">
        <x:v>2025-05</x:v>
      </x:c>
      <x:c r="D1226" t="str">
        <x:v>CUS-0137</x:v>
      </x:c>
      <x:c r="E1226" t="str">
        <x:v>Wales</x:v>
      </x:c>
      <x:c r="F1226" t="str">
        <x:v>Store</x:v>
      </x:c>
      <x:c r="G1226" t="str">
        <x:v>Home</x:v>
      </x:c>
      <x:c r="H1226" t="str">
        <x:v>Desk Lamp</x:v>
      </x:c>
      <x:c r="I1226" t="n">
        <x:v>1</x:v>
      </x:c>
      <x:c r="J1226" s="4" t="n">
        <x:v>35.46</x:v>
      </x:c>
      <x:c r="K1226" s="4" t="n">
        <x:v>17</x:v>
      </x:c>
      <x:c r="L1226" s="5" t="n">
        <x:v>0</x:v>
      </x:c>
      <x:c r="M1226" s="4" t="n">
        <x:f>ROUND(I1226*J1226*(1-L1226),2)</x:f>
        <x:v>35.46</x:v>
      </x:c>
      <x:c r="N1226" s="4" t="n">
        <x:f>ROUND(I1226*K1226,2)</x:f>
        <x:v>17</x:v>
      </x:c>
      <x:c r="O1226" s="4" t="n">
        <x:f>ROUND(M1226-N1226,2)</x:f>
        <x:v>18.46</x:v>
      </x:c>
      <x:c r="P1226" s="6" t="n">
        <x:v>3.8</x:v>
      </x:c>
      <x:c r="Q1226" t="str">
        <x:v>No</x:v>
      </x:c>
    </x:row>
    <x:row r="1227">
      <x:c r="A1227" t="str">
        <x:v>ORD-00421</x:v>
      </x:c>
      <x:c r="B1227" s="3" t="n">
        <x:v>45797.512144340275</x:v>
      </x:c>
      <x:c r="C1227" t="str">
        <x:v>2025-05</x:v>
      </x:c>
      <x:c r="D1227" t="str">
        <x:v>CUS-0275</x:v>
      </x:c>
      <x:c r="E1227" t="str">
        <x:v>South West</x:v>
      </x:c>
      <x:c r="F1227" t="str">
        <x:v>Online</x:v>
      </x:c>
      <x:c r="G1227" t="str">
        <x:v>Sports</x:v>
      </x:c>
      <x:c r="H1227" t="str">
        <x:v>Yoga Mat</x:v>
      </x:c>
      <x:c r="I1227" t="n">
        <x:v>3</x:v>
      </x:c>
      <x:c r="J1227" s="4" t="n">
        <x:v>31.41</x:v>
      </x:c>
      <x:c r="K1227" s="4" t="n">
        <x:v>12</x:v>
      </x:c>
      <x:c r="L1227" s="5" t="n">
        <x:v>0.05</x:v>
      </x:c>
      <x:c r="M1227" s="4" t="n">
        <x:f>ROUND(I1227*J1227*(1-L1227),2)</x:f>
        <x:v>89.52</x:v>
      </x:c>
      <x:c r="N1227" s="4" t="n">
        <x:f>ROUND(I1227*K1227,2)</x:f>
        <x:v>36</x:v>
      </x:c>
      <x:c r="O1227" s="4" t="n">
        <x:f>ROUND(M1227-N1227,2)</x:f>
        <x:v>53.52</x:v>
      </x:c>
      <x:c r="P1227" s="6" t="n">
        <x:v>3.3</x:v>
      </x:c>
      <x:c r="Q1227" t="str">
        <x:v>No</x:v>
      </x:c>
    </x:row>
    <x:row r="1228">
      <x:c r="A1228" t="str">
        <x:v>ORD-01016</x:v>
      </x:c>
      <x:c r="B1228" s="3" t="n">
        <x:v>45799.04463149305</x:v>
      </x:c>
      <x:c r="C1228" t="str">
        <x:v>2025-05</x:v>
      </x:c>
      <x:c r="D1228" t="str">
        <x:v>CUS-0481</x:v>
      </x:c>
      <x:c r="E1228" t="str">
        <x:v>North West</x:v>
      </x:c>
      <x:c r="F1228" t="str">
        <x:v>Store</x:v>
      </x:c>
      <x:c r="G1228" t="str">
        <x:v>Beauty</x:v>
      </x:c>
      <x:c r="H1228" t="str">
        <x:v>Hair Dryer</x:v>
      </x:c>
      <x:c r="I1228" t="n">
        <x:v>1</x:v>
      </x:c>
      <x:c r="J1228" s="4" t="n">
        <x:v>62.11</x:v>
      </x:c>
      <x:c r="K1228" s="4" t="n">
        <x:v>29</x:v>
      </x:c>
      <x:c r="L1228" s="5" t="n">
        <x:v>0.15</x:v>
      </x:c>
      <x:c r="M1228" s="4" t="n">
        <x:f>ROUND(I1228*J1228*(1-L1228),2)</x:f>
        <x:v>52.79</x:v>
      </x:c>
      <x:c r="N1228" s="4" t="n">
        <x:f>ROUND(I1228*K1228,2)</x:f>
        <x:v>29</x:v>
      </x:c>
      <x:c r="O1228" s="4" t="n">
        <x:f>ROUND(M1228-N1228,2)</x:f>
        <x:v>23.79</x:v>
      </x:c>
      <x:c r="P1228" s="6" t="n">
        <x:v>4.7</x:v>
      </x:c>
      <x:c r="Q1228" t="str">
        <x:v>No</x:v>
      </x:c>
    </x:row>
    <x:row r="1229">
      <x:c r="A1229" t="str">
        <x:v>ORD-00230</x:v>
      </x:c>
      <x:c r="B1229" s="3" t="n">
        <x:v>45799.28438945602</x:v>
      </x:c>
      <x:c r="C1229" t="str">
        <x:v>2025-05</x:v>
      </x:c>
      <x:c r="D1229" t="str">
        <x:v>CUS-0145</x:v>
      </x:c>
      <x:c r="E1229" t="str">
        <x:v>South West</x:v>
      </x:c>
      <x:c r="F1229" t="str">
        <x:v>Online</x:v>
      </x:c>
      <x:c r="G1229" t="str">
        <x:v>Sports</x:v>
      </x:c>
      <x:c r="H1229" t="str">
        <x:v>Fitness Tracker</x:v>
      </x:c>
      <x:c r="I1229" t="n">
        <x:v>4</x:v>
      </x:c>
      <x:c r="J1229" s="4" t="n">
        <x:v>57.07</x:v>
      </x:c>
      <x:c r="K1229" s="4" t="n">
        <x:v>27</x:v>
      </x:c>
      <x:c r="L1229" s="5" t="n">
        <x:v>0.2</x:v>
      </x:c>
      <x:c r="M1229" s="4" t="n">
        <x:f>ROUND(I1229*J1229*(1-L1229),2)</x:f>
        <x:v>182.62</x:v>
      </x:c>
      <x:c r="N1229" s="4" t="n">
        <x:f>ROUND(I1229*K1229,2)</x:f>
        <x:v>108</x:v>
      </x:c>
      <x:c r="O1229" s="4" t="n">
        <x:f>ROUND(M1229-N1229,2)</x:f>
        <x:v>74.62</x:v>
      </x:c>
      <x:c r="P1229" s="6" t="n">
        <x:v>4</x:v>
      </x:c>
      <x:c r="Q1229" t="str">
        <x:v>No</x:v>
      </x:c>
    </x:row>
    <x:row r="1230">
      <x:c r="A1230" t="str">
        <x:v>ORD-01501</x:v>
      </x:c>
      <x:c r="B1230" s="3" t="n">
        <x:v>45799.385002407405</x:v>
      </x:c>
      <x:c r="C1230" t="str">
        <x:v>2025-05</x:v>
      </x:c>
      <x:c r="D1230" t="str">
        <x:v>CUS-0033</x:v>
      </x:c>
      <x:c r="E1230" t="str">
        <x:v>Wales</x:v>
      </x:c>
      <x:c r="F1230" t="str">
        <x:v>Online</x:v>
      </x:c>
      <x:c r="G1230" t="str">
        <x:v>Books</x:v>
      </x:c>
      <x:c r="H1230" t="str">
        <x:v>Data Analytics Handbook</x:v>
      </x:c>
      <x:c r="I1230" t="n">
        <x:v>3</x:v>
      </x:c>
      <x:c r="J1230" s="4" t="n">
        <x:v>38.04</x:v>
      </x:c>
      <x:c r="K1230" s="4" t="n">
        <x:v>14</x:v>
      </x:c>
      <x:c r="L1230" s="5" t="n">
        <x:v>0.05</x:v>
      </x:c>
      <x:c r="M1230" s="4" t="n">
        <x:f>ROUND(I1230*J1230*(1-L1230),2)</x:f>
        <x:v>108.41</x:v>
      </x:c>
      <x:c r="N1230" s="4" t="n">
        <x:f>ROUND(I1230*K1230,2)</x:f>
        <x:v>42</x:v>
      </x:c>
      <x:c r="O1230" s="4" t="n">
        <x:f>ROUND(M1230-N1230,2)</x:f>
        <x:v>66.41</x:v>
      </x:c>
      <x:c r="P1230" s="6" t="n">
        <x:v>4.1</x:v>
      </x:c>
      <x:c r="Q1230" t="str">
        <x:v>No</x:v>
      </x:c>
    </x:row>
    <x:row r="1231">
      <x:c r="A1231" t="str">
        <x:v>ORD-01593</x:v>
      </x:c>
      <x:c r="B1231" s="3" t="n">
        <x:v>45799.65396671296</x:v>
      </x:c>
      <x:c r="C1231" t="str">
        <x:v>2025-05</x:v>
      </x:c>
      <x:c r="D1231" t="str">
        <x:v>CUS-0119</x:v>
      </x:c>
      <x:c r="E1231" t="str">
        <x:v>South East</x:v>
      </x:c>
      <x:c r="F1231" t="str">
        <x:v>Store</x:v>
      </x:c>
      <x:c r="G1231" t="str">
        <x:v>Home</x:v>
      </x:c>
      <x:c r="H1231" t="str">
        <x:v>Coffee Maker</x:v>
      </x:c>
      <x:c r="I1231" t="n">
        <x:v>2</x:v>
      </x:c>
      <x:c r="J1231" s="4" t="n">
        <x:v>77.11</x:v>
      </x:c>
      <x:c r="K1231" s="4" t="n">
        <x:v>41</x:v>
      </x:c>
      <x:c r="L1231" s="5" t="n">
        <x:v>0</x:v>
      </x:c>
      <x:c r="M1231" s="4" t="n">
        <x:f>ROUND(I1231*J1231*(1-L1231),2)</x:f>
        <x:v>154.22</x:v>
      </x:c>
      <x:c r="N1231" s="4" t="n">
        <x:f>ROUND(I1231*K1231,2)</x:f>
        <x:v>82</x:v>
      </x:c>
      <x:c r="O1231" s="4" t="n">
        <x:f>ROUND(M1231-N1231,2)</x:f>
        <x:v>72.22</x:v>
      </x:c>
      <x:c r="P1231" s="6" t="n">
        <x:v>5</x:v>
      </x:c>
      <x:c r="Q1231" t="str">
        <x:v>No</x:v>
      </x:c>
    </x:row>
    <x:row r="1232">
      <x:c r="A1232" t="str">
        <x:v>ORD-00483</x:v>
      </x:c>
      <x:c r="B1232" s="3" t="n">
        <x:v>45799.845104768516</x:v>
      </x:c>
      <x:c r="C1232" t="str">
        <x:v>2025-05</x:v>
      </x:c>
      <x:c r="D1232" t="str">
        <x:v>CUS-0571</x:v>
      </x:c>
      <x:c r="E1232" t="str">
        <x:v>North East</x:v>
      </x:c>
      <x:c r="F1232" t="str">
        <x:v>Store</x:v>
      </x:c>
      <x:c r="G1232" t="str">
        <x:v>Electronics</x:v>
      </x:c>
      <x:c r="H1232" t="str">
        <x:v>Wireless Headphones</x:v>
      </x:c>
      <x:c r="I1232" t="n">
        <x:v>3</x:v>
      </x:c>
      <x:c r="J1232" s="4" t="n">
        <x:v>85.99</x:v>
      </x:c>
      <x:c r="K1232" s="4" t="n">
        <x:v>48</x:v>
      </x:c>
      <x:c r="L1232" s="5" t="n">
        <x:v>0.05</x:v>
      </x:c>
      <x:c r="M1232" s="4" t="n">
        <x:f>ROUND(I1232*J1232*(1-L1232),2)</x:f>
        <x:v>245.07</x:v>
      </x:c>
      <x:c r="N1232" s="4" t="n">
        <x:f>ROUND(I1232*K1232,2)</x:f>
        <x:v>144</x:v>
      </x:c>
      <x:c r="O1232" s="4" t="n">
        <x:f>ROUND(M1232-N1232,2)</x:f>
        <x:v>101.07</x:v>
      </x:c>
      <x:c r="P1232" s="6" t="n">
        <x:v>5</x:v>
      </x:c>
      <x:c r="Q1232" t="str">
        <x:v>No</x:v>
      </x:c>
    </x:row>
    <x:row r="1233">
      <x:c r="A1233" t="str">
        <x:v>ORD-00054</x:v>
      </x:c>
      <x:c r="B1233" s="3" t="n">
        <x:v>45800.007662986114</x:v>
      </x:c>
      <x:c r="C1233" t="str">
        <x:v>2025-05</x:v>
      </x:c>
      <x:c r="D1233" t="str">
        <x:v>CUS-0479</x:v>
      </x:c>
      <x:c r="E1233" t="str">
        <x:v>South West</x:v>
      </x:c>
      <x:c r="F1233" t="str">
        <x:v>Store</x:v>
      </x:c>
      <x:c r="G1233" t="str">
        <x:v>Fashion</x:v>
      </x:c>
      <x:c r="H1233" t="str">
        <x:v>Classic Trainers</x:v>
      </x:c>
      <x:c r="I1233" t="n">
        <x:v>4</x:v>
      </x:c>
      <x:c r="J1233" s="4" t="n">
        <x:v>66.67</x:v>
      </x:c>
      <x:c r="K1233" s="4" t="n">
        <x:v>32</x:v>
      </x:c>
      <x:c r="L1233" s="5" t="n">
        <x:v>0</x:v>
      </x:c>
      <x:c r="M1233" s="4" t="n">
        <x:f>ROUND(I1233*J1233*(1-L1233),2)</x:f>
        <x:v>266.68</x:v>
      </x:c>
      <x:c r="N1233" s="4" t="n">
        <x:f>ROUND(I1233*K1233,2)</x:f>
        <x:v>128</x:v>
      </x:c>
      <x:c r="O1233" s="4" t="n">
        <x:f>ROUND(M1233-N1233,2)</x:f>
        <x:v>138.68</x:v>
      </x:c>
      <x:c r="P1233" s="6" t="n">
        <x:v>4.4</x:v>
      </x:c>
      <x:c r="Q1233" t="str">
        <x:v>No</x:v>
      </x:c>
    </x:row>
    <x:row r="1234">
      <x:c r="A1234" t="str">
        <x:v>ORD-00807</x:v>
      </x:c>
      <x:c r="B1234" s="3" t="n">
        <x:v>45800.22453633102</x:v>
      </x:c>
      <x:c r="C1234" t="str">
        <x:v>2025-05</x:v>
      </x:c>
      <x:c r="D1234" t="str">
        <x:v>CUS-0337</x:v>
      </x:c>
      <x:c r="E1234" t="str">
        <x:v>Wales</x:v>
      </x:c>
      <x:c r="F1234" t="str">
        <x:v>Marketplace</x:v>
      </x:c>
      <x:c r="G1234" t="str">
        <x:v>Home</x:v>
      </x:c>
      <x:c r="H1234" t="str">
        <x:v>Coffee Maker</x:v>
      </x:c>
      <x:c r="I1234" t="n">
        <x:v>5</x:v>
      </x:c>
      <x:c r="J1234" s="4" t="n">
        <x:v>71.95</x:v>
      </x:c>
      <x:c r="K1234" s="4" t="n">
        <x:v>41</x:v>
      </x:c>
      <x:c r="L1234" s="5" t="n">
        <x:v>0.15</x:v>
      </x:c>
      <x:c r="M1234" s="4" t="n">
        <x:f>ROUND(I1234*J1234*(1-L1234),2)</x:f>
        <x:v>305.79</x:v>
      </x:c>
      <x:c r="N1234" s="4" t="n">
        <x:f>ROUND(I1234*K1234,2)</x:f>
        <x:v>205</x:v>
      </x:c>
      <x:c r="O1234" s="4" t="n">
        <x:f>ROUND(M1234-N1234,2)</x:f>
        <x:v>100.79</x:v>
      </x:c>
      <x:c r="P1234" s="6" t="n">
        <x:v>4.9</x:v>
      </x:c>
      <x:c r="Q1234" t="str">
        <x:v>No</x:v>
      </x:c>
    </x:row>
    <x:row r="1235">
      <x:c r="A1235" t="str">
        <x:v>ORD-00815</x:v>
      </x:c>
      <x:c r="B1235" s="3" t="n">
        <x:v>45800.56194813657</x:v>
      </x:c>
      <x:c r="C1235" t="str">
        <x:v>2025-05</x:v>
      </x:c>
      <x:c r="D1235" t="str">
        <x:v>CUS-0289</x:v>
      </x:c>
      <x:c r="E1235" t="str">
        <x:v>Midlands</x:v>
      </x:c>
      <x:c r="F1235" t="str">
        <x:v>Marketplace</x:v>
      </x:c>
      <x:c r="G1235" t="str">
        <x:v>Sports</x:v>
      </x:c>
      <x:c r="H1235" t="str">
        <x:v>Fitness Tracker</x:v>
      </x:c>
      <x:c r="I1235" t="n">
        <x:v>1</x:v>
      </x:c>
      <x:c r="J1235" s="4" t="n">
        <x:v>56.64</x:v>
      </x:c>
      <x:c r="K1235" s="4" t="n">
        <x:v>27</x:v>
      </x:c>
      <x:c r="L1235" s="5" t="n">
        <x:v>0.1</x:v>
      </x:c>
      <x:c r="M1235" s="4" t="n">
        <x:f>ROUND(I1235*J1235*(1-L1235),2)</x:f>
        <x:v>50.98</x:v>
      </x:c>
      <x:c r="N1235" s="4" t="n">
        <x:f>ROUND(I1235*K1235,2)</x:f>
        <x:v>27</x:v>
      </x:c>
      <x:c r="O1235" s="4" t="n">
        <x:f>ROUND(M1235-N1235,2)</x:f>
        <x:v>23.98</x:v>
      </x:c>
      <x:c r="P1235" s="6" t="n">
        <x:v>3.9</x:v>
      </x:c>
      <x:c r="Q1235" t="str">
        <x:v>No</x:v>
      </x:c>
    </x:row>
    <x:row r="1236">
      <x:c r="A1236" t="str">
        <x:v>ORD-01148</x:v>
      </x:c>
      <x:c r="B1236" s="3" t="n">
        <x:v>45800.73148244213</x:v>
      </x:c>
      <x:c r="C1236" t="str">
        <x:v>2025-05</x:v>
      </x:c>
      <x:c r="D1236" t="str">
        <x:v>CUS-0498</x:v>
      </x:c>
      <x:c r="E1236" t="str">
        <x:v>London</x:v>
      </x:c>
      <x:c r="F1236" t="str">
        <x:v>Marketplace</x:v>
      </x:c>
      <x:c r="G1236" t="str">
        <x:v>Electronics</x:v>
      </x:c>
      <x:c r="H1236" t="str">
        <x:v>Bluetooth Speaker</x:v>
      </x:c>
      <x:c r="I1236" t="n">
        <x:v>2</x:v>
      </x:c>
      <x:c r="J1236" s="4" t="n">
        <x:v>62.2</x:v>
      </x:c>
      <x:c r="K1236" s="4" t="n">
        <x:v>34</x:v>
      </x:c>
      <x:c r="L1236" s="5" t="n">
        <x:v>0.05</x:v>
      </x:c>
      <x:c r="M1236" s="4" t="n">
        <x:f>ROUND(I1236*J1236*(1-L1236),2)</x:f>
        <x:v>118.18</x:v>
      </x:c>
      <x:c r="N1236" s="4" t="n">
        <x:f>ROUND(I1236*K1236,2)</x:f>
        <x:v>68</x:v>
      </x:c>
      <x:c r="O1236" s="4" t="n">
        <x:f>ROUND(M1236-N1236,2)</x:f>
        <x:v>50.18</x:v>
      </x:c>
      <x:c r="P1236" s="6" t="n">
        <x:v>4.1</x:v>
      </x:c>
      <x:c r="Q1236" t="str">
        <x:v>No</x:v>
      </x:c>
    </x:row>
    <x:row r="1237">
      <x:c r="A1237" t="str">
        <x:v>ORD-00173</x:v>
      </x:c>
      <x:c r="B1237" s="3" t="n">
        <x:v>45800.961186215274</x:v>
      </x:c>
      <x:c r="C1237" t="str">
        <x:v>2025-05</x:v>
      </x:c>
      <x:c r="D1237" t="str">
        <x:v>CUS-0432</x:v>
      </x:c>
      <x:c r="E1237" t="str">
        <x:v>Scotland</x:v>
      </x:c>
      <x:c r="F1237" t="str">
        <x:v>Online</x:v>
      </x:c>
      <x:c r="G1237" t="str">
        <x:v>Books</x:v>
      </x:c>
      <x:c r="H1237" t="str">
        <x:v>Data Analytics Handbook</x:v>
      </x:c>
      <x:c r="I1237" t="n">
        <x:v>2</x:v>
      </x:c>
      <x:c r="J1237" s="4" t="n">
        <x:v>39.71</x:v>
      </x:c>
      <x:c r="K1237" s="4" t="n">
        <x:v>14</x:v>
      </x:c>
      <x:c r="L1237" s="5" t="n">
        <x:v>0</x:v>
      </x:c>
      <x:c r="M1237" s="4" t="n">
        <x:f>ROUND(I1237*J1237*(1-L1237),2)</x:f>
        <x:v>79.42</x:v>
      </x:c>
      <x:c r="N1237" s="4" t="n">
        <x:f>ROUND(I1237*K1237,2)</x:f>
        <x:v>28</x:v>
      </x:c>
      <x:c r="O1237" s="4" t="n">
        <x:f>ROUND(M1237-N1237,2)</x:f>
        <x:v>51.42</x:v>
      </x:c>
      <x:c r="P1237" s="6" t="n">
        <x:v>5</x:v>
      </x:c>
      <x:c r="Q1237" t="str">
        <x:v>No</x:v>
      </x:c>
    </x:row>
    <x:row r="1238">
      <x:c r="A1238" t="str">
        <x:v>ORD-01449</x:v>
      </x:c>
      <x:c r="B1238" s="3" t="n">
        <x:v>45802.019066423614</x:v>
      </x:c>
      <x:c r="C1238" t="str">
        <x:v>2025-05</x:v>
      </x:c>
      <x:c r="D1238" t="str">
        <x:v>CUS-0201</x:v>
      </x:c>
      <x:c r="E1238" t="str">
        <x:v>Midlands</x:v>
      </x:c>
      <x:c r="F1238" t="str">
        <x:v>Store</x:v>
      </x:c>
      <x:c r="G1238" t="str">
        <x:v>Electronics</x:v>
      </x:c>
      <x:c r="H1238" t="str">
        <x:v>Wireless Headphones</x:v>
      </x:c>
      <x:c r="I1238" t="n">
        <x:v>3</x:v>
      </x:c>
      <x:c r="J1238" s="4" t="n">
        <x:v>88.77</x:v>
      </x:c>
      <x:c r="K1238" s="4" t="n">
        <x:v>48</x:v>
      </x:c>
      <x:c r="L1238" s="5" t="n">
        <x:v>0</x:v>
      </x:c>
      <x:c r="M1238" s="4" t="n">
        <x:f>ROUND(I1238*J1238*(1-L1238),2)</x:f>
        <x:v>266.31</x:v>
      </x:c>
      <x:c r="N1238" s="4" t="n">
        <x:f>ROUND(I1238*K1238,2)</x:f>
        <x:v>144</x:v>
      </x:c>
      <x:c r="O1238" s="4" t="n">
        <x:f>ROUND(M1238-N1238,2)</x:f>
        <x:v>122.31</x:v>
      </x:c>
      <x:c r="P1238" s="6" t="n">
        <x:v>3.7</x:v>
      </x:c>
      <x:c r="Q1238" t="str">
        <x:v>No</x:v>
      </x:c>
    </x:row>
    <x:row r="1239">
      <x:c r="A1239" t="str">
        <x:v>ORD-01494</x:v>
      </x:c>
      <x:c r="B1239" s="3" t="n">
        <x:v>45802.089041238425</x:v>
      </x:c>
      <x:c r="C1239" t="str">
        <x:v>2025-05</x:v>
      </x:c>
      <x:c r="D1239" t="str">
        <x:v>CUS-0253</x:v>
      </x:c>
      <x:c r="E1239" t="str">
        <x:v>South West</x:v>
      </x:c>
      <x:c r="F1239" t="str">
        <x:v>Store</x:v>
      </x:c>
      <x:c r="G1239" t="str">
        <x:v>Fashion</x:v>
      </x:c>
      <x:c r="H1239" t="str">
        <x:v>Winter Jacket</x:v>
      </x:c>
      <x:c r="I1239" t="n">
        <x:v>1</x:v>
      </x:c>
      <x:c r="J1239" s="4" t="n">
        <x:v>99.06</x:v>
      </x:c>
      <x:c r="K1239" s="4" t="n">
        <x:v>46</x:v>
      </x:c>
      <x:c r="L1239" s="5" t="n">
        <x:v>0</x:v>
      </x:c>
      <x:c r="M1239" s="4" t="n">
        <x:f>ROUND(I1239*J1239*(1-L1239),2)</x:f>
        <x:v>99.06</x:v>
      </x:c>
      <x:c r="N1239" s="4" t="n">
        <x:f>ROUND(I1239*K1239,2)</x:f>
        <x:v>46</x:v>
      </x:c>
      <x:c r="O1239" s="4" t="n">
        <x:f>ROUND(M1239-N1239,2)</x:f>
        <x:v>53.06</x:v>
      </x:c>
      <x:c r="P1239" s="6" t="n">
        <x:v>3.3</x:v>
      </x:c>
      <x:c r="Q1239" t="str">
        <x:v>No</x:v>
      </x:c>
    </x:row>
    <x:row r="1240">
      <x:c r="A1240" t="str">
        <x:v>ORD-01787</x:v>
      </x:c>
      <x:c r="B1240" s="3" t="n">
        <x:v>45802.12195521991</x:v>
      </x:c>
      <x:c r="C1240" t="str">
        <x:v>2025-05</x:v>
      </x:c>
      <x:c r="D1240" t="str">
        <x:v>CUS-0452</x:v>
      </x:c>
      <x:c r="E1240" t="str">
        <x:v>South West</x:v>
      </x:c>
      <x:c r="F1240" t="str">
        <x:v>Online</x:v>
      </x:c>
      <x:c r="G1240" t="str">
        <x:v>Fashion</x:v>
      </x:c>
      <x:c r="H1240" t="str">
        <x:v>Backpack</x:v>
      </x:c>
      <x:c r="I1240" t="n">
        <x:v>5</x:v>
      </x:c>
      <x:c r="J1240" s="4" t="n">
        <x:v>48.23</x:v>
      </x:c>
      <x:c r="K1240" s="4" t="n">
        <x:v>21</x:v>
      </x:c>
      <x:c r="L1240" s="5" t="n">
        <x:v>0.15</x:v>
      </x:c>
      <x:c r="M1240" s="4" t="n">
        <x:f>ROUND(I1240*J1240*(1-L1240),2)</x:f>
        <x:v>204.98</x:v>
      </x:c>
      <x:c r="N1240" s="4" t="n">
        <x:f>ROUND(I1240*K1240,2)</x:f>
        <x:v>105</x:v>
      </x:c>
      <x:c r="O1240" s="4" t="n">
        <x:f>ROUND(M1240-N1240,2)</x:f>
        <x:v>99.98</x:v>
      </x:c>
      <x:c r="P1240" s="6" t="n">
        <x:v>3.7</x:v>
      </x:c>
      <x:c r="Q1240" t="str">
        <x:v>No</x:v>
      </x:c>
    </x:row>
    <x:row r="1241">
      <x:c r="A1241" t="str">
        <x:v>ORD-00794</x:v>
      </x:c>
      <x:c r="B1241" s="3" t="n">
        <x:v>45802.296287349534</x:v>
      </x:c>
      <x:c r="C1241" t="str">
        <x:v>2025-05</x:v>
      </x:c>
      <x:c r="D1241" t="str">
        <x:v>CUS-0235</x:v>
      </x:c>
      <x:c r="E1241" t="str">
        <x:v>Scotland</x:v>
      </x:c>
      <x:c r="F1241" t="str">
        <x:v>Online</x:v>
      </x:c>
      <x:c r="G1241" t="str">
        <x:v>Electronics</x:v>
      </x:c>
      <x:c r="H1241" t="str">
        <x:v>Bluetooth Speaker</x:v>
      </x:c>
      <x:c r="I1241" t="n">
        <x:v>3</x:v>
      </x:c>
      <x:c r="J1241" s="4" t="n">
        <x:v>63.79</x:v>
      </x:c>
      <x:c r="K1241" s="4" t="n">
        <x:v>34</x:v>
      </x:c>
      <x:c r="L1241" s="5" t="n">
        <x:v>0.05</x:v>
      </x:c>
      <x:c r="M1241" s="4" t="n">
        <x:f>ROUND(I1241*J1241*(1-L1241),2)</x:f>
        <x:v>181.8</x:v>
      </x:c>
      <x:c r="N1241" s="4" t="n">
        <x:f>ROUND(I1241*K1241,2)</x:f>
        <x:v>102</x:v>
      </x:c>
      <x:c r="O1241" s="4" t="n">
        <x:f>ROUND(M1241-N1241,2)</x:f>
        <x:v>79.8</x:v>
      </x:c>
      <x:c r="P1241" s="6" t="n">
        <x:v>3.9</x:v>
      </x:c>
      <x:c r="Q1241" t="str">
        <x:v>No</x:v>
      </x:c>
    </x:row>
    <x:row r="1242">
      <x:c r="A1242" t="str">
        <x:v>ORD-00117</x:v>
      </x:c>
      <x:c r="B1242" s="3" t="n">
        <x:v>45803.686611909725</x:v>
      </x:c>
      <x:c r="C1242" t="str">
        <x:v>2025-05</x:v>
      </x:c>
      <x:c r="D1242" t="str">
        <x:v>CUS-0273</x:v>
      </x:c>
      <x:c r="E1242" t="str">
        <x:v>Midlands</x:v>
      </x:c>
      <x:c r="F1242" t="str">
        <x:v>Online</x:v>
      </x:c>
      <x:c r="G1242" t="str">
        <x:v>Home</x:v>
      </x:c>
      <x:c r="H1242" t="str">
        <x:v>Desk Lamp</x:v>
      </x:c>
      <x:c r="I1242" t="n">
        <x:v>1</x:v>
      </x:c>
      <x:c r="J1242" s="4" t="n">
        <x:v>33.64</x:v>
      </x:c>
      <x:c r="K1242" s="4" t="n">
        <x:v>17</x:v>
      </x:c>
      <x:c r="L1242" s="5" t="n">
        <x:v>0.15</x:v>
      </x:c>
      <x:c r="M1242" s="4" t="n">
        <x:f>ROUND(I1242*J1242*(1-L1242),2)</x:f>
        <x:v>28.59</x:v>
      </x:c>
      <x:c r="N1242" s="4" t="n">
        <x:f>ROUND(I1242*K1242,2)</x:f>
        <x:v>17</x:v>
      </x:c>
      <x:c r="O1242" s="4" t="n">
        <x:f>ROUND(M1242-N1242,2)</x:f>
        <x:v>11.59</x:v>
      </x:c>
      <x:c r="P1242" s="6" t="n">
        <x:v>3.3</x:v>
      </x:c>
      <x:c r="Q1242" t="str">
        <x:v>No</x:v>
      </x:c>
    </x:row>
    <x:row r="1243">
      <x:c r="A1243" t="str">
        <x:v>ORD-00524</x:v>
      </x:c>
      <x:c r="B1243" s="3" t="n">
        <x:v>45804.894353171294</x:v>
      </x:c>
      <x:c r="C1243" t="str">
        <x:v>2025-05</x:v>
      </x:c>
      <x:c r="D1243" t="str">
        <x:v>CUS-0452</x:v>
      </x:c>
      <x:c r="E1243" t="str">
        <x:v>Scotland</x:v>
      </x:c>
      <x:c r="F1243" t="str">
        <x:v>Marketplace</x:v>
      </x:c>
      <x:c r="G1243" t="str">
        <x:v>Electronics</x:v>
      </x:c>
      <x:c r="H1243" t="str">
        <x:v>Bluetooth Speaker</x:v>
      </x:c>
      <x:c r="I1243" t="n">
        <x:v>5</x:v>
      </x:c>
      <x:c r="J1243" s="4" t="n">
        <x:v>66.61</x:v>
      </x:c>
      <x:c r="K1243" s="4" t="n">
        <x:v>34</x:v>
      </x:c>
      <x:c r="L1243" s="5" t="n">
        <x:v>0.05</x:v>
      </x:c>
      <x:c r="M1243" s="4" t="n">
        <x:f>ROUND(I1243*J1243*(1-L1243),2)</x:f>
        <x:v>316.4</x:v>
      </x:c>
      <x:c r="N1243" s="4" t="n">
        <x:f>ROUND(I1243*K1243,2)</x:f>
        <x:v>170</x:v>
      </x:c>
      <x:c r="O1243" s="4" t="n">
        <x:f>ROUND(M1243-N1243,2)</x:f>
        <x:v>146.4</x:v>
      </x:c>
      <x:c r="P1243" s="6" t="n">
        <x:v>3.8</x:v>
      </x:c>
      <x:c r="Q1243" t="str">
        <x:v>No</x:v>
      </x:c>
    </x:row>
    <x:row r="1244">
      <x:c r="A1244" t="str">
        <x:v>ORD-01504</x:v>
      </x:c>
      <x:c r="B1244" s="3" t="n">
        <x:v>45805.7093065625</x:v>
      </x:c>
      <x:c r="C1244" t="str">
        <x:v>2025-05</x:v>
      </x:c>
      <x:c r="D1244" t="str">
        <x:v>CUS-0399</x:v>
      </x:c>
      <x:c r="E1244" t="str">
        <x:v>Wales</x:v>
      </x:c>
      <x:c r="F1244" t="str">
        <x:v>Online</x:v>
      </x:c>
      <x:c r="G1244" t="str">
        <x:v>Sports</x:v>
      </x:c>
      <x:c r="H1244" t="str">
        <x:v>Running Shoes</x:v>
      </x:c>
      <x:c r="I1244" t="n">
        <x:v>3</x:v>
      </x:c>
      <x:c r="J1244" s="4" t="n">
        <x:v>80.18</x:v>
      </x:c>
      <x:c r="K1244" s="4" t="n">
        <x:v>38</x:v>
      </x:c>
      <x:c r="L1244" s="5" t="n">
        <x:v>0</x:v>
      </x:c>
      <x:c r="M1244" s="4" t="n">
        <x:f>ROUND(I1244*J1244*(1-L1244),2)</x:f>
        <x:v>240.54</x:v>
      </x:c>
      <x:c r="N1244" s="4" t="n">
        <x:f>ROUND(I1244*K1244,2)</x:f>
        <x:v>114</x:v>
      </x:c>
      <x:c r="O1244" s="4" t="n">
        <x:f>ROUND(M1244-N1244,2)</x:f>
        <x:v>126.54</x:v>
      </x:c>
      <x:c r="P1244" s="6" t="n">
        <x:v>4</x:v>
      </x:c>
      <x:c r="Q1244" t="str">
        <x:v>No</x:v>
      </x:c>
    </x:row>
    <x:row r="1245">
      <x:c r="A1245" t="str">
        <x:v>ORD-01693</x:v>
      </x:c>
      <x:c r="B1245" s="3" t="n">
        <x:v>45805.758790231484</x:v>
      </x:c>
      <x:c r="C1245" t="str">
        <x:v>2025-05</x:v>
      </x:c>
      <x:c r="D1245" t="str">
        <x:v>CUS-0560</x:v>
      </x:c>
      <x:c r="E1245" t="str">
        <x:v>South West</x:v>
      </x:c>
      <x:c r="F1245" t="str">
        <x:v>Online</x:v>
      </x:c>
      <x:c r="G1245" t="str">
        <x:v>Home</x:v>
      </x:c>
      <x:c r="H1245" t="str">
        <x:v>Air Fryer</x:v>
      </x:c>
      <x:c r="I1245" t="n">
        <x:v>5</x:v>
      </x:c>
      <x:c r="J1245" s="4" t="n">
        <x:v>118.73</x:v>
      </x:c>
      <x:c r="K1245" s="4" t="n">
        <x:v>69</x:v>
      </x:c>
      <x:c r="L1245" s="5" t="n">
        <x:v>0.2</x:v>
      </x:c>
      <x:c r="M1245" s="4" t="n">
        <x:f>ROUND(I1245*J1245*(1-L1245),2)</x:f>
        <x:v>474.92</x:v>
      </x:c>
      <x:c r="N1245" s="4" t="n">
        <x:f>ROUND(I1245*K1245,2)</x:f>
        <x:v>345</x:v>
      </x:c>
      <x:c r="O1245" s="4" t="n">
        <x:f>ROUND(M1245-N1245,2)</x:f>
        <x:v>129.92</x:v>
      </x:c>
      <x:c r="P1245" s="6" t="n">
        <x:v>3.3</x:v>
      </x:c>
      <x:c r="Q1245" t="str">
        <x:v>Yes</x:v>
      </x:c>
    </x:row>
    <x:row r="1246">
      <x:c r="A1246" t="str">
        <x:v>ORD-00307</x:v>
      </x:c>
      <x:c r="B1246" s="3" t="n">
        <x:v>45806.051901307874</x:v>
      </x:c>
      <x:c r="C1246" t="str">
        <x:v>2025-05</x:v>
      </x:c>
      <x:c r="D1246" t="str">
        <x:v>CUS-0378</x:v>
      </x:c>
      <x:c r="E1246" t="str">
        <x:v>South East</x:v>
      </x:c>
      <x:c r="F1246" t="str">
        <x:v>Marketplace</x:v>
      </x:c>
      <x:c r="G1246" t="str">
        <x:v>Fashion</x:v>
      </x:c>
      <x:c r="H1246" t="str">
        <x:v>Winter Jacket</x:v>
      </x:c>
      <x:c r="I1246" t="n">
        <x:v>4</x:v>
      </x:c>
      <x:c r="J1246" s="4" t="n">
        <x:v>90.3</x:v>
      </x:c>
      <x:c r="K1246" s="4" t="n">
        <x:v>46</x:v>
      </x:c>
      <x:c r="L1246" s="5" t="n">
        <x:v>0.15</x:v>
      </x:c>
      <x:c r="M1246" s="4" t="n">
        <x:f>ROUND(I1246*J1246*(1-L1246),2)</x:f>
        <x:v>307.02</x:v>
      </x:c>
      <x:c r="N1246" s="4" t="n">
        <x:f>ROUND(I1246*K1246,2)</x:f>
        <x:v>184</x:v>
      </x:c>
      <x:c r="O1246" s="4" t="n">
        <x:f>ROUND(M1246-N1246,2)</x:f>
        <x:v>123.02</x:v>
      </x:c>
      <x:c r="P1246" s="6" t="n">
        <x:v>3.4</x:v>
      </x:c>
      <x:c r="Q1246" t="str">
        <x:v>No</x:v>
      </x:c>
    </x:row>
    <x:row r="1247">
      <x:c r="A1247" t="str">
        <x:v>ORD-01725</x:v>
      </x:c>
      <x:c r="B1247" s="3" t="n">
        <x:v>45806.41312539352</x:v>
      </x:c>
      <x:c r="C1247" t="str">
        <x:v>2025-05</x:v>
      </x:c>
      <x:c r="D1247" t="str">
        <x:v>CUS-0509</x:v>
      </x:c>
      <x:c r="E1247" t="str">
        <x:v>North West</x:v>
      </x:c>
      <x:c r="F1247" t="str">
        <x:v>Marketplace</x:v>
      </x:c>
      <x:c r="G1247" t="str">
        <x:v>Home</x:v>
      </x:c>
      <x:c r="H1247" t="str">
        <x:v>Coffee Maker</x:v>
      </x:c>
      <x:c r="I1247" t="n">
        <x:v>3</x:v>
      </x:c>
      <x:c r="J1247" s="4" t="n">
        <x:v>76.52</x:v>
      </x:c>
      <x:c r="K1247" s="4" t="n">
        <x:v>41</x:v>
      </x:c>
      <x:c r="L1247" s="5" t="n">
        <x:v>0</x:v>
      </x:c>
      <x:c r="M1247" s="4" t="n">
        <x:f>ROUND(I1247*J1247*(1-L1247),2)</x:f>
        <x:v>229.56</x:v>
      </x:c>
      <x:c r="N1247" s="4" t="n">
        <x:f>ROUND(I1247*K1247,2)</x:f>
        <x:v>123</x:v>
      </x:c>
      <x:c r="O1247" s="4" t="n">
        <x:f>ROUND(M1247-N1247,2)</x:f>
        <x:v>106.56</x:v>
      </x:c>
      <x:c r="P1247" s="6" t="n">
        <x:v>4.2</x:v>
      </x:c>
      <x:c r="Q1247" t="str">
        <x:v>No</x:v>
      </x:c>
    </x:row>
    <x:row r="1248">
      <x:c r="A1248" t="str">
        <x:v>ORD-01789</x:v>
      </x:c>
      <x:c r="B1248" s="3" t="n">
        <x:v>45808.89973611111</x:v>
      </x:c>
      <x:c r="C1248" t="str">
        <x:v>2025-05</x:v>
      </x:c>
      <x:c r="D1248" t="str">
        <x:v>CUS-0310</x:v>
      </x:c>
      <x:c r="E1248" t="str">
        <x:v>South East</x:v>
      </x:c>
      <x:c r="F1248" t="str">
        <x:v>Online</x:v>
      </x:c>
      <x:c r="G1248" t="str">
        <x:v>Electronics</x:v>
      </x:c>
      <x:c r="H1248" t="str">
        <x:v>Bluetooth Speaker</x:v>
      </x:c>
      <x:c r="I1248" t="n">
        <x:v>1</x:v>
      </x:c>
      <x:c r="J1248" s="4" t="n">
        <x:v>66.48</x:v>
      </x:c>
      <x:c r="K1248" s="4" t="n">
        <x:v>34</x:v>
      </x:c>
      <x:c r="L1248" s="5" t="n">
        <x:v>0</x:v>
      </x:c>
      <x:c r="M1248" s="4" t="n">
        <x:f>ROUND(I1248*J1248*(1-L1248),2)</x:f>
        <x:v>66.48</x:v>
      </x:c>
      <x:c r="N1248" s="4" t="n">
        <x:f>ROUND(I1248*K1248,2)</x:f>
        <x:v>34</x:v>
      </x:c>
      <x:c r="O1248" s="4" t="n">
        <x:f>ROUND(M1248-N1248,2)</x:f>
        <x:v>32.48</x:v>
      </x:c>
      <x:c r="P1248" s="6" t="n">
        <x:v>4.2</x:v>
      </x:c>
      <x:c r="Q1248" t="str">
        <x:v>No</x:v>
      </x:c>
    </x:row>
    <x:row r="1249">
      <x:c r="A1249" t="str">
        <x:v>ORD-00540</x:v>
      </x:c>
      <x:c r="B1249" s="3" t="n">
        <x:v>45809.516921724535</x:v>
      </x:c>
      <x:c r="C1249" t="str">
        <x:v>2025-06</x:v>
      </x:c>
      <x:c r="D1249" t="str">
        <x:v>CUS-0406</x:v>
      </x:c>
      <x:c r="E1249" t="str">
        <x:v>Midlands</x:v>
      </x:c>
      <x:c r="F1249" t="str">
        <x:v>Marketplace</x:v>
      </x:c>
      <x:c r="G1249" t="str">
        <x:v>Sports</x:v>
      </x:c>
      <x:c r="H1249" t="str">
        <x:v>Running Shoes</x:v>
      </x:c>
      <x:c r="I1249" t="n">
        <x:v>3</x:v>
      </x:c>
      <x:c r="J1249" s="4" t="n">
        <x:v>78.97</x:v>
      </x:c>
      <x:c r="K1249" s="4" t="n">
        <x:v>38</x:v>
      </x:c>
      <x:c r="L1249" s="5" t="n">
        <x:v>0</x:v>
      </x:c>
      <x:c r="M1249" s="4" t="n">
        <x:f>ROUND(I1249*J1249*(1-L1249),2)</x:f>
        <x:v>236.91</x:v>
      </x:c>
      <x:c r="N1249" s="4" t="n">
        <x:f>ROUND(I1249*K1249,2)</x:f>
        <x:v>114</x:v>
      </x:c>
      <x:c r="O1249" s="4" t="n">
        <x:f>ROUND(M1249-N1249,2)</x:f>
        <x:v>122.91</x:v>
      </x:c>
      <x:c r="P1249" s="6" t="n">
        <x:v>4.1</x:v>
      </x:c>
      <x:c r="Q1249" t="str">
        <x:v>No</x:v>
      </x:c>
    </x:row>
    <x:row r="1250">
      <x:c r="A1250" t="str">
        <x:v>ORD-01672</x:v>
      </x:c>
      <x:c r="B1250" s="3" t="n">
        <x:v>45809.55624922454</x:v>
      </x:c>
      <x:c r="C1250" t="str">
        <x:v>2025-06</x:v>
      </x:c>
      <x:c r="D1250" t="str">
        <x:v>CUS-0451</x:v>
      </x:c>
      <x:c r="E1250" t="str">
        <x:v>London</x:v>
      </x:c>
      <x:c r="F1250" t="str">
        <x:v>Store</x:v>
      </x:c>
      <x:c r="G1250" t="str">
        <x:v>Electronics</x:v>
      </x:c>
      <x:c r="H1250" t="str">
        <x:v>Smart Watch</x:v>
      </x:c>
      <x:c r="I1250" t="n">
        <x:v>5</x:v>
      </x:c>
      <x:c r="J1250" s="4" t="n">
        <x:v>157.86</x:v>
      </x:c>
      <x:c r="K1250" s="4" t="n">
        <x:v>92</x:v>
      </x:c>
      <x:c r="L1250" s="5" t="n">
        <x:v>0.1</x:v>
      </x:c>
      <x:c r="M1250" s="4" t="n">
        <x:f>ROUND(I1250*J1250*(1-L1250),2)</x:f>
        <x:v>710.37</x:v>
      </x:c>
      <x:c r="N1250" s="4" t="n">
        <x:f>ROUND(I1250*K1250,2)</x:f>
        <x:v>460</x:v>
      </x:c>
      <x:c r="O1250" s="4" t="n">
        <x:f>ROUND(M1250-N1250,2)</x:f>
        <x:v>250.37</x:v>
      </x:c>
      <x:c r="P1250" s="6" t="n">
        <x:v>3.4</x:v>
      </x:c>
      <x:c r="Q1250" t="str">
        <x:v>No</x:v>
      </x:c>
    </x:row>
    <x:row r="1251">
      <x:c r="A1251" t="str">
        <x:v>ORD-00348</x:v>
      </x:c>
      <x:c r="B1251" s="3" t="n">
        <x:v>45809.569418217594</x:v>
      </x:c>
      <x:c r="C1251" t="str">
        <x:v>2025-06</x:v>
      </x:c>
      <x:c r="D1251" t="str">
        <x:v>CUS-0295</x:v>
      </x:c>
      <x:c r="E1251" t="str">
        <x:v>North West</x:v>
      </x:c>
      <x:c r="F1251" t="str">
        <x:v>Marketplace</x:v>
      </x:c>
      <x:c r="G1251" t="str">
        <x:v>Electronics</x:v>
      </x:c>
      <x:c r="H1251" t="str">
        <x:v>Bluetooth Speaker</x:v>
      </x:c>
      <x:c r="I1251" t="n">
        <x:v>4</x:v>
      </x:c>
      <x:c r="J1251" s="4" t="n">
        <x:v>64.31</x:v>
      </x:c>
      <x:c r="K1251" s="4" t="n">
        <x:v>34</x:v>
      </x:c>
      <x:c r="L1251" s="5" t="n">
        <x:v>0.15</x:v>
      </x:c>
      <x:c r="M1251" s="4" t="n">
        <x:f>ROUND(I1251*J1251*(1-L1251),2)</x:f>
        <x:v>218.65</x:v>
      </x:c>
      <x:c r="N1251" s="4" t="n">
        <x:f>ROUND(I1251*K1251,2)</x:f>
        <x:v>136</x:v>
      </x:c>
      <x:c r="O1251" s="4" t="n">
        <x:f>ROUND(M1251-N1251,2)</x:f>
        <x:v>82.65</x:v>
      </x:c>
      <x:c r="P1251" s="6" t="n">
        <x:v>5</x:v>
      </x:c>
      <x:c r="Q1251" t="str">
        <x:v>No</x:v>
      </x:c>
    </x:row>
    <x:row r="1252">
      <x:c r="A1252" t="str">
        <x:v>ORD-00252</x:v>
      </x:c>
      <x:c r="B1252" s="3" t="n">
        <x:v>45809.739080011575</x:v>
      </x:c>
      <x:c r="C1252" t="str">
        <x:v>2025-06</x:v>
      </x:c>
      <x:c r="D1252" t="str">
        <x:v>CUS-0056</x:v>
      </x:c>
      <x:c r="E1252" t="str">
        <x:v>North East</x:v>
      </x:c>
      <x:c r="F1252" t="str">
        <x:v>Online</x:v>
      </x:c>
      <x:c r="G1252" t="str">
        <x:v>Books</x:v>
      </x:c>
      <x:c r="H1252" t="str">
        <x:v>Business Intelligence Guide</x:v>
      </x:c>
      <x:c r="I1252" t="n">
        <x:v>5</x:v>
      </x:c>
      <x:c r="J1252" s="4" t="n">
        <x:v>34.74</x:v>
      </x:c>
      <x:c r="K1252" s="4" t="n">
        <x:v>12</x:v>
      </x:c>
      <x:c r="L1252" s="5" t="n">
        <x:v>0</x:v>
      </x:c>
      <x:c r="M1252" s="4" t="n">
        <x:f>ROUND(I1252*J1252*(1-L1252),2)</x:f>
        <x:v>173.7</x:v>
      </x:c>
      <x:c r="N1252" s="4" t="n">
        <x:f>ROUND(I1252*K1252,2)</x:f>
        <x:v>60</x:v>
      </x:c>
      <x:c r="O1252" s="4" t="n">
        <x:f>ROUND(M1252-N1252,2)</x:f>
        <x:v>113.7</x:v>
      </x:c>
      <x:c r="P1252" s="6" t="n">
        <x:v>4.9</x:v>
      </x:c>
      <x:c r="Q1252" t="str">
        <x:v>No</x:v>
      </x:c>
    </x:row>
    <x:row r="1253">
      <x:c r="A1253" t="str">
        <x:v>ORD-00032</x:v>
      </x:c>
      <x:c r="B1253" s="3" t="n">
        <x:v>45810.026876585645</x:v>
      </x:c>
      <x:c r="C1253" t="str">
        <x:v>2025-06</x:v>
      </x:c>
      <x:c r="D1253" t="str">
        <x:v>CUS-0081</x:v>
      </x:c>
      <x:c r="E1253" t="str">
        <x:v>South West</x:v>
      </x:c>
      <x:c r="F1253" t="str">
        <x:v>Online</x:v>
      </x:c>
      <x:c r="G1253" t="str">
        <x:v>Home</x:v>
      </x:c>
      <x:c r="H1253" t="str">
        <x:v>Coffee Maker</x:v>
      </x:c>
      <x:c r="I1253" t="n">
        <x:v>3</x:v>
      </x:c>
      <x:c r="J1253" s="4" t="n">
        <x:v>75.82</x:v>
      </x:c>
      <x:c r="K1253" s="4" t="n">
        <x:v>41</x:v>
      </x:c>
      <x:c r="L1253" s="5" t="n">
        <x:v>0.05</x:v>
      </x:c>
      <x:c r="M1253" s="4" t="n">
        <x:f>ROUND(I1253*J1253*(1-L1253),2)</x:f>
        <x:v>216.09</x:v>
      </x:c>
      <x:c r="N1253" s="4" t="n">
        <x:f>ROUND(I1253*K1253,2)</x:f>
        <x:v>123</x:v>
      </x:c>
      <x:c r="O1253" s="4" t="n">
        <x:f>ROUND(M1253-N1253,2)</x:f>
        <x:v>93.09</x:v>
      </x:c>
      <x:c r="P1253" s="6" t="n">
        <x:v>4.9</x:v>
      </x:c>
      <x:c r="Q1253" t="str">
        <x:v>No</x:v>
      </x:c>
    </x:row>
    <x:row r="1254">
      <x:c r="A1254" t="str">
        <x:v>ORD-00651</x:v>
      </x:c>
      <x:c r="B1254" s="3" t="n">
        <x:v>45810.78090145833</x:v>
      </x:c>
      <x:c r="C1254" t="str">
        <x:v>2025-06</x:v>
      </x:c>
      <x:c r="D1254" t="str">
        <x:v>CUS-0295</x:v>
      </x:c>
      <x:c r="E1254" t="str">
        <x:v>South East</x:v>
      </x:c>
      <x:c r="F1254" t="str">
        <x:v>Online</x:v>
      </x:c>
      <x:c r="G1254" t="str">
        <x:v>Sports</x:v>
      </x:c>
      <x:c r="H1254" t="str">
        <x:v>Fitness Tracker</x:v>
      </x:c>
      <x:c r="I1254" t="n">
        <x:v>2</x:v>
      </x:c>
      <x:c r="J1254" s="4" t="n">
        <x:v>57.64</x:v>
      </x:c>
      <x:c r="K1254" s="4" t="n">
        <x:v>27</x:v>
      </x:c>
      <x:c r="L1254" s="5" t="n">
        <x:v>0</x:v>
      </x:c>
      <x:c r="M1254" s="4" t="n">
        <x:f>ROUND(I1254*J1254*(1-L1254),2)</x:f>
        <x:v>115.28</x:v>
      </x:c>
      <x:c r="N1254" s="4" t="n">
        <x:f>ROUND(I1254*K1254,2)</x:f>
        <x:v>54</x:v>
      </x:c>
      <x:c r="O1254" s="4" t="n">
        <x:f>ROUND(M1254-N1254,2)</x:f>
        <x:v>61.28</x:v>
      </x:c>
      <x:c r="P1254" s="6" t="n">
        <x:v>3.4</x:v>
      </x:c>
      <x:c r="Q1254" t="str">
        <x:v>No</x:v>
      </x:c>
    </x:row>
    <x:row r="1255">
      <x:c r="A1255" t="str">
        <x:v>ORD-00600</x:v>
      </x:c>
      <x:c r="B1255" s="3" t="n">
        <x:v>45811.28111145833</x:v>
      </x:c>
      <x:c r="C1255" t="str">
        <x:v>2025-06</x:v>
      </x:c>
      <x:c r="D1255" t="str">
        <x:v>CUS-0543</x:v>
      </x:c>
      <x:c r="E1255" t="str">
        <x:v>Midlands</x:v>
      </x:c>
      <x:c r="F1255" t="str">
        <x:v>Marketplace</x:v>
      </x:c>
      <x:c r="G1255" t="str">
        <x:v>Electronics</x:v>
      </x:c>
      <x:c r="H1255" t="str">
        <x:v>Smart Watch</x:v>
      </x:c>
      <x:c r="I1255" t="n">
        <x:v>5</x:v>
      </x:c>
      <x:c r="J1255" s="4" t="n">
        <x:v>166.78</x:v>
      </x:c>
      <x:c r="K1255" s="4" t="n">
        <x:v>92</x:v>
      </x:c>
      <x:c r="L1255" s="5" t="n">
        <x:v>0</x:v>
      </x:c>
      <x:c r="M1255" s="4" t="n">
        <x:f>ROUND(I1255*J1255*(1-L1255),2)</x:f>
        <x:v>833.9</x:v>
      </x:c>
      <x:c r="N1255" s="4" t="n">
        <x:f>ROUND(I1255*K1255,2)</x:f>
        <x:v>460</x:v>
      </x:c>
      <x:c r="O1255" s="4" t="n">
        <x:f>ROUND(M1255-N1255,2)</x:f>
        <x:v>373.9</x:v>
      </x:c>
      <x:c r="P1255" s="6" t="n">
        <x:v>3.8</x:v>
      </x:c>
      <x:c r="Q1255" t="str">
        <x:v>No</x:v>
      </x:c>
    </x:row>
    <x:row r="1256">
      <x:c r="A1256" t="str">
        <x:v>ORD-01546</x:v>
      </x:c>
      <x:c r="B1256" s="3" t="n">
        <x:v>45811.63635001158</x:v>
      </x:c>
      <x:c r="C1256" t="str">
        <x:v>2025-06</x:v>
      </x:c>
      <x:c r="D1256" t="str">
        <x:v>CUS-0426</x:v>
      </x:c>
      <x:c r="E1256" t="str">
        <x:v>South East</x:v>
      </x:c>
      <x:c r="F1256" t="str">
        <x:v>Marketplace</x:v>
      </x:c>
      <x:c r="G1256" t="str">
        <x:v>Electronics</x:v>
      </x:c>
      <x:c r="H1256" t="str">
        <x:v>Smart Watch</x:v>
      </x:c>
      <x:c r="I1256" t="n">
        <x:v>3</x:v>
      </x:c>
      <x:c r="J1256" s="4" t="n">
        <x:v>152.85</x:v>
      </x:c>
      <x:c r="K1256" s="4" t="n">
        <x:v>92</x:v>
      </x:c>
      <x:c r="L1256" s="5" t="n">
        <x:v>0</x:v>
      </x:c>
      <x:c r="M1256" s="4" t="n">
        <x:f>ROUND(I1256*J1256*(1-L1256),2)</x:f>
        <x:v>458.55</x:v>
      </x:c>
      <x:c r="N1256" s="4" t="n">
        <x:f>ROUND(I1256*K1256,2)</x:f>
        <x:v>276</x:v>
      </x:c>
      <x:c r="O1256" s="4" t="n">
        <x:f>ROUND(M1256-N1256,2)</x:f>
        <x:v>182.55</x:v>
      </x:c>
      <x:c r="P1256" s="6" t="n">
        <x:v>4</x:v>
      </x:c>
      <x:c r="Q1256" t="str">
        <x:v>No</x:v>
      </x:c>
    </x:row>
    <x:row r="1257">
      <x:c r="A1257" t="str">
        <x:v>ORD-01171</x:v>
      </x:c>
      <x:c r="B1257" s="3" t="n">
        <x:v>45811.82763594908</x:v>
      </x:c>
      <x:c r="C1257" t="str">
        <x:v>2025-06</x:v>
      </x:c>
      <x:c r="D1257" t="str">
        <x:v>CUS-0260</x:v>
      </x:c>
      <x:c r="E1257" t="str">
        <x:v>Midlands</x:v>
      </x:c>
      <x:c r="F1257" t="str">
        <x:v>Online</x:v>
      </x:c>
      <x:c r="G1257" t="str">
        <x:v>Home</x:v>
      </x:c>
      <x:c r="H1257" t="str">
        <x:v>Air Fryer</x:v>
      </x:c>
      <x:c r="I1257" t="n">
        <x:v>4</x:v>
      </x:c>
      <x:c r="J1257" s="4" t="n">
        <x:v>120.36</x:v>
      </x:c>
      <x:c r="K1257" s="4" t="n">
        <x:v>69</x:v>
      </x:c>
      <x:c r="L1257" s="5" t="n">
        <x:v>0</x:v>
      </x:c>
      <x:c r="M1257" s="4" t="n">
        <x:f>ROUND(I1257*J1257*(1-L1257),2)</x:f>
        <x:v>481.44</x:v>
      </x:c>
      <x:c r="N1257" s="4" t="n">
        <x:f>ROUND(I1257*K1257,2)</x:f>
        <x:v>276</x:v>
      </x:c>
      <x:c r="O1257" s="4" t="n">
        <x:f>ROUND(M1257-N1257,2)</x:f>
        <x:v>205.44</x:v>
      </x:c>
      <x:c r="P1257" s="6" t="n">
        <x:v>3.6</x:v>
      </x:c>
      <x:c r="Q1257" t="str">
        <x:v>No</x:v>
      </x:c>
    </x:row>
    <x:row r="1258">
      <x:c r="A1258" t="str">
        <x:v>ORD-01553</x:v>
      </x:c>
      <x:c r="B1258" s="3" t="n">
        <x:v>45812.10127840278</x:v>
      </x:c>
      <x:c r="C1258" t="str">
        <x:v>2025-06</x:v>
      </x:c>
      <x:c r="D1258" t="str">
        <x:v>CUS-0261</x:v>
      </x:c>
      <x:c r="E1258" t="str">
        <x:v>Midlands</x:v>
      </x:c>
      <x:c r="F1258" t="str">
        <x:v>Store</x:v>
      </x:c>
      <x:c r="G1258" t="str">
        <x:v>Home</x:v>
      </x:c>
      <x:c r="H1258" t="str">
        <x:v>Coffee Maker</x:v>
      </x:c>
      <x:c r="I1258" t="n">
        <x:v>5</x:v>
      </x:c>
      <x:c r="J1258" s="4" t="n">
        <x:v>72.29</x:v>
      </x:c>
      <x:c r="K1258" s="4" t="n">
        <x:v>41</x:v>
      </x:c>
      <x:c r="L1258" s="5" t="n">
        <x:v>0.2</x:v>
      </x:c>
      <x:c r="M1258" s="4" t="n">
        <x:f>ROUND(I1258*J1258*(1-L1258),2)</x:f>
        <x:v>289.16</x:v>
      </x:c>
      <x:c r="N1258" s="4" t="n">
        <x:f>ROUND(I1258*K1258,2)</x:f>
        <x:v>205</x:v>
      </x:c>
      <x:c r="O1258" s="4" t="n">
        <x:f>ROUND(M1258-N1258,2)</x:f>
        <x:v>84.16</x:v>
      </x:c>
      <x:c r="P1258" s="6" t="n">
        <x:v>4.3</x:v>
      </x:c>
      <x:c r="Q1258" t="str">
        <x:v>No</x:v>
      </x:c>
    </x:row>
    <x:row r="1259">
      <x:c r="A1259" t="str">
        <x:v>ORD-01665</x:v>
      </x:c>
      <x:c r="B1259" s="3" t="n">
        <x:v>45812.55579295139</x:v>
      </x:c>
      <x:c r="C1259" t="str">
        <x:v>2025-06</x:v>
      </x:c>
      <x:c r="D1259" t="str">
        <x:v>CUS-0319</x:v>
      </x:c>
      <x:c r="E1259" t="str">
        <x:v>North East</x:v>
      </x:c>
      <x:c r="F1259" t="str">
        <x:v>Marketplace</x:v>
      </x:c>
      <x:c r="G1259" t="str">
        <x:v>Fashion</x:v>
      </x:c>
      <x:c r="H1259" t="str">
        <x:v>Winter Jacket</x:v>
      </x:c>
      <x:c r="I1259" t="n">
        <x:v>5</x:v>
      </x:c>
      <x:c r="J1259" s="4" t="n">
        <x:v>92.45</x:v>
      </x:c>
      <x:c r="K1259" s="4" t="n">
        <x:v>46</x:v>
      </x:c>
      <x:c r="L1259" s="5" t="n">
        <x:v>0.05</x:v>
      </x:c>
      <x:c r="M1259" s="4" t="n">
        <x:f>ROUND(I1259*J1259*(1-L1259),2)</x:f>
        <x:v>439.14</x:v>
      </x:c>
      <x:c r="N1259" s="4" t="n">
        <x:f>ROUND(I1259*K1259,2)</x:f>
        <x:v>230</x:v>
      </x:c>
      <x:c r="O1259" s="4" t="n">
        <x:f>ROUND(M1259-N1259,2)</x:f>
        <x:v>209.14</x:v>
      </x:c>
      <x:c r="P1259" s="6" t="n">
        <x:v>3.8</x:v>
      </x:c>
      <x:c r="Q1259" t="str">
        <x:v>Yes</x:v>
      </x:c>
    </x:row>
    <x:row r="1260">
      <x:c r="A1260" t="str">
        <x:v>ORD-00789</x:v>
      </x:c>
      <x:c r="B1260" s="3" t="n">
        <x:v>45812.65114408565</x:v>
      </x:c>
      <x:c r="C1260" t="str">
        <x:v>2025-06</x:v>
      </x:c>
      <x:c r="D1260" t="str">
        <x:v>CUS-0179</x:v>
      </x:c>
      <x:c r="E1260" t="str">
        <x:v>North West</x:v>
      </x:c>
      <x:c r="F1260" t="str">
        <x:v>Online</x:v>
      </x:c>
      <x:c r="G1260" t="str">
        <x:v>Books</x:v>
      </x:c>
      <x:c r="H1260" t="str">
        <x:v>Business Intelligence Guide</x:v>
      </x:c>
      <x:c r="I1260" t="n">
        <x:v>4</x:v>
      </x:c>
      <x:c r="J1260" s="4" t="n">
        <x:v>34.69</x:v>
      </x:c>
      <x:c r="K1260" s="4" t="n">
        <x:v>12</x:v>
      </x:c>
      <x:c r="L1260" s="5" t="n">
        <x:v>0.15</x:v>
      </x:c>
      <x:c r="M1260" s="4" t="n">
        <x:f>ROUND(I1260*J1260*(1-L1260),2)</x:f>
        <x:v>117.95</x:v>
      </x:c>
      <x:c r="N1260" s="4" t="n">
        <x:f>ROUND(I1260*K1260,2)</x:f>
        <x:v>48</x:v>
      </x:c>
      <x:c r="O1260" s="4" t="n">
        <x:f>ROUND(M1260-N1260,2)</x:f>
        <x:v>69.95</x:v>
      </x:c>
      <x:c r="P1260" s="6" t="n">
        <x:v>4.9</x:v>
      </x:c>
      <x:c r="Q1260" t="str">
        <x:v>No</x:v>
      </x:c>
    </x:row>
    <x:row r="1261">
      <x:c r="A1261" t="str">
        <x:v>ORD-01670</x:v>
      </x:c>
      <x:c r="B1261" s="3" t="n">
        <x:v>45813.12150119213</x:v>
      </x:c>
      <x:c r="C1261" t="str">
        <x:v>2025-06</x:v>
      </x:c>
      <x:c r="D1261" t="str">
        <x:v>CUS-0213</x:v>
      </x:c>
      <x:c r="E1261" t="str">
        <x:v>South East</x:v>
      </x:c>
      <x:c r="F1261" t="str">
        <x:v>Online</x:v>
      </x:c>
      <x:c r="G1261" t="str">
        <x:v>Sports</x:v>
      </x:c>
      <x:c r="H1261" t="str">
        <x:v>Yoga Mat</x:v>
      </x:c>
      <x:c r="I1261" t="n">
        <x:v>1</x:v>
      </x:c>
      <x:c r="J1261" s="4" t="n">
        <x:v>30.9</x:v>
      </x:c>
      <x:c r="K1261" s="4" t="n">
        <x:v>12</x:v>
      </x:c>
      <x:c r="L1261" s="5" t="n">
        <x:v>0.2</x:v>
      </x:c>
      <x:c r="M1261" s="4" t="n">
        <x:f>ROUND(I1261*J1261*(1-L1261),2)</x:f>
        <x:v>24.72</x:v>
      </x:c>
      <x:c r="N1261" s="4" t="n">
        <x:f>ROUND(I1261*K1261,2)</x:f>
        <x:v>12</x:v>
      </x:c>
      <x:c r="O1261" s="4" t="n">
        <x:f>ROUND(M1261-N1261,2)</x:f>
        <x:v>12.72</x:v>
      </x:c>
      <x:c r="P1261" s="6" t="n">
        <x:v>5</x:v>
      </x:c>
      <x:c r="Q1261" t="str">
        <x:v>No</x:v>
      </x:c>
    </x:row>
    <x:row r="1262">
      <x:c r="A1262" t="str">
        <x:v>ORD-01613</x:v>
      </x:c>
      <x:c r="B1262" s="3" t="n">
        <x:v>45813.19246657407</x:v>
      </x:c>
      <x:c r="C1262" t="str">
        <x:v>2025-06</x:v>
      </x:c>
      <x:c r="D1262" t="str">
        <x:v>CUS-0318</x:v>
      </x:c>
      <x:c r="E1262" t="str">
        <x:v>Midlands</x:v>
      </x:c>
      <x:c r="F1262" t="str">
        <x:v>Marketplace</x:v>
      </x:c>
      <x:c r="G1262" t="str">
        <x:v>Home</x:v>
      </x:c>
      <x:c r="H1262" t="str">
        <x:v>Air Fryer</x:v>
      </x:c>
      <x:c r="I1262" t="n">
        <x:v>2</x:v>
      </x:c>
      <x:c r="J1262" s="4" t="n">
        <x:v>115.15</x:v>
      </x:c>
      <x:c r="K1262" s="4" t="n">
        <x:v>69</x:v>
      </x:c>
      <x:c r="L1262" s="5" t="n">
        <x:v>0.05</x:v>
      </x:c>
      <x:c r="M1262" s="4" t="n">
        <x:f>ROUND(I1262*J1262*(1-L1262),2)</x:f>
        <x:v>218.79</x:v>
      </x:c>
      <x:c r="N1262" s="4" t="n">
        <x:f>ROUND(I1262*K1262,2)</x:f>
        <x:v>138</x:v>
      </x:c>
      <x:c r="O1262" s="4" t="n">
        <x:f>ROUND(M1262-N1262,2)</x:f>
        <x:v>80.79</x:v>
      </x:c>
      <x:c r="P1262" s="6" t="n">
        <x:v>5</x:v>
      </x:c>
      <x:c r="Q1262" t="str">
        <x:v>No</x:v>
      </x:c>
    </x:row>
    <x:row r="1263">
      <x:c r="A1263" t="str">
        <x:v>ORD-01414</x:v>
      </x:c>
      <x:c r="B1263" s="3" t="n">
        <x:v>45813.294067372684</x:v>
      </x:c>
      <x:c r="C1263" t="str">
        <x:v>2025-06</x:v>
      </x:c>
      <x:c r="D1263" t="str">
        <x:v>CUS-0322</x:v>
      </x:c>
      <x:c r="E1263" t="str">
        <x:v>North West</x:v>
      </x:c>
      <x:c r="F1263" t="str">
        <x:v>Store</x:v>
      </x:c>
      <x:c r="G1263" t="str">
        <x:v>Books</x:v>
      </x:c>
      <x:c r="H1263" t="str">
        <x:v>Business Intelligence Guide</x:v>
      </x:c>
      <x:c r="I1263" t="n">
        <x:v>2</x:v>
      </x:c>
      <x:c r="J1263" s="4" t="n">
        <x:v>34.54</x:v>
      </x:c>
      <x:c r="K1263" s="4" t="n">
        <x:v>12</x:v>
      </x:c>
      <x:c r="L1263" s="5" t="n">
        <x:v>0.05</x:v>
      </x:c>
      <x:c r="M1263" s="4" t="n">
        <x:f>ROUND(I1263*J1263*(1-L1263),2)</x:f>
        <x:v>65.63</x:v>
      </x:c>
      <x:c r="N1263" s="4" t="n">
        <x:f>ROUND(I1263*K1263,2)</x:f>
        <x:v>24</x:v>
      </x:c>
      <x:c r="O1263" s="4" t="n">
        <x:f>ROUND(M1263-N1263,2)</x:f>
        <x:v>41.63</x:v>
      </x:c>
      <x:c r="P1263" s="6" t="n">
        <x:v>4.1</x:v>
      </x:c>
      <x:c r="Q1263" t="str">
        <x:v>No</x:v>
      </x:c>
    </x:row>
    <x:row r="1264">
      <x:c r="A1264" t="str">
        <x:v>ORD-00208</x:v>
      </x:c>
      <x:c r="B1264" s="3" t="n">
        <x:v>45813.38697303241</x:v>
      </x:c>
      <x:c r="C1264" t="str">
        <x:v>2025-06</x:v>
      </x:c>
      <x:c r="D1264" t="str">
        <x:v>CUS-0331</x:v>
      </x:c>
      <x:c r="E1264" t="str">
        <x:v>North East</x:v>
      </x:c>
      <x:c r="F1264" t="str">
        <x:v>Online</x:v>
      </x:c>
      <x:c r="G1264" t="str">
        <x:v>Beauty</x:v>
      </x:c>
      <x:c r="H1264" t="str">
        <x:v>Hair Dryer</x:v>
      </x:c>
      <x:c r="I1264" t="n">
        <x:v>5</x:v>
      </x:c>
      <x:c r="J1264" s="4" t="n">
        <x:v>62.75</x:v>
      </x:c>
      <x:c r="K1264" s="4" t="n">
        <x:v>29</x:v>
      </x:c>
      <x:c r="L1264" s="5" t="n">
        <x:v>0</x:v>
      </x:c>
      <x:c r="M1264" s="4" t="n">
        <x:f>ROUND(I1264*J1264*(1-L1264),2)</x:f>
        <x:v>313.75</x:v>
      </x:c>
      <x:c r="N1264" s="4" t="n">
        <x:f>ROUND(I1264*K1264,2)</x:f>
        <x:v>145</x:v>
      </x:c>
      <x:c r="O1264" s="4" t="n">
        <x:f>ROUND(M1264-N1264,2)</x:f>
        <x:v>168.75</x:v>
      </x:c>
      <x:c r="P1264" s="6" t="n">
        <x:v>5</x:v>
      </x:c>
      <x:c r="Q1264" t="str">
        <x:v>No</x:v>
      </x:c>
    </x:row>
    <x:row r="1265">
      <x:c r="A1265" t="str">
        <x:v>ORD-01595</x:v>
      </x:c>
      <x:c r="B1265" s="3" t="n">
        <x:v>45813.41414011574</x:v>
      </x:c>
      <x:c r="C1265" t="str">
        <x:v>2025-06</x:v>
      </x:c>
      <x:c r="D1265" t="str">
        <x:v>CUS-0391</x:v>
      </x:c>
      <x:c r="E1265" t="str">
        <x:v>Midlands</x:v>
      </x:c>
      <x:c r="F1265" t="str">
        <x:v>Online</x:v>
      </x:c>
      <x:c r="G1265" t="str">
        <x:v>Beauty</x:v>
      </x:c>
      <x:c r="H1265" t="str">
        <x:v>Skin Care Set</x:v>
      </x:c>
      <x:c r="I1265" t="n">
        <x:v>5</x:v>
      </x:c>
      <x:c r="J1265" s="4" t="n">
        <x:v>45.36</x:v>
      </x:c>
      <x:c r="K1265" s="4" t="n">
        <x:v>18</x:v>
      </x:c>
      <x:c r="L1265" s="5" t="n">
        <x:v>0.1</x:v>
      </x:c>
      <x:c r="M1265" s="4" t="n">
        <x:f>ROUND(I1265*J1265*(1-L1265),2)</x:f>
        <x:v>204.12</x:v>
      </x:c>
      <x:c r="N1265" s="4" t="n">
        <x:f>ROUND(I1265*K1265,2)</x:f>
        <x:v>90</x:v>
      </x:c>
      <x:c r="O1265" s="4" t="n">
        <x:f>ROUND(M1265-N1265,2)</x:f>
        <x:v>114.12</x:v>
      </x:c>
      <x:c r="P1265" s="6" t="n">
        <x:v>4.3</x:v>
      </x:c>
      <x:c r="Q1265" t="str">
        <x:v>No</x:v>
      </x:c>
    </x:row>
    <x:row r="1266">
      <x:c r="A1266" t="str">
        <x:v>ORD-00935</x:v>
      </x:c>
      <x:c r="B1266" s="3" t="n">
        <x:v>45814.42704585648</x:v>
      </x:c>
      <x:c r="C1266" t="str">
        <x:v>2025-06</x:v>
      </x:c>
      <x:c r="D1266" t="str">
        <x:v>CUS-0254</x:v>
      </x:c>
      <x:c r="E1266" t="str">
        <x:v>North East</x:v>
      </x:c>
      <x:c r="F1266" t="str">
        <x:v>Store</x:v>
      </x:c>
      <x:c r="G1266" t="str">
        <x:v>Home</x:v>
      </x:c>
      <x:c r="H1266" t="str">
        <x:v>Desk Lamp</x:v>
      </x:c>
      <x:c r="I1266" t="n">
        <x:v>2</x:v>
      </x:c>
      <x:c r="J1266" s="4" t="n">
        <x:v>35.65</x:v>
      </x:c>
      <x:c r="K1266" s="4" t="n">
        <x:v>17</x:v>
      </x:c>
      <x:c r="L1266" s="5" t="n">
        <x:v>0</x:v>
      </x:c>
      <x:c r="M1266" s="4" t="n">
        <x:f>ROUND(I1266*J1266*(1-L1266),2)</x:f>
        <x:v>71.3</x:v>
      </x:c>
      <x:c r="N1266" s="4" t="n">
        <x:f>ROUND(I1266*K1266,2)</x:f>
        <x:v>34</x:v>
      </x:c>
      <x:c r="O1266" s="4" t="n">
        <x:f>ROUND(M1266-N1266,2)</x:f>
        <x:v>37.3</x:v>
      </x:c>
      <x:c r="P1266" s="6" t="n">
        <x:v>4.3</x:v>
      </x:c>
      <x:c r="Q1266" t="str">
        <x:v>No</x:v>
      </x:c>
    </x:row>
    <x:row r="1267">
      <x:c r="A1267" t="str">
        <x:v>ORD-01000</x:v>
      </x:c>
      <x:c r="B1267" s="3" t="n">
        <x:v>45814.89486842592</x:v>
      </x:c>
      <x:c r="C1267" t="str">
        <x:v>2025-06</x:v>
      </x:c>
      <x:c r="D1267" t="str">
        <x:v>CUS-0522</x:v>
      </x:c>
      <x:c r="E1267" t="str">
        <x:v>North West</x:v>
      </x:c>
      <x:c r="F1267" t="str">
        <x:v>Store</x:v>
      </x:c>
      <x:c r="G1267" t="str">
        <x:v>Electronics</x:v>
      </x:c>
      <x:c r="H1267" t="str">
        <x:v>Smart Watch</x:v>
      </x:c>
      <x:c r="I1267" t="n">
        <x:v>1</x:v>
      </x:c>
      <x:c r="J1267" s="4" t="n">
        <x:v>153.43</x:v>
      </x:c>
      <x:c r="K1267" s="4" t="n">
        <x:v>92</x:v>
      </x:c>
      <x:c r="L1267" s="5" t="n">
        <x:v>0.15</x:v>
      </x:c>
      <x:c r="M1267" s="4" t="n">
        <x:f>ROUND(I1267*J1267*(1-L1267),2)</x:f>
        <x:v>130.42</x:v>
      </x:c>
      <x:c r="N1267" s="4" t="n">
        <x:f>ROUND(I1267*K1267,2)</x:f>
        <x:v>92</x:v>
      </x:c>
      <x:c r="O1267" s="4" t="n">
        <x:f>ROUND(M1267-N1267,2)</x:f>
        <x:v>38.42</x:v>
      </x:c>
      <x:c r="P1267" s="6" t="n">
        <x:v>3.7</x:v>
      </x:c>
      <x:c r="Q1267" t="str">
        <x:v>No</x:v>
      </x:c>
    </x:row>
    <x:row r="1268">
      <x:c r="A1268" t="str">
        <x:v>ORD-00451</x:v>
      </x:c>
      <x:c r="B1268" s="3" t="n">
        <x:v>45816.08867923611</x:v>
      </x:c>
      <x:c r="C1268" t="str">
        <x:v>2025-06</x:v>
      </x:c>
      <x:c r="D1268" t="str">
        <x:v>CUS-0208</x:v>
      </x:c>
      <x:c r="E1268" t="str">
        <x:v>Wales</x:v>
      </x:c>
      <x:c r="F1268" t="str">
        <x:v>Marketplace</x:v>
      </x:c>
      <x:c r="G1268" t="str">
        <x:v>Electronics</x:v>
      </x:c>
      <x:c r="H1268" t="str">
        <x:v>Bluetooth Speaker</x:v>
      </x:c>
      <x:c r="I1268" t="n">
        <x:v>4</x:v>
      </x:c>
      <x:c r="J1268" s="4" t="n">
        <x:v>67.35</x:v>
      </x:c>
      <x:c r="K1268" s="4" t="n">
        <x:v>34</x:v>
      </x:c>
      <x:c r="L1268" s="5" t="n">
        <x:v>0.2</x:v>
      </x:c>
      <x:c r="M1268" s="4" t="n">
        <x:f>ROUND(I1268*J1268*(1-L1268),2)</x:f>
        <x:v>215.52</x:v>
      </x:c>
      <x:c r="N1268" s="4" t="n">
        <x:f>ROUND(I1268*K1268,2)</x:f>
        <x:v>136</x:v>
      </x:c>
      <x:c r="O1268" s="4" t="n">
        <x:f>ROUND(M1268-N1268,2)</x:f>
        <x:v>79.52</x:v>
      </x:c>
      <x:c r="P1268" s="6" t="n">
        <x:v>5</x:v>
      </x:c>
      <x:c r="Q1268" t="str">
        <x:v>No</x:v>
      </x:c>
    </x:row>
    <x:row r="1269">
      <x:c r="A1269" t="str">
        <x:v>ORD-01428</x:v>
      </x:c>
      <x:c r="B1269" s="3" t="n">
        <x:v>45816.482135405095</x:v>
      </x:c>
      <x:c r="C1269" t="str">
        <x:v>2025-06</x:v>
      </x:c>
      <x:c r="D1269" t="str">
        <x:v>CUS-0339</x:v>
      </x:c>
      <x:c r="E1269" t="str">
        <x:v>Wales</x:v>
      </x:c>
      <x:c r="F1269" t="str">
        <x:v>Store</x:v>
      </x:c>
      <x:c r="G1269" t="str">
        <x:v>Home</x:v>
      </x:c>
      <x:c r="H1269" t="str">
        <x:v>Desk Lamp</x:v>
      </x:c>
      <x:c r="I1269" t="n">
        <x:v>3</x:v>
      </x:c>
      <x:c r="J1269" s="4" t="n">
        <x:v>34.19</x:v>
      </x:c>
      <x:c r="K1269" s="4" t="n">
        <x:v>17</x:v>
      </x:c>
      <x:c r="L1269" s="5" t="n">
        <x:v>0</x:v>
      </x:c>
      <x:c r="M1269" s="4" t="n">
        <x:f>ROUND(I1269*J1269*(1-L1269),2)</x:f>
        <x:v>102.57</x:v>
      </x:c>
      <x:c r="N1269" s="4" t="n">
        <x:f>ROUND(I1269*K1269,2)</x:f>
        <x:v>51</x:v>
      </x:c>
      <x:c r="O1269" s="4" t="n">
        <x:f>ROUND(M1269-N1269,2)</x:f>
        <x:v>51.57</x:v>
      </x:c>
      <x:c r="P1269" s="6" t="n">
        <x:v>4.6</x:v>
      </x:c>
      <x:c r="Q1269" t="str">
        <x:v>No</x:v>
      </x:c>
    </x:row>
    <x:row r="1270">
      <x:c r="A1270" t="str">
        <x:v>ORD-01187</x:v>
      </x:c>
      <x:c r="B1270" s="3" t="n">
        <x:v>45816.95732976852</x:v>
      </x:c>
      <x:c r="C1270" t="str">
        <x:v>2025-06</x:v>
      </x:c>
      <x:c r="D1270" t="str">
        <x:v>CUS-0568</x:v>
      </x:c>
      <x:c r="E1270" t="str">
        <x:v>North West</x:v>
      </x:c>
      <x:c r="F1270" t="str">
        <x:v>Store</x:v>
      </x:c>
      <x:c r="G1270" t="str">
        <x:v>Beauty</x:v>
      </x:c>
      <x:c r="H1270" t="str">
        <x:v>Hair Dryer</x:v>
      </x:c>
      <x:c r="I1270" t="n">
        <x:v>2</x:v>
      </x:c>
      <x:c r="J1270" s="4" t="n">
        <x:v>57.86</x:v>
      </x:c>
      <x:c r="K1270" s="4" t="n">
        <x:v>29</x:v>
      </x:c>
      <x:c r="L1270" s="5" t="n">
        <x:v>0</x:v>
      </x:c>
      <x:c r="M1270" s="4" t="n">
        <x:f>ROUND(I1270*J1270*(1-L1270),2)</x:f>
        <x:v>115.72</x:v>
      </x:c>
      <x:c r="N1270" s="4" t="n">
        <x:f>ROUND(I1270*K1270,2)</x:f>
        <x:v>58</x:v>
      </x:c>
      <x:c r="O1270" s="4" t="n">
        <x:f>ROUND(M1270-N1270,2)</x:f>
        <x:v>57.72</x:v>
      </x:c>
      <x:c r="P1270" s="6" t="n">
        <x:v>4</x:v>
      </x:c>
      <x:c r="Q1270" t="str">
        <x:v>No</x:v>
      </x:c>
    </x:row>
    <x:row r="1271">
      <x:c r="A1271" t="str">
        <x:v>ORD-00621</x:v>
      </x:c>
      <x:c r="B1271" s="3" t="n">
        <x:v>45816.9667425</x:v>
      </x:c>
      <x:c r="C1271" t="str">
        <x:v>2025-06</x:v>
      </x:c>
      <x:c r="D1271" t="str">
        <x:v>CUS-0464</x:v>
      </x:c>
      <x:c r="E1271" t="str">
        <x:v>South East</x:v>
      </x:c>
      <x:c r="F1271" t="str">
        <x:v>Online</x:v>
      </x:c>
      <x:c r="G1271" t="str">
        <x:v>Home</x:v>
      </x:c>
      <x:c r="H1271" t="str">
        <x:v>Air Fryer</x:v>
      </x:c>
      <x:c r="I1271" t="n">
        <x:v>3</x:v>
      </x:c>
      <x:c r="J1271" s="4" t="n">
        <x:v>115.32</x:v>
      </x:c>
      <x:c r="K1271" s="4" t="n">
        <x:v>69</x:v>
      </x:c>
      <x:c r="L1271" s="5" t="n">
        <x:v>0</x:v>
      </x:c>
      <x:c r="M1271" s="4" t="n">
        <x:f>ROUND(I1271*J1271*(1-L1271),2)</x:f>
        <x:v>345.96</x:v>
      </x:c>
      <x:c r="N1271" s="4" t="n">
        <x:f>ROUND(I1271*K1271,2)</x:f>
        <x:v>207</x:v>
      </x:c>
      <x:c r="O1271" s="4" t="n">
        <x:f>ROUND(M1271-N1271,2)</x:f>
        <x:v>138.96</x:v>
      </x:c>
      <x:c r="P1271" s="6" t="n">
        <x:v>3.8</x:v>
      </x:c>
      <x:c r="Q1271" t="str">
        <x:v>No</x:v>
      </x:c>
    </x:row>
    <x:row r="1272">
      <x:c r="A1272" t="str">
        <x:v>ORD-01615</x:v>
      </x:c>
      <x:c r="B1272" s="3" t="n">
        <x:v>45816.9963853125</x:v>
      </x:c>
      <x:c r="C1272" t="str">
        <x:v>2025-06</x:v>
      </x:c>
      <x:c r="D1272" t="str">
        <x:v>CUS-0205</x:v>
      </x:c>
      <x:c r="E1272" t="str">
        <x:v>Midlands</x:v>
      </x:c>
      <x:c r="F1272" t="str">
        <x:v>Online</x:v>
      </x:c>
      <x:c r="G1272" t="str">
        <x:v>Books</x:v>
      </x:c>
      <x:c r="H1272" t="str">
        <x:v>Data Analytics Handbook</x:v>
      </x:c>
      <x:c r="I1272" t="n">
        <x:v>4</x:v>
      </x:c>
      <x:c r="J1272" s="4" t="n">
        <x:v>41.64</x:v>
      </x:c>
      <x:c r="K1272" s="4" t="n">
        <x:v>14</x:v>
      </x:c>
      <x:c r="L1272" s="5" t="n">
        <x:v>0</x:v>
      </x:c>
      <x:c r="M1272" s="4" t="n">
        <x:f>ROUND(I1272*J1272*(1-L1272),2)</x:f>
        <x:v>166.56</x:v>
      </x:c>
      <x:c r="N1272" s="4" t="n">
        <x:f>ROUND(I1272*K1272,2)</x:f>
        <x:v>56</x:v>
      </x:c>
      <x:c r="O1272" s="4" t="n">
        <x:f>ROUND(M1272-N1272,2)</x:f>
        <x:v>110.56</x:v>
      </x:c>
      <x:c r="P1272" s="6" t="n">
        <x:v>4.6</x:v>
      </x:c>
      <x:c r="Q1272" t="str">
        <x:v>No</x:v>
      </x:c>
    </x:row>
    <x:row r="1273">
      <x:c r="A1273" t="str">
        <x:v>ORD-00225</x:v>
      </x:c>
      <x:c r="B1273" s="3" t="n">
        <x:v>45818.36781607639</x:v>
      </x:c>
      <x:c r="C1273" t="str">
        <x:v>2025-06</x:v>
      </x:c>
      <x:c r="D1273" t="str">
        <x:v>CUS-0281</x:v>
      </x:c>
      <x:c r="E1273" t="str">
        <x:v>Midlands</x:v>
      </x:c>
      <x:c r="F1273" t="str">
        <x:v>Online</x:v>
      </x:c>
      <x:c r="G1273" t="str">
        <x:v>Books</x:v>
      </x:c>
      <x:c r="H1273" t="str">
        <x:v>Business Intelligence Guide</x:v>
      </x:c>
      <x:c r="I1273" t="n">
        <x:v>3</x:v>
      </x:c>
      <x:c r="J1273" s="4" t="n">
        <x:v>36.39</x:v>
      </x:c>
      <x:c r="K1273" s="4" t="n">
        <x:v>12</x:v>
      </x:c>
      <x:c r="L1273" s="5" t="n">
        <x:v>0.2</x:v>
      </x:c>
      <x:c r="M1273" s="4" t="n">
        <x:f>ROUND(I1273*J1273*(1-L1273),2)</x:f>
        <x:v>87.34</x:v>
      </x:c>
      <x:c r="N1273" s="4" t="n">
        <x:f>ROUND(I1273*K1273,2)</x:f>
        <x:v>36</x:v>
      </x:c>
      <x:c r="O1273" s="4" t="n">
        <x:f>ROUND(M1273-N1273,2)</x:f>
        <x:v>51.34</x:v>
      </x:c>
      <x:c r="P1273" s="6" t="n">
        <x:v>4.4</x:v>
      </x:c>
      <x:c r="Q1273" t="str">
        <x:v>No</x:v>
      </x:c>
    </x:row>
    <x:row r="1274">
      <x:c r="A1274" t="str">
        <x:v>ORD-01737</x:v>
      </x:c>
      <x:c r="B1274" s="3" t="n">
        <x:v>45818.58438586805</x:v>
      </x:c>
      <x:c r="C1274" t="str">
        <x:v>2025-06</x:v>
      </x:c>
      <x:c r="D1274" t="str">
        <x:v>CUS-0243</x:v>
      </x:c>
      <x:c r="E1274" t="str">
        <x:v>North West</x:v>
      </x:c>
      <x:c r="F1274" t="str">
        <x:v>Marketplace</x:v>
      </x:c>
      <x:c r="G1274" t="str">
        <x:v>Beauty</x:v>
      </x:c>
      <x:c r="H1274" t="str">
        <x:v>Skin Care Set</x:v>
      </x:c>
      <x:c r="I1274" t="n">
        <x:v>3</x:v>
      </x:c>
      <x:c r="J1274" s="4" t="n">
        <x:v>46.59</x:v>
      </x:c>
      <x:c r="K1274" s="4" t="n">
        <x:v>18</x:v>
      </x:c>
      <x:c r="L1274" s="5" t="n">
        <x:v>0.15</x:v>
      </x:c>
      <x:c r="M1274" s="4" t="n">
        <x:f>ROUND(I1274*J1274*(1-L1274),2)</x:f>
        <x:v>118.8</x:v>
      </x:c>
      <x:c r="N1274" s="4" t="n">
        <x:f>ROUND(I1274*K1274,2)</x:f>
        <x:v>54</x:v>
      </x:c>
      <x:c r="O1274" s="4" t="n">
        <x:f>ROUND(M1274-N1274,2)</x:f>
        <x:v>64.8</x:v>
      </x:c>
      <x:c r="P1274" s="6" t="n">
        <x:v>4.4</x:v>
      </x:c>
      <x:c r="Q1274" t="str">
        <x:v>Yes</x:v>
      </x:c>
    </x:row>
    <x:row r="1275">
      <x:c r="A1275" t="str">
        <x:v>ORD-00236</x:v>
      </x:c>
      <x:c r="B1275" s="3" t="n">
        <x:v>45819.035979375</x:v>
      </x:c>
      <x:c r="C1275" t="str">
        <x:v>2025-06</x:v>
      </x:c>
      <x:c r="D1275" t="str">
        <x:v>CUS-0423</x:v>
      </x:c>
      <x:c r="E1275" t="str">
        <x:v>North West</x:v>
      </x:c>
      <x:c r="F1275" t="str">
        <x:v>Store</x:v>
      </x:c>
      <x:c r="G1275" t="str">
        <x:v>Sports</x:v>
      </x:c>
      <x:c r="H1275" t="str">
        <x:v>Fitness Tracker</x:v>
      </x:c>
      <x:c r="I1275" t="n">
        <x:v>3</x:v>
      </x:c>
      <x:c r="J1275" s="4" t="n">
        <x:v>56.56</x:v>
      </x:c>
      <x:c r="K1275" s="4" t="n">
        <x:v>27</x:v>
      </x:c>
      <x:c r="L1275" s="5" t="n">
        <x:v>0.15</x:v>
      </x:c>
      <x:c r="M1275" s="4" t="n">
        <x:f>ROUND(I1275*J1275*(1-L1275),2)</x:f>
        <x:v>144.23</x:v>
      </x:c>
      <x:c r="N1275" s="4" t="n">
        <x:f>ROUND(I1275*K1275,2)</x:f>
        <x:v>81</x:v>
      </x:c>
      <x:c r="O1275" s="4" t="n">
        <x:f>ROUND(M1275-N1275,2)</x:f>
        <x:v>63.23</x:v>
      </x:c>
      <x:c r="P1275" s="6" t="n">
        <x:v>4.1</x:v>
      </x:c>
      <x:c r="Q1275" t="str">
        <x:v>No</x:v>
      </x:c>
    </x:row>
    <x:row r="1276">
      <x:c r="A1276" t="str">
        <x:v>ORD-01684</x:v>
      </x:c>
      <x:c r="B1276" s="3" t="n">
        <x:v>45819.33239256944</x:v>
      </x:c>
      <x:c r="C1276" t="str">
        <x:v>2025-06</x:v>
      </x:c>
      <x:c r="D1276" t="str">
        <x:v>CUS-0358</x:v>
      </x:c>
      <x:c r="E1276" t="str">
        <x:v>Wales</x:v>
      </x:c>
      <x:c r="F1276" t="str">
        <x:v>Store</x:v>
      </x:c>
      <x:c r="G1276" t="str">
        <x:v>Sports</x:v>
      </x:c>
      <x:c r="H1276" t="str">
        <x:v>Running Shoes</x:v>
      </x:c>
      <x:c r="I1276" t="n">
        <x:v>3</x:v>
      </x:c>
      <x:c r="J1276" s="4" t="n">
        <x:v>80.4</x:v>
      </x:c>
      <x:c r="K1276" s="4" t="n">
        <x:v>38</x:v>
      </x:c>
      <x:c r="L1276" s="5" t="n">
        <x:v>0</x:v>
      </x:c>
      <x:c r="M1276" s="4" t="n">
        <x:f>ROUND(I1276*J1276*(1-L1276),2)</x:f>
        <x:v>241.2</x:v>
      </x:c>
      <x:c r="N1276" s="4" t="n">
        <x:f>ROUND(I1276*K1276,2)</x:f>
        <x:v>114</x:v>
      </x:c>
      <x:c r="O1276" s="4" t="n">
        <x:f>ROUND(M1276-N1276,2)</x:f>
        <x:v>127.2</x:v>
      </x:c>
      <x:c r="P1276" s="6" t="n">
        <x:v>4.4</x:v>
      </x:c>
      <x:c r="Q1276" t="str">
        <x:v>No</x:v>
      </x:c>
    </x:row>
    <x:row r="1277">
      <x:c r="A1277" t="str">
        <x:v>ORD-00642</x:v>
      </x:c>
      <x:c r="B1277" s="3" t="n">
        <x:v>45819.73107587963</x:v>
      </x:c>
      <x:c r="C1277" t="str">
        <x:v>2025-06</x:v>
      </x:c>
      <x:c r="D1277" t="str">
        <x:v>CUS-0560</x:v>
      </x:c>
      <x:c r="E1277" t="str">
        <x:v>North East</x:v>
      </x:c>
      <x:c r="F1277" t="str">
        <x:v>Online</x:v>
      </x:c>
      <x:c r="G1277" t="str">
        <x:v>Sports</x:v>
      </x:c>
      <x:c r="H1277" t="str">
        <x:v>Yoga Mat</x:v>
      </x:c>
      <x:c r="I1277" t="n">
        <x:v>4</x:v>
      </x:c>
      <x:c r="J1277" s="4" t="n">
        <x:v>29.57</x:v>
      </x:c>
      <x:c r="K1277" s="4" t="n">
        <x:v>12</x:v>
      </x:c>
      <x:c r="L1277" s="5" t="n">
        <x:v>0</x:v>
      </x:c>
      <x:c r="M1277" s="4" t="n">
        <x:f>ROUND(I1277*J1277*(1-L1277),2)</x:f>
        <x:v>118.28</x:v>
      </x:c>
      <x:c r="N1277" s="4" t="n">
        <x:f>ROUND(I1277*K1277,2)</x:f>
        <x:v>48</x:v>
      </x:c>
      <x:c r="O1277" s="4" t="n">
        <x:f>ROUND(M1277-N1277,2)</x:f>
        <x:v>70.28</x:v>
      </x:c>
      <x:c r="P1277" s="6" t="n">
        <x:v>4.9</x:v>
      </x:c>
      <x:c r="Q1277" t="str">
        <x:v>No</x:v>
      </x:c>
    </x:row>
    <x:row r="1278">
      <x:c r="A1278" t="str">
        <x:v>ORD-00180</x:v>
      </x:c>
      <x:c r="B1278" s="3" t="n">
        <x:v>45820.472053784724</x:v>
      </x:c>
      <x:c r="C1278" t="str">
        <x:v>2025-06</x:v>
      </x:c>
      <x:c r="D1278" t="str">
        <x:v>CUS-0609</x:v>
      </x:c>
      <x:c r="E1278" t="str">
        <x:v>Midlands</x:v>
      </x:c>
      <x:c r="F1278" t="str">
        <x:v>Online</x:v>
      </x:c>
      <x:c r="G1278" t="str">
        <x:v>Electronics</x:v>
      </x:c>
      <x:c r="H1278" t="str">
        <x:v>Wireless Headphones</x:v>
      </x:c>
      <x:c r="I1278" t="n">
        <x:v>5</x:v>
      </x:c>
      <x:c r="J1278" s="4" t="n">
        <x:v>88.01</x:v>
      </x:c>
      <x:c r="K1278" s="4" t="n">
        <x:v>48</x:v>
      </x:c>
      <x:c r="L1278" s="5" t="n">
        <x:v>0</x:v>
      </x:c>
      <x:c r="M1278" s="4" t="n">
        <x:f>ROUND(I1278*J1278*(1-L1278),2)</x:f>
        <x:v>440.05</x:v>
      </x:c>
      <x:c r="N1278" s="4" t="n">
        <x:f>ROUND(I1278*K1278,2)</x:f>
        <x:v>240</x:v>
      </x:c>
      <x:c r="O1278" s="4" t="n">
        <x:f>ROUND(M1278-N1278,2)</x:f>
        <x:v>200.05</x:v>
      </x:c>
      <x:c r="P1278" s="6" t="n">
        <x:v>4.9</x:v>
      </x:c>
      <x:c r="Q1278" t="str">
        <x:v>No</x:v>
      </x:c>
    </x:row>
    <x:row r="1279">
      <x:c r="A1279" t="str">
        <x:v>ORD-01127</x:v>
      </x:c>
      <x:c r="B1279" s="3" t="n">
        <x:v>45820.6877040625</x:v>
      </x:c>
      <x:c r="C1279" t="str">
        <x:v>2025-06</x:v>
      </x:c>
      <x:c r="D1279" t="str">
        <x:v>CUS-0007</x:v>
      </x:c>
      <x:c r="E1279" t="str">
        <x:v>South West</x:v>
      </x:c>
      <x:c r="F1279" t="str">
        <x:v>Marketplace</x:v>
      </x:c>
      <x:c r="G1279" t="str">
        <x:v>Fashion</x:v>
      </x:c>
      <x:c r="H1279" t="str">
        <x:v>Classic Trainers</x:v>
      </x:c>
      <x:c r="I1279" t="n">
        <x:v>1</x:v>
      </x:c>
      <x:c r="J1279" s="4" t="n">
        <x:v>73.34</x:v>
      </x:c>
      <x:c r="K1279" s="4" t="n">
        <x:v>32</x:v>
      </x:c>
      <x:c r="L1279" s="5" t="n">
        <x:v>0.1</x:v>
      </x:c>
      <x:c r="M1279" s="4" t="n">
        <x:f>ROUND(I1279*J1279*(1-L1279),2)</x:f>
        <x:v>66.01</x:v>
      </x:c>
      <x:c r="N1279" s="4" t="n">
        <x:f>ROUND(I1279*K1279,2)</x:f>
        <x:v>32</x:v>
      </x:c>
      <x:c r="O1279" s="4" t="n">
        <x:f>ROUND(M1279-N1279,2)</x:f>
        <x:v>34.01</x:v>
      </x:c>
      <x:c r="P1279" s="6" t="n">
        <x:v>3.6</x:v>
      </x:c>
      <x:c r="Q1279" t="str">
        <x:v>No</x:v>
      </x:c>
    </x:row>
    <x:row r="1280">
      <x:c r="A1280" t="str">
        <x:v>ORD-01115</x:v>
      </x:c>
      <x:c r="B1280" s="3" t="n">
        <x:v>45821.08077100694</x:v>
      </x:c>
      <x:c r="C1280" t="str">
        <x:v>2025-06</x:v>
      </x:c>
      <x:c r="D1280" t="str">
        <x:v>CUS-0092</x:v>
      </x:c>
      <x:c r="E1280" t="str">
        <x:v>South West</x:v>
      </x:c>
      <x:c r="F1280" t="str">
        <x:v>Store</x:v>
      </x:c>
      <x:c r="G1280" t="str">
        <x:v>Books</x:v>
      </x:c>
      <x:c r="H1280" t="str">
        <x:v>Business Intelligence Guide</x:v>
      </x:c>
      <x:c r="I1280" t="n">
        <x:v>1</x:v>
      </x:c>
      <x:c r="J1280" s="4" t="n">
        <x:v>35.41</x:v>
      </x:c>
      <x:c r="K1280" s="4" t="n">
        <x:v>12</x:v>
      </x:c>
      <x:c r="L1280" s="5" t="n">
        <x:v>0.2</x:v>
      </x:c>
      <x:c r="M1280" s="4" t="n">
        <x:f>ROUND(I1280*J1280*(1-L1280),2)</x:f>
        <x:v>28.33</x:v>
      </x:c>
      <x:c r="N1280" s="4" t="n">
        <x:f>ROUND(I1280*K1280,2)</x:f>
        <x:v>12</x:v>
      </x:c>
      <x:c r="O1280" s="4" t="n">
        <x:f>ROUND(M1280-N1280,2)</x:f>
        <x:v>16.33</x:v>
      </x:c>
      <x:c r="P1280" s="6" t="n">
        <x:v>4.7</x:v>
      </x:c>
      <x:c r="Q1280" t="str">
        <x:v>No</x:v>
      </x:c>
    </x:row>
    <x:row r="1281">
      <x:c r="A1281" t="str">
        <x:v>ORD-00697</x:v>
      </x:c>
      <x:c r="B1281" s="3" t="n">
        <x:v>45821.67634336805</x:v>
      </x:c>
      <x:c r="C1281" t="str">
        <x:v>2025-06</x:v>
      </x:c>
      <x:c r="D1281" t="str">
        <x:v>CUS-0478</x:v>
      </x:c>
      <x:c r="E1281" t="str">
        <x:v>South West</x:v>
      </x:c>
      <x:c r="F1281" t="str">
        <x:v>Marketplace</x:v>
      </x:c>
      <x:c r="G1281" t="str">
        <x:v>Books</x:v>
      </x:c>
      <x:c r="H1281" t="str">
        <x:v>Business Intelligence Guide</x:v>
      </x:c>
      <x:c r="I1281" t="n">
        <x:v>3</x:v>
      </x:c>
      <x:c r="J1281" s="4" t="n">
        <x:v>33.89</x:v>
      </x:c>
      <x:c r="K1281" s="4" t="n">
        <x:v>12</x:v>
      </x:c>
      <x:c r="L1281" s="5" t="n">
        <x:v>0.15</x:v>
      </x:c>
      <x:c r="M1281" s="4" t="n">
        <x:f>ROUND(I1281*J1281*(1-L1281),2)</x:f>
        <x:v>86.42</x:v>
      </x:c>
      <x:c r="N1281" s="4" t="n">
        <x:f>ROUND(I1281*K1281,2)</x:f>
        <x:v>36</x:v>
      </x:c>
      <x:c r="O1281" s="4" t="n">
        <x:f>ROUND(M1281-N1281,2)</x:f>
        <x:v>50.42</x:v>
      </x:c>
      <x:c r="P1281" s="6" t="n">
        <x:v>4.2</x:v>
      </x:c>
      <x:c r="Q1281" t="str">
        <x:v>Yes</x:v>
      </x:c>
    </x:row>
    <x:row r="1282">
      <x:c r="A1282" t="str">
        <x:v>ORD-01583</x:v>
      </x:c>
      <x:c r="B1282" s="3" t="n">
        <x:v>45821.7003908912</x:v>
      </x:c>
      <x:c r="C1282" t="str">
        <x:v>2025-06</x:v>
      </x:c>
      <x:c r="D1282" t="str">
        <x:v>CUS-0381</x:v>
      </x:c>
      <x:c r="E1282" t="str">
        <x:v>South West</x:v>
      </x:c>
      <x:c r="F1282" t="str">
        <x:v>Online</x:v>
      </x:c>
      <x:c r="G1282" t="str">
        <x:v>Beauty</x:v>
      </x:c>
      <x:c r="H1282" t="str">
        <x:v>Hair Dryer</x:v>
      </x:c>
      <x:c r="I1282" t="n">
        <x:v>4</x:v>
      </x:c>
      <x:c r="J1282" s="4" t="n">
        <x:v>59.45</x:v>
      </x:c>
      <x:c r="K1282" s="4" t="n">
        <x:v>29</x:v>
      </x:c>
      <x:c r="L1282" s="5" t="n">
        <x:v>0</x:v>
      </x:c>
      <x:c r="M1282" s="4" t="n">
        <x:f>ROUND(I1282*J1282*(1-L1282),2)</x:f>
        <x:v>237.8</x:v>
      </x:c>
      <x:c r="N1282" s="4" t="n">
        <x:f>ROUND(I1282*K1282,2)</x:f>
        <x:v>116</x:v>
      </x:c>
      <x:c r="O1282" s="4" t="n">
        <x:f>ROUND(M1282-N1282,2)</x:f>
        <x:v>121.8</x:v>
      </x:c>
      <x:c r="P1282" s="6" t="n">
        <x:v>4.8</x:v>
      </x:c>
      <x:c r="Q1282" t="str">
        <x:v>No</x:v>
      </x:c>
    </x:row>
    <x:row r="1283">
      <x:c r="A1283" t="str">
        <x:v>ORD-00392</x:v>
      </x:c>
      <x:c r="B1283" s="3" t="n">
        <x:v>45821.757104247685</x:v>
      </x:c>
      <x:c r="C1283" t="str">
        <x:v>2025-06</x:v>
      </x:c>
      <x:c r="D1283" t="str">
        <x:v>CUS-0289</x:v>
      </x:c>
      <x:c r="E1283" t="str">
        <x:v>North West</x:v>
      </x:c>
      <x:c r="F1283" t="str">
        <x:v>Online</x:v>
      </x:c>
      <x:c r="G1283" t="str">
        <x:v>Electronics</x:v>
      </x:c>
      <x:c r="H1283" t="str">
        <x:v>Bluetooth Speaker</x:v>
      </x:c>
      <x:c r="I1283" t="n">
        <x:v>2</x:v>
      </x:c>
      <x:c r="J1283" s="4" t="n">
        <x:v>66.99</x:v>
      </x:c>
      <x:c r="K1283" s="4" t="n">
        <x:v>34</x:v>
      </x:c>
      <x:c r="L1283" s="5" t="n">
        <x:v>0</x:v>
      </x:c>
      <x:c r="M1283" s="4" t="n">
        <x:f>ROUND(I1283*J1283*(1-L1283),2)</x:f>
        <x:v>133.98</x:v>
      </x:c>
      <x:c r="N1283" s="4" t="n">
        <x:f>ROUND(I1283*K1283,2)</x:f>
        <x:v>68</x:v>
      </x:c>
      <x:c r="O1283" s="4" t="n">
        <x:f>ROUND(M1283-N1283,2)</x:f>
        <x:v>65.98</x:v>
      </x:c>
      <x:c r="P1283" s="6" t="n">
        <x:v>3.8</x:v>
      </x:c>
      <x:c r="Q1283" t="str">
        <x:v>No</x:v>
      </x:c>
    </x:row>
    <x:row r="1284">
      <x:c r="A1284" t="str">
        <x:v>ORD-01222</x:v>
      </x:c>
      <x:c r="B1284" s="3" t="n">
        <x:v>45822.11741594908</x:v>
      </x:c>
      <x:c r="C1284" t="str">
        <x:v>2025-06</x:v>
      </x:c>
      <x:c r="D1284" t="str">
        <x:v>CUS-0540</x:v>
      </x:c>
      <x:c r="E1284" t="str">
        <x:v>South West</x:v>
      </x:c>
      <x:c r="F1284" t="str">
        <x:v>Online</x:v>
      </x:c>
      <x:c r="G1284" t="str">
        <x:v>Fashion</x:v>
      </x:c>
      <x:c r="H1284" t="str">
        <x:v>Classic Trainers</x:v>
      </x:c>
      <x:c r="I1284" t="n">
        <x:v>1</x:v>
      </x:c>
      <x:c r="J1284" s="4" t="n">
        <x:v>72.11</x:v>
      </x:c>
      <x:c r="K1284" s="4" t="n">
        <x:v>32</x:v>
      </x:c>
      <x:c r="L1284" s="5" t="n">
        <x:v>0.05</x:v>
      </x:c>
      <x:c r="M1284" s="4" t="n">
        <x:f>ROUND(I1284*J1284*(1-L1284),2)</x:f>
        <x:v>68.5</x:v>
      </x:c>
      <x:c r="N1284" s="4" t="n">
        <x:f>ROUND(I1284*K1284,2)</x:f>
        <x:v>32</x:v>
      </x:c>
      <x:c r="O1284" s="4" t="n">
        <x:f>ROUND(M1284-N1284,2)</x:f>
        <x:v>36.5</x:v>
      </x:c>
      <x:c r="P1284" s="6" t="n">
        <x:v>3.4</x:v>
      </x:c>
      <x:c r="Q1284" t="str">
        <x:v>No</x:v>
      </x:c>
    </x:row>
    <x:row r="1285">
      <x:c r="A1285" t="str">
        <x:v>ORD-00774</x:v>
      </x:c>
      <x:c r="B1285" s="3" t="n">
        <x:v>45822.25789247685</x:v>
      </x:c>
      <x:c r="C1285" t="str">
        <x:v>2025-06</x:v>
      </x:c>
      <x:c r="D1285" t="str">
        <x:v>CUS-0157</x:v>
      </x:c>
      <x:c r="E1285" t="str">
        <x:v>London</x:v>
      </x:c>
      <x:c r="F1285" t="str">
        <x:v>Online</x:v>
      </x:c>
      <x:c r="G1285" t="str">
        <x:v>Electronics</x:v>
      </x:c>
      <x:c r="H1285" t="str">
        <x:v>Wireless Headphones</x:v>
      </x:c>
      <x:c r="I1285" t="n">
        <x:v>3</x:v>
      </x:c>
      <x:c r="J1285" s="4" t="n">
        <x:v>91.62</x:v>
      </x:c>
      <x:c r="K1285" s="4" t="n">
        <x:v>48</x:v>
      </x:c>
      <x:c r="L1285" s="5" t="n">
        <x:v>0</x:v>
      </x:c>
      <x:c r="M1285" s="4" t="n">
        <x:f>ROUND(I1285*J1285*(1-L1285),2)</x:f>
        <x:v>274.86</x:v>
      </x:c>
      <x:c r="N1285" s="4" t="n">
        <x:f>ROUND(I1285*K1285,2)</x:f>
        <x:v>144</x:v>
      </x:c>
      <x:c r="O1285" s="4" t="n">
        <x:f>ROUND(M1285-N1285,2)</x:f>
        <x:v>130.86</x:v>
      </x:c>
      <x:c r="P1285" s="6" t="n">
        <x:v>4.8</x:v>
      </x:c>
      <x:c r="Q1285" t="str">
        <x:v>No</x:v>
      </x:c>
    </x:row>
    <x:row r="1286">
      <x:c r="A1286" t="str">
        <x:v>ORD-00797</x:v>
      </x:c>
      <x:c r="B1286" s="3" t="n">
        <x:v>45822.80903324074</x:v>
      </x:c>
      <x:c r="C1286" t="str">
        <x:v>2025-06</x:v>
      </x:c>
      <x:c r="D1286" t="str">
        <x:v>CUS-0473</x:v>
      </x:c>
      <x:c r="E1286" t="str">
        <x:v>North East</x:v>
      </x:c>
      <x:c r="F1286" t="str">
        <x:v>Store</x:v>
      </x:c>
      <x:c r="G1286" t="str">
        <x:v>Fashion</x:v>
      </x:c>
      <x:c r="H1286" t="str">
        <x:v>Classic Trainers</x:v>
      </x:c>
      <x:c r="I1286" t="n">
        <x:v>4</x:v>
      </x:c>
      <x:c r="J1286" s="4" t="n">
        <x:v>71.05</x:v>
      </x:c>
      <x:c r="K1286" s="4" t="n">
        <x:v>32</x:v>
      </x:c>
      <x:c r="L1286" s="5" t="n">
        <x:v>0.1</x:v>
      </x:c>
      <x:c r="M1286" s="4" t="n">
        <x:f>ROUND(I1286*J1286*(1-L1286),2)</x:f>
        <x:v>255.78</x:v>
      </x:c>
      <x:c r="N1286" s="4" t="n">
        <x:f>ROUND(I1286*K1286,2)</x:f>
        <x:v>128</x:v>
      </x:c>
      <x:c r="O1286" s="4" t="n">
        <x:f>ROUND(M1286-N1286,2)</x:f>
        <x:v>127.78</x:v>
      </x:c>
      <x:c r="P1286" s="6" t="n">
        <x:v>5</x:v>
      </x:c>
      <x:c r="Q1286" t="str">
        <x:v>No</x:v>
      </x:c>
    </x:row>
    <x:row r="1287">
      <x:c r="A1287" t="str">
        <x:v>ORD-01545</x:v>
      </x:c>
      <x:c r="B1287" s="3" t="n">
        <x:v>45823.46299177083</x:v>
      </x:c>
      <x:c r="C1287" t="str">
        <x:v>2025-06</x:v>
      </x:c>
      <x:c r="D1287" t="str">
        <x:v>CUS-0312</x:v>
      </x:c>
      <x:c r="E1287" t="str">
        <x:v>London</x:v>
      </x:c>
      <x:c r="F1287" t="str">
        <x:v>Store</x:v>
      </x:c>
      <x:c r="G1287" t="str">
        <x:v>Beauty</x:v>
      </x:c>
      <x:c r="H1287" t="str">
        <x:v>Hair Dryer</x:v>
      </x:c>
      <x:c r="I1287" t="n">
        <x:v>2</x:v>
      </x:c>
      <x:c r="J1287" s="4" t="n">
        <x:v>62.59</x:v>
      </x:c>
      <x:c r="K1287" s="4" t="n">
        <x:v>29</x:v>
      </x:c>
      <x:c r="L1287" s="5" t="n">
        <x:v>0.15</x:v>
      </x:c>
      <x:c r="M1287" s="4" t="n">
        <x:f>ROUND(I1287*J1287*(1-L1287),2)</x:f>
        <x:v>106.4</x:v>
      </x:c>
      <x:c r="N1287" s="4" t="n">
        <x:f>ROUND(I1287*K1287,2)</x:f>
        <x:v>58</x:v>
      </x:c>
      <x:c r="O1287" s="4" t="n">
        <x:f>ROUND(M1287-N1287,2)</x:f>
        <x:v>48.4</x:v>
      </x:c>
      <x:c r="P1287" s="6" t="n">
        <x:v>4.2</x:v>
      </x:c>
      <x:c r="Q1287" t="str">
        <x:v>No</x:v>
      </x:c>
    </x:row>
    <x:row r="1288">
      <x:c r="A1288" t="str">
        <x:v>ORD-00372</x:v>
      </x:c>
      <x:c r="B1288" s="3" t="n">
        <x:v>45824.25830622685</x:v>
      </x:c>
      <x:c r="C1288" t="str">
        <x:v>2025-06</x:v>
      </x:c>
      <x:c r="D1288" t="str">
        <x:v>CUS-0503</x:v>
      </x:c>
      <x:c r="E1288" t="str">
        <x:v>London</x:v>
      </x:c>
      <x:c r="F1288" t="str">
        <x:v>Marketplace</x:v>
      </x:c>
      <x:c r="G1288" t="str">
        <x:v>Home</x:v>
      </x:c>
      <x:c r="H1288" t="str">
        <x:v>Desk Lamp</x:v>
      </x:c>
      <x:c r="I1288" t="n">
        <x:v>3</x:v>
      </x:c>
      <x:c r="J1288" s="4" t="n">
        <x:v>35.39</x:v>
      </x:c>
      <x:c r="K1288" s="4" t="n">
        <x:v>17</x:v>
      </x:c>
      <x:c r="L1288" s="5" t="n">
        <x:v>0</x:v>
      </x:c>
      <x:c r="M1288" s="4" t="n">
        <x:f>ROUND(I1288*J1288*(1-L1288),2)</x:f>
        <x:v>106.17</x:v>
      </x:c>
      <x:c r="N1288" s="4" t="n">
        <x:f>ROUND(I1288*K1288,2)</x:f>
        <x:v>51</x:v>
      </x:c>
      <x:c r="O1288" s="4" t="n">
        <x:f>ROUND(M1288-N1288,2)</x:f>
        <x:v>55.17</x:v>
      </x:c>
      <x:c r="P1288" s="6" t="n">
        <x:v>3.4</x:v>
      </x:c>
      <x:c r="Q1288" t="str">
        <x:v>No</x:v>
      </x:c>
    </x:row>
    <x:row r="1289">
      <x:c r="A1289" t="str">
        <x:v>ORD-00924</x:v>
      </x:c>
      <x:c r="B1289" s="3" t="n">
        <x:v>45824.81704959491</x:v>
      </x:c>
      <x:c r="C1289" t="str">
        <x:v>2025-06</x:v>
      </x:c>
      <x:c r="D1289" t="str">
        <x:v>CUS-0376</x:v>
      </x:c>
      <x:c r="E1289" t="str">
        <x:v>South West</x:v>
      </x:c>
      <x:c r="F1289" t="str">
        <x:v>Store</x:v>
      </x:c>
      <x:c r="G1289" t="str">
        <x:v>Home</x:v>
      </x:c>
      <x:c r="H1289" t="str">
        <x:v>Desk Lamp</x:v>
      </x:c>
      <x:c r="I1289" t="n">
        <x:v>5</x:v>
      </x:c>
      <x:c r="J1289" s="4" t="n">
        <x:v>34.39</x:v>
      </x:c>
      <x:c r="K1289" s="4" t="n">
        <x:v>17</x:v>
      </x:c>
      <x:c r="L1289" s="5" t="n">
        <x:v>0.15</x:v>
      </x:c>
      <x:c r="M1289" s="4" t="n">
        <x:f>ROUND(I1289*J1289*(1-L1289),2)</x:f>
        <x:v>146.16</x:v>
      </x:c>
      <x:c r="N1289" s="4" t="n">
        <x:f>ROUND(I1289*K1289,2)</x:f>
        <x:v>85</x:v>
      </x:c>
      <x:c r="O1289" s="4" t="n">
        <x:f>ROUND(M1289-N1289,2)</x:f>
        <x:v>61.16</x:v>
      </x:c>
      <x:c r="P1289" s="6" t="n">
        <x:v>3.7</x:v>
      </x:c>
      <x:c r="Q1289" t="str">
        <x:v>Yes</x:v>
      </x:c>
    </x:row>
    <x:row r="1290">
      <x:c r="A1290" t="str">
        <x:v>ORD-01376</x:v>
      </x:c>
      <x:c r="B1290" s="3" t="n">
        <x:v>45825.09306546296</x:v>
      </x:c>
      <x:c r="C1290" t="str">
        <x:v>2025-06</x:v>
      </x:c>
      <x:c r="D1290" t="str">
        <x:v>CUS-0378</x:v>
      </x:c>
      <x:c r="E1290" t="str">
        <x:v>Wales</x:v>
      </x:c>
      <x:c r="F1290" t="str">
        <x:v>Store</x:v>
      </x:c>
      <x:c r="G1290" t="str">
        <x:v>Fashion</x:v>
      </x:c>
      <x:c r="H1290" t="str">
        <x:v>Classic Trainers</x:v>
      </x:c>
      <x:c r="I1290" t="n">
        <x:v>4</x:v>
      </x:c>
      <x:c r="J1290" s="4" t="n">
        <x:v>72.32</x:v>
      </x:c>
      <x:c r="K1290" s="4" t="n">
        <x:v>32</x:v>
      </x:c>
      <x:c r="L1290" s="5" t="n">
        <x:v>0.1</x:v>
      </x:c>
      <x:c r="M1290" s="4" t="n">
        <x:f>ROUND(I1290*J1290*(1-L1290),2)</x:f>
        <x:v>260.35</x:v>
      </x:c>
      <x:c r="N1290" s="4" t="n">
        <x:f>ROUND(I1290*K1290,2)</x:f>
        <x:v>128</x:v>
      </x:c>
      <x:c r="O1290" s="4" t="n">
        <x:f>ROUND(M1290-N1290,2)</x:f>
        <x:v>132.35</x:v>
      </x:c>
      <x:c r="P1290" s="6" t="n">
        <x:v>3.5</x:v>
      </x:c>
      <x:c r="Q1290" t="str">
        <x:v>No</x:v>
      </x:c>
    </x:row>
    <x:row r="1291">
      <x:c r="A1291" t="str">
        <x:v>ORD-01611</x:v>
      </x:c>
      <x:c r="B1291" s="3" t="n">
        <x:v>45825.539421284724</x:v>
      </x:c>
      <x:c r="C1291" t="str">
        <x:v>2025-06</x:v>
      </x:c>
      <x:c r="D1291" t="str">
        <x:v>CUS-0039</x:v>
      </x:c>
      <x:c r="E1291" t="str">
        <x:v>South East</x:v>
      </x:c>
      <x:c r="F1291" t="str">
        <x:v>Marketplace</x:v>
      </x:c>
      <x:c r="G1291" t="str">
        <x:v>Sports</x:v>
      </x:c>
      <x:c r="H1291" t="str">
        <x:v>Yoga Mat</x:v>
      </x:c>
      <x:c r="I1291" t="n">
        <x:v>4</x:v>
      </x:c>
      <x:c r="J1291" s="4" t="n">
        <x:v>28.69</x:v>
      </x:c>
      <x:c r="K1291" s="4" t="n">
        <x:v>12</x:v>
      </x:c>
      <x:c r="L1291" s="5" t="n">
        <x:v>0.15</x:v>
      </x:c>
      <x:c r="M1291" s="4" t="n">
        <x:f>ROUND(I1291*J1291*(1-L1291),2)</x:f>
        <x:v>97.55</x:v>
      </x:c>
      <x:c r="N1291" s="4" t="n">
        <x:f>ROUND(I1291*K1291,2)</x:f>
        <x:v>48</x:v>
      </x:c>
      <x:c r="O1291" s="4" t="n">
        <x:f>ROUND(M1291-N1291,2)</x:f>
        <x:v>49.55</x:v>
      </x:c>
      <x:c r="P1291" s="6" t="n">
        <x:v>3.6</x:v>
      </x:c>
      <x:c r="Q1291" t="str">
        <x:v>No</x:v>
      </x:c>
    </x:row>
    <x:row r="1292">
      <x:c r="A1292" t="str">
        <x:v>ORD-00965</x:v>
      </x:c>
      <x:c r="B1292" s="3" t="n">
        <x:v>45825.65401737268</x:v>
      </x:c>
      <x:c r="C1292" t="str">
        <x:v>2025-06</x:v>
      </x:c>
      <x:c r="D1292" t="str">
        <x:v>CUS-0186</x:v>
      </x:c>
      <x:c r="E1292" t="str">
        <x:v>South East</x:v>
      </x:c>
      <x:c r="F1292" t="str">
        <x:v>Marketplace</x:v>
      </x:c>
      <x:c r="G1292" t="str">
        <x:v>Beauty</x:v>
      </x:c>
      <x:c r="H1292" t="str">
        <x:v>Skin Care Set</x:v>
      </x:c>
      <x:c r="I1292" t="n">
        <x:v>4</x:v>
      </x:c>
      <x:c r="J1292" s="4" t="n">
        <x:v>45.15</x:v>
      </x:c>
      <x:c r="K1292" s="4" t="n">
        <x:v>18</x:v>
      </x:c>
      <x:c r="L1292" s="5" t="n">
        <x:v>0</x:v>
      </x:c>
      <x:c r="M1292" s="4" t="n">
        <x:f>ROUND(I1292*J1292*(1-L1292),2)</x:f>
        <x:v>180.6</x:v>
      </x:c>
      <x:c r="N1292" s="4" t="n">
        <x:f>ROUND(I1292*K1292,2)</x:f>
        <x:v>72</x:v>
      </x:c>
      <x:c r="O1292" s="4" t="n">
        <x:f>ROUND(M1292-N1292,2)</x:f>
        <x:v>108.6</x:v>
      </x:c>
      <x:c r="P1292" s="6" t="n">
        <x:v>4</x:v>
      </x:c>
      <x:c r="Q1292" t="str">
        <x:v>No</x:v>
      </x:c>
    </x:row>
    <x:row r="1293">
      <x:c r="A1293" t="str">
        <x:v>ORD-01348</x:v>
      </x:c>
      <x:c r="B1293" s="3" t="n">
        <x:v>45825.743507719904</x:v>
      </x:c>
      <x:c r="C1293" t="str">
        <x:v>2025-06</x:v>
      </x:c>
      <x:c r="D1293" t="str">
        <x:v>CUS-0034</x:v>
      </x:c>
      <x:c r="E1293" t="str">
        <x:v>South East</x:v>
      </x:c>
      <x:c r="F1293" t="str">
        <x:v>Store</x:v>
      </x:c>
      <x:c r="G1293" t="str">
        <x:v>Beauty</x:v>
      </x:c>
      <x:c r="H1293" t="str">
        <x:v>Hair Dryer</x:v>
      </x:c>
      <x:c r="I1293" t="n">
        <x:v>5</x:v>
      </x:c>
      <x:c r="J1293" s="4" t="n">
        <x:v>58.91</x:v>
      </x:c>
      <x:c r="K1293" s="4" t="n">
        <x:v>29</x:v>
      </x:c>
      <x:c r="L1293" s="5" t="n">
        <x:v>0.05</x:v>
      </x:c>
      <x:c r="M1293" s="4" t="n">
        <x:f>ROUND(I1293*J1293*(1-L1293),2)</x:f>
        <x:v>279.82</x:v>
      </x:c>
      <x:c r="N1293" s="4" t="n">
        <x:f>ROUND(I1293*K1293,2)</x:f>
        <x:v>145</x:v>
      </x:c>
      <x:c r="O1293" s="4" t="n">
        <x:f>ROUND(M1293-N1293,2)</x:f>
        <x:v>134.82</x:v>
      </x:c>
      <x:c r="P1293" s="6" t="n">
        <x:v>4.9</x:v>
      </x:c>
      <x:c r="Q1293" t="str">
        <x:v>No</x:v>
      </x:c>
    </x:row>
    <x:row r="1294">
      <x:c r="A1294" t="str">
        <x:v>ORD-01782</x:v>
      </x:c>
      <x:c r="B1294" s="3" t="n">
        <x:v>45825.929900324074</x:v>
      </x:c>
      <x:c r="C1294" t="str">
        <x:v>2025-06</x:v>
      </x:c>
      <x:c r="D1294" t="str">
        <x:v>CUS-0143</x:v>
      </x:c>
      <x:c r="E1294" t="str">
        <x:v>North East</x:v>
      </x:c>
      <x:c r="F1294" t="str">
        <x:v>Marketplace</x:v>
      </x:c>
      <x:c r="G1294" t="str">
        <x:v>Beauty</x:v>
      </x:c>
      <x:c r="H1294" t="str">
        <x:v>Hair Dryer</x:v>
      </x:c>
      <x:c r="I1294" t="n">
        <x:v>3</x:v>
      </x:c>
      <x:c r="J1294" s="4" t="n">
        <x:v>57.56</x:v>
      </x:c>
      <x:c r="K1294" s="4" t="n">
        <x:v>29</x:v>
      </x:c>
      <x:c r="L1294" s="5" t="n">
        <x:v>0.15</x:v>
      </x:c>
      <x:c r="M1294" s="4" t="n">
        <x:f>ROUND(I1294*J1294*(1-L1294),2)</x:f>
        <x:v>146.78</x:v>
      </x:c>
      <x:c r="N1294" s="4" t="n">
        <x:f>ROUND(I1294*K1294,2)</x:f>
        <x:v>87</x:v>
      </x:c>
      <x:c r="O1294" s="4" t="n">
        <x:f>ROUND(M1294-N1294,2)</x:f>
        <x:v>59.78</x:v>
      </x:c>
      <x:c r="P1294" s="6" t="n">
        <x:v>3.4</x:v>
      </x:c>
      <x:c r="Q1294" t="str">
        <x:v>Yes</x:v>
      </x:c>
    </x:row>
    <x:row r="1295">
      <x:c r="A1295" t="str">
        <x:v>ORD-00785</x:v>
      </x:c>
      <x:c r="B1295" s="3" t="n">
        <x:v>45826.60875925926</x:v>
      </x:c>
      <x:c r="C1295" t="str">
        <x:v>2025-06</x:v>
      </x:c>
      <x:c r="D1295" t="str">
        <x:v>CUS-0470</x:v>
      </x:c>
      <x:c r="E1295" t="str">
        <x:v>South West</x:v>
      </x:c>
      <x:c r="F1295" t="str">
        <x:v>Marketplace</x:v>
      </x:c>
      <x:c r="G1295" t="str">
        <x:v>Fashion</x:v>
      </x:c>
      <x:c r="H1295" t="str">
        <x:v>Classic Trainers</x:v>
      </x:c>
      <x:c r="I1295" t="n">
        <x:v>3</x:v>
      </x:c>
      <x:c r="J1295" s="4" t="n">
        <x:v>68.92</x:v>
      </x:c>
      <x:c r="K1295" s="4" t="n">
        <x:v>32</x:v>
      </x:c>
      <x:c r="L1295" s="5" t="n">
        <x:v>0.2</x:v>
      </x:c>
      <x:c r="M1295" s="4" t="n">
        <x:f>ROUND(I1295*J1295*(1-L1295),2)</x:f>
        <x:v>165.41</x:v>
      </x:c>
      <x:c r="N1295" s="4" t="n">
        <x:f>ROUND(I1295*K1295,2)</x:f>
        <x:v>96</x:v>
      </x:c>
      <x:c r="O1295" s="4" t="n">
        <x:f>ROUND(M1295-N1295,2)</x:f>
        <x:v>69.41</x:v>
      </x:c>
      <x:c r="P1295" s="6" t="n">
        <x:v>3.8</x:v>
      </x:c>
      <x:c r="Q1295" t="str">
        <x:v>No</x:v>
      </x:c>
    </x:row>
    <x:row r="1296">
      <x:c r="A1296" t="str">
        <x:v>ORD-00913</x:v>
      </x:c>
      <x:c r="B1296" s="3" t="n">
        <x:v>45826.782500243055</x:v>
      </x:c>
      <x:c r="C1296" t="str">
        <x:v>2025-06</x:v>
      </x:c>
      <x:c r="D1296" t="str">
        <x:v>CUS-0162</x:v>
      </x:c>
      <x:c r="E1296" t="str">
        <x:v>South East</x:v>
      </x:c>
      <x:c r="F1296" t="str">
        <x:v>Store</x:v>
      </x:c>
      <x:c r="G1296" t="str">
        <x:v>Books</x:v>
      </x:c>
      <x:c r="H1296" t="str">
        <x:v>Data Analytics Handbook</x:v>
      </x:c>
      <x:c r="I1296" t="n">
        <x:v>4</x:v>
      </x:c>
      <x:c r="J1296" s="4" t="n">
        <x:v>41.08</x:v>
      </x:c>
      <x:c r="K1296" s="4" t="n">
        <x:v>14</x:v>
      </x:c>
      <x:c r="L1296" s="5" t="n">
        <x:v>0</x:v>
      </x:c>
      <x:c r="M1296" s="4" t="n">
        <x:f>ROUND(I1296*J1296*(1-L1296),2)</x:f>
        <x:v>164.32</x:v>
      </x:c>
      <x:c r="N1296" s="4" t="n">
        <x:f>ROUND(I1296*K1296,2)</x:f>
        <x:v>56</x:v>
      </x:c>
      <x:c r="O1296" s="4" t="n">
        <x:f>ROUND(M1296-N1296,2)</x:f>
        <x:v>108.32</x:v>
      </x:c>
      <x:c r="P1296" s="6" t="n">
        <x:v>4.1</x:v>
      </x:c>
      <x:c r="Q1296" t="str">
        <x:v>No</x:v>
      </x:c>
    </x:row>
    <x:row r="1297">
      <x:c r="A1297" t="str">
        <x:v>ORD-00892</x:v>
      </x:c>
      <x:c r="B1297" s="3" t="n">
        <x:v>45826.836837476854</x:v>
      </x:c>
      <x:c r="C1297" t="str">
        <x:v>2025-06</x:v>
      </x:c>
      <x:c r="D1297" t="str">
        <x:v>CUS-0133</x:v>
      </x:c>
      <x:c r="E1297" t="str">
        <x:v>North East</x:v>
      </x:c>
      <x:c r="F1297" t="str">
        <x:v>Store</x:v>
      </x:c>
      <x:c r="G1297" t="str">
        <x:v>Beauty</x:v>
      </x:c>
      <x:c r="H1297" t="str">
        <x:v>Skin Care Set</x:v>
      </x:c>
      <x:c r="I1297" t="n">
        <x:v>1</x:v>
      </x:c>
      <x:c r="J1297" s="4" t="n">
        <x:v>45.81</x:v>
      </x:c>
      <x:c r="K1297" s="4" t="n">
        <x:v>18</x:v>
      </x:c>
      <x:c r="L1297" s="5" t="n">
        <x:v>0</x:v>
      </x:c>
      <x:c r="M1297" s="4" t="n">
        <x:f>ROUND(I1297*J1297*(1-L1297),2)</x:f>
        <x:v>45.81</x:v>
      </x:c>
      <x:c r="N1297" s="4" t="n">
        <x:f>ROUND(I1297*K1297,2)</x:f>
        <x:v>18</x:v>
      </x:c>
      <x:c r="O1297" s="4" t="n">
        <x:f>ROUND(M1297-N1297,2)</x:f>
        <x:v>27.81</x:v>
      </x:c>
      <x:c r="P1297" s="6" t="n">
        <x:v>4.6</x:v>
      </x:c>
      <x:c r="Q1297" t="str">
        <x:v>No</x:v>
      </x:c>
    </x:row>
    <x:row r="1298">
      <x:c r="A1298" t="str">
        <x:v>ORD-00261</x:v>
      </x:c>
      <x:c r="B1298" s="3" t="n">
        <x:v>45827.17476223379</x:v>
      </x:c>
      <x:c r="C1298" t="str">
        <x:v>2025-06</x:v>
      </x:c>
      <x:c r="D1298" t="str">
        <x:v>CUS-0005</x:v>
      </x:c>
      <x:c r="E1298" t="str">
        <x:v>South East</x:v>
      </x:c>
      <x:c r="F1298" t="str">
        <x:v>Marketplace</x:v>
      </x:c>
      <x:c r="G1298" t="str">
        <x:v>Home</x:v>
      </x:c>
      <x:c r="H1298" t="str">
        <x:v>Desk Lamp</x:v>
      </x:c>
      <x:c r="I1298" t="n">
        <x:v>1</x:v>
      </x:c>
      <x:c r="J1298" s="4" t="n">
        <x:v>33.6</x:v>
      </x:c>
      <x:c r="K1298" s="4" t="n">
        <x:v>17</x:v>
      </x:c>
      <x:c r="L1298" s="5" t="n">
        <x:v>0.15</x:v>
      </x:c>
      <x:c r="M1298" s="4" t="n">
        <x:f>ROUND(I1298*J1298*(1-L1298),2)</x:f>
        <x:v>28.56</x:v>
      </x:c>
      <x:c r="N1298" s="4" t="n">
        <x:f>ROUND(I1298*K1298,2)</x:f>
        <x:v>17</x:v>
      </x:c>
      <x:c r="O1298" s="4" t="n">
        <x:f>ROUND(M1298-N1298,2)</x:f>
        <x:v>11.56</x:v>
      </x:c>
      <x:c r="P1298" s="6" t="n">
        <x:v>4.4</x:v>
      </x:c>
      <x:c r="Q1298" t="str">
        <x:v>No</x:v>
      </x:c>
    </x:row>
    <x:row r="1299">
      <x:c r="A1299" t="str">
        <x:v>ORD-00670</x:v>
      </x:c>
      <x:c r="B1299" s="3" t="n">
        <x:v>45828.003014131944</x:v>
      </x:c>
      <x:c r="C1299" t="str">
        <x:v>2025-06</x:v>
      </x:c>
      <x:c r="D1299" t="str">
        <x:v>CUS-0075</x:v>
      </x:c>
      <x:c r="E1299" t="str">
        <x:v>North East</x:v>
      </x:c>
      <x:c r="F1299" t="str">
        <x:v>Online</x:v>
      </x:c>
      <x:c r="G1299" t="str">
        <x:v>Books</x:v>
      </x:c>
      <x:c r="H1299" t="str">
        <x:v>Data Analytics Handbook</x:v>
      </x:c>
      <x:c r="I1299" t="n">
        <x:v>3</x:v>
      </x:c>
      <x:c r="J1299" s="4" t="n">
        <x:v>38.44</x:v>
      </x:c>
      <x:c r="K1299" s="4" t="n">
        <x:v>14</x:v>
      </x:c>
      <x:c r="L1299" s="5" t="n">
        <x:v>0.05</x:v>
      </x:c>
      <x:c r="M1299" s="4" t="n">
        <x:f>ROUND(I1299*J1299*(1-L1299),2)</x:f>
        <x:v>109.55</x:v>
      </x:c>
      <x:c r="N1299" s="4" t="n">
        <x:f>ROUND(I1299*K1299,2)</x:f>
        <x:v>42</x:v>
      </x:c>
      <x:c r="O1299" s="4" t="n">
        <x:f>ROUND(M1299-N1299,2)</x:f>
        <x:v>67.55</x:v>
      </x:c>
      <x:c r="P1299" s="6" t="n">
        <x:v>3.9</x:v>
      </x:c>
      <x:c r="Q1299" t="str">
        <x:v>Yes</x:v>
      </x:c>
    </x:row>
    <x:row r="1300">
      <x:c r="A1300" t="str">
        <x:v>ORD-01343</x:v>
      </x:c>
      <x:c r="B1300" s="3" t="n">
        <x:v>45828.276490358796</x:v>
      </x:c>
      <x:c r="C1300" t="str">
        <x:v>2025-06</x:v>
      </x:c>
      <x:c r="D1300" t="str">
        <x:v>CUS-0352</x:v>
      </x:c>
      <x:c r="E1300" t="str">
        <x:v>North West</x:v>
      </x:c>
      <x:c r="F1300" t="str">
        <x:v>Marketplace</x:v>
      </x:c>
      <x:c r="G1300" t="str">
        <x:v>Sports</x:v>
      </x:c>
      <x:c r="H1300" t="str">
        <x:v>Yoga Mat</x:v>
      </x:c>
      <x:c r="I1300" t="n">
        <x:v>1</x:v>
      </x:c>
      <x:c r="J1300" s="4" t="n">
        <x:v>30.05</x:v>
      </x:c>
      <x:c r="K1300" s="4" t="n">
        <x:v>12</x:v>
      </x:c>
      <x:c r="L1300" s="5" t="n">
        <x:v>0.05</x:v>
      </x:c>
      <x:c r="M1300" s="4" t="n">
        <x:f>ROUND(I1300*J1300*(1-L1300),2)</x:f>
        <x:v>28.55</x:v>
      </x:c>
      <x:c r="N1300" s="4" t="n">
        <x:f>ROUND(I1300*K1300,2)</x:f>
        <x:v>12</x:v>
      </x:c>
      <x:c r="O1300" s="4" t="n">
        <x:f>ROUND(M1300-N1300,2)</x:f>
        <x:v>16.55</x:v>
      </x:c>
      <x:c r="P1300" s="6" t="n">
        <x:v>5</x:v>
      </x:c>
      <x:c r="Q1300" t="str">
        <x:v>No</x:v>
      </x:c>
    </x:row>
    <x:row r="1301">
      <x:c r="A1301" t="str">
        <x:v>ORD-01195</x:v>
      </x:c>
      <x:c r="B1301" s="3" t="n">
        <x:v>45829.15655582176</x:v>
      </x:c>
      <x:c r="C1301" t="str">
        <x:v>2025-06</x:v>
      </x:c>
      <x:c r="D1301" t="str">
        <x:v>CUS-0370</x:v>
      </x:c>
      <x:c r="E1301" t="str">
        <x:v>North East</x:v>
      </x:c>
      <x:c r="F1301" t="str">
        <x:v>Store</x:v>
      </x:c>
      <x:c r="G1301" t="str">
        <x:v>Electronics</x:v>
      </x:c>
      <x:c r="H1301" t="str">
        <x:v>Bluetooth Speaker</x:v>
      </x:c>
      <x:c r="I1301" t="n">
        <x:v>2</x:v>
      </x:c>
      <x:c r="J1301" s="4" t="n">
        <x:v>67.08</x:v>
      </x:c>
      <x:c r="K1301" s="4" t="n">
        <x:v>34</x:v>
      </x:c>
      <x:c r="L1301" s="5" t="n">
        <x:v>0.15</x:v>
      </x:c>
      <x:c r="M1301" s="4" t="n">
        <x:f>ROUND(I1301*J1301*(1-L1301),2)</x:f>
        <x:v>114.04</x:v>
      </x:c>
      <x:c r="N1301" s="4" t="n">
        <x:f>ROUND(I1301*K1301,2)</x:f>
        <x:v>68</x:v>
      </x:c>
      <x:c r="O1301" s="4" t="n">
        <x:f>ROUND(M1301-N1301,2)</x:f>
        <x:v>46.04</x:v>
      </x:c>
      <x:c r="P1301" s="6" t="n">
        <x:v>3.6</x:v>
      </x:c>
      <x:c r="Q1301" t="str">
        <x:v>No</x:v>
      </x:c>
    </x:row>
    <x:row r="1302">
      <x:c r="A1302" t="str">
        <x:v>ORD-01798</x:v>
      </x:c>
      <x:c r="B1302" s="3" t="n">
        <x:v>45829.409424652775</x:v>
      </x:c>
      <x:c r="C1302" t="str">
        <x:v>2025-06</x:v>
      </x:c>
      <x:c r="D1302" t="str">
        <x:v>CUS-0242</x:v>
      </x:c>
      <x:c r="E1302" t="str">
        <x:v>North West</x:v>
      </x:c>
      <x:c r="F1302" t="str">
        <x:v>Store</x:v>
      </x:c>
      <x:c r="G1302" t="str">
        <x:v>Fashion</x:v>
      </x:c>
      <x:c r="H1302" t="str">
        <x:v>Classic Trainers</x:v>
      </x:c>
      <x:c r="I1302" t="n">
        <x:v>3</x:v>
      </x:c>
      <x:c r="J1302" s="4" t="n">
        <x:v>68</x:v>
      </x:c>
      <x:c r="K1302" s="4" t="n">
        <x:v>32</x:v>
      </x:c>
      <x:c r="L1302" s="5" t="n">
        <x:v>0.2</x:v>
      </x:c>
      <x:c r="M1302" s="4" t="n">
        <x:f>ROUND(I1302*J1302*(1-L1302),2)</x:f>
        <x:v>163.2</x:v>
      </x:c>
      <x:c r="N1302" s="4" t="n">
        <x:f>ROUND(I1302*K1302,2)</x:f>
        <x:v>96</x:v>
      </x:c>
      <x:c r="O1302" s="4" t="n">
        <x:f>ROUND(M1302-N1302,2)</x:f>
        <x:v>67.2</x:v>
      </x:c>
      <x:c r="P1302" s="6" t="n">
        <x:v>4.6</x:v>
      </x:c>
      <x:c r="Q1302" t="str">
        <x:v>No</x:v>
      </x:c>
    </x:row>
    <x:row r="1303">
      <x:c r="A1303" t="str">
        <x:v>ORD-01525</x:v>
      </x:c>
      <x:c r="B1303" s="3" t="n">
        <x:v>45829.53390087963</x:v>
      </x:c>
      <x:c r="C1303" t="str">
        <x:v>2025-06</x:v>
      </x:c>
      <x:c r="D1303" t="str">
        <x:v>CUS-0501</x:v>
      </x:c>
      <x:c r="E1303" t="str">
        <x:v>North West</x:v>
      </x:c>
      <x:c r="F1303" t="str">
        <x:v>Online</x:v>
      </x:c>
      <x:c r="G1303" t="str">
        <x:v>Fashion</x:v>
      </x:c>
      <x:c r="H1303" t="str">
        <x:v>Winter Jacket</x:v>
      </x:c>
      <x:c r="I1303" t="n">
        <x:v>1</x:v>
      </x:c>
      <x:c r="J1303" s="4" t="n">
        <x:v>94.49</x:v>
      </x:c>
      <x:c r="K1303" s="4" t="n">
        <x:v>46</x:v>
      </x:c>
      <x:c r="L1303" s="5" t="n">
        <x:v>0.05</x:v>
      </x:c>
      <x:c r="M1303" s="4" t="n">
        <x:f>ROUND(I1303*J1303*(1-L1303),2)</x:f>
        <x:v>89.77</x:v>
      </x:c>
      <x:c r="N1303" s="4" t="n">
        <x:f>ROUND(I1303*K1303,2)</x:f>
        <x:v>46</x:v>
      </x:c>
      <x:c r="O1303" s="4" t="n">
        <x:f>ROUND(M1303-N1303,2)</x:f>
        <x:v>43.77</x:v>
      </x:c>
      <x:c r="P1303" s="6" t="n">
        <x:v>4.4</x:v>
      </x:c>
      <x:c r="Q1303" t="str">
        <x:v>No</x:v>
      </x:c>
    </x:row>
    <x:row r="1304">
      <x:c r="A1304" t="str">
        <x:v>ORD-01644</x:v>
      </x:c>
      <x:c r="B1304" s="3" t="n">
        <x:v>45829.869750011574</x:v>
      </x:c>
      <x:c r="C1304" t="str">
        <x:v>2025-06</x:v>
      </x:c>
      <x:c r="D1304" t="str">
        <x:v>CUS-0482</x:v>
      </x:c>
      <x:c r="E1304" t="str">
        <x:v>London</x:v>
      </x:c>
      <x:c r="F1304" t="str">
        <x:v>Online</x:v>
      </x:c>
      <x:c r="G1304" t="str">
        <x:v>Home</x:v>
      </x:c>
      <x:c r="H1304" t="str">
        <x:v>Desk Lamp</x:v>
      </x:c>
      <x:c r="I1304" t="n">
        <x:v>3</x:v>
      </x:c>
      <x:c r="J1304" s="4" t="n">
        <x:v>36.12</x:v>
      </x:c>
      <x:c r="K1304" s="4" t="n">
        <x:v>17</x:v>
      </x:c>
      <x:c r="L1304" s="5" t="n">
        <x:v>0</x:v>
      </x:c>
      <x:c r="M1304" s="4" t="n">
        <x:f>ROUND(I1304*J1304*(1-L1304),2)</x:f>
        <x:v>108.36</x:v>
      </x:c>
      <x:c r="N1304" s="4" t="n">
        <x:f>ROUND(I1304*K1304,2)</x:f>
        <x:v>51</x:v>
      </x:c>
      <x:c r="O1304" s="4" t="n">
        <x:f>ROUND(M1304-N1304,2)</x:f>
        <x:v>57.36</x:v>
      </x:c>
      <x:c r="P1304" s="6" t="n">
        <x:v>4.4</x:v>
      </x:c>
      <x:c r="Q1304" t="str">
        <x:v>No</x:v>
      </x:c>
    </x:row>
    <x:row r="1305">
      <x:c r="A1305" t="str">
        <x:v>ORD-00772</x:v>
      </x:c>
      <x:c r="B1305" s="3" t="n">
        <x:v>45829.89847568287</x:v>
      </x:c>
      <x:c r="C1305" t="str">
        <x:v>2025-06</x:v>
      </x:c>
      <x:c r="D1305" t="str">
        <x:v>CUS-0300</x:v>
      </x:c>
      <x:c r="E1305" t="str">
        <x:v>South West</x:v>
      </x:c>
      <x:c r="F1305" t="str">
        <x:v>Online</x:v>
      </x:c>
      <x:c r="G1305" t="str">
        <x:v>Beauty</x:v>
      </x:c>
      <x:c r="H1305" t="str">
        <x:v>Hair Dryer</x:v>
      </x:c>
      <x:c r="I1305" t="n">
        <x:v>1</x:v>
      </x:c>
      <x:c r="J1305" s="4" t="n">
        <x:v>62.3</x:v>
      </x:c>
      <x:c r="K1305" s="4" t="n">
        <x:v>29</x:v>
      </x:c>
      <x:c r="L1305" s="5" t="n">
        <x:v>0</x:v>
      </x:c>
      <x:c r="M1305" s="4" t="n">
        <x:f>ROUND(I1305*J1305*(1-L1305),2)</x:f>
        <x:v>62.3</x:v>
      </x:c>
      <x:c r="N1305" s="4" t="n">
        <x:f>ROUND(I1305*K1305,2)</x:f>
        <x:v>29</x:v>
      </x:c>
      <x:c r="O1305" s="4" t="n">
        <x:f>ROUND(M1305-N1305,2)</x:f>
        <x:v>33.3</x:v>
      </x:c>
      <x:c r="P1305" s="6" t="n">
        <x:v>4.6</x:v>
      </x:c>
      <x:c r="Q1305" t="str">
        <x:v>No</x:v>
      </x:c>
    </x:row>
    <x:row r="1306">
      <x:c r="A1306" t="str">
        <x:v>ORD-01176</x:v>
      </x:c>
      <x:c r="B1306" s="3" t="n">
        <x:v>45831.0755091088</x:v>
      </x:c>
      <x:c r="C1306" t="str">
        <x:v>2025-06</x:v>
      </x:c>
      <x:c r="D1306" t="str">
        <x:v>CUS-0194</x:v>
      </x:c>
      <x:c r="E1306" t="str">
        <x:v>Wales</x:v>
      </x:c>
      <x:c r="F1306" t="str">
        <x:v>Online</x:v>
      </x:c>
      <x:c r="G1306" t="str">
        <x:v>Fashion</x:v>
      </x:c>
      <x:c r="H1306" t="str">
        <x:v>Classic Trainers</x:v>
      </x:c>
      <x:c r="I1306" t="n">
        <x:v>3</x:v>
      </x:c>
      <x:c r="J1306" s="4" t="n">
        <x:v>71.9</x:v>
      </x:c>
      <x:c r="K1306" s="4" t="n">
        <x:v>32</x:v>
      </x:c>
      <x:c r="L1306" s="5" t="n">
        <x:v>0.2</x:v>
      </x:c>
      <x:c r="M1306" s="4" t="n">
        <x:f>ROUND(I1306*J1306*(1-L1306),2)</x:f>
        <x:v>172.56</x:v>
      </x:c>
      <x:c r="N1306" s="4" t="n">
        <x:f>ROUND(I1306*K1306,2)</x:f>
        <x:v>96</x:v>
      </x:c>
      <x:c r="O1306" s="4" t="n">
        <x:f>ROUND(M1306-N1306,2)</x:f>
        <x:v>76.56</x:v>
      </x:c>
      <x:c r="P1306" s="6" t="n">
        <x:v>4.3</x:v>
      </x:c>
      <x:c r="Q1306" t="str">
        <x:v>No</x:v>
      </x:c>
    </x:row>
    <x:row r="1307">
      <x:c r="A1307" t="str">
        <x:v>ORD-01698</x:v>
      </x:c>
      <x:c r="B1307" s="3" t="n">
        <x:v>45831.31068614584</x:v>
      </x:c>
      <x:c r="C1307" t="str">
        <x:v>2025-06</x:v>
      </x:c>
      <x:c r="D1307" t="str">
        <x:v>CUS-0286</x:v>
      </x:c>
      <x:c r="E1307" t="str">
        <x:v>London</x:v>
      </x:c>
      <x:c r="F1307" t="str">
        <x:v>Marketplace</x:v>
      </x:c>
      <x:c r="G1307" t="str">
        <x:v>Books</x:v>
      </x:c>
      <x:c r="H1307" t="str">
        <x:v>Business Intelligence Guide</x:v>
      </x:c>
      <x:c r="I1307" t="n">
        <x:v>2</x:v>
      </x:c>
      <x:c r="J1307" s="4" t="n">
        <x:v>33.71</x:v>
      </x:c>
      <x:c r="K1307" s="4" t="n">
        <x:v>12</x:v>
      </x:c>
      <x:c r="L1307" s="5" t="n">
        <x:v>0.2</x:v>
      </x:c>
      <x:c r="M1307" s="4" t="n">
        <x:f>ROUND(I1307*J1307*(1-L1307),2)</x:f>
        <x:v>53.94</x:v>
      </x:c>
      <x:c r="N1307" s="4" t="n">
        <x:f>ROUND(I1307*K1307,2)</x:f>
        <x:v>24</x:v>
      </x:c>
      <x:c r="O1307" s="4" t="n">
        <x:f>ROUND(M1307-N1307,2)</x:f>
        <x:v>29.94</x:v>
      </x:c>
      <x:c r="P1307" s="6" t="n">
        <x:v>4.3</x:v>
      </x:c>
      <x:c r="Q1307" t="str">
        <x:v>No</x:v>
      </x:c>
    </x:row>
    <x:row r="1308">
      <x:c r="A1308" t="str">
        <x:v>ORD-01645</x:v>
      </x:c>
      <x:c r="B1308" s="3" t="n">
        <x:v>45831.3112296875</x:v>
      </x:c>
      <x:c r="C1308" t="str">
        <x:v>2025-06</x:v>
      </x:c>
      <x:c r="D1308" t="str">
        <x:v>CUS-0569</x:v>
      </x:c>
      <x:c r="E1308" t="str">
        <x:v>Midlands</x:v>
      </x:c>
      <x:c r="F1308" t="str">
        <x:v>Marketplace</x:v>
      </x:c>
      <x:c r="G1308" t="str">
        <x:v>Home</x:v>
      </x:c>
      <x:c r="H1308" t="str">
        <x:v>Coffee Maker</x:v>
      </x:c>
      <x:c r="I1308" t="n">
        <x:v>2</x:v>
      </x:c>
      <x:c r="J1308" s="4" t="n">
        <x:v>75.08</x:v>
      </x:c>
      <x:c r="K1308" s="4" t="n">
        <x:v>41</x:v>
      </x:c>
      <x:c r="L1308" s="5" t="n">
        <x:v>0.05</x:v>
      </x:c>
      <x:c r="M1308" s="4" t="n">
        <x:f>ROUND(I1308*J1308*(1-L1308),2)</x:f>
        <x:v>142.65</x:v>
      </x:c>
      <x:c r="N1308" s="4" t="n">
        <x:f>ROUND(I1308*K1308,2)</x:f>
        <x:v>82</x:v>
      </x:c>
      <x:c r="O1308" s="4" t="n">
        <x:f>ROUND(M1308-N1308,2)</x:f>
        <x:v>60.65</x:v>
      </x:c>
      <x:c r="P1308" s="6" t="n">
        <x:v>5</x:v>
      </x:c>
      <x:c r="Q1308" t="str">
        <x:v>No</x:v>
      </x:c>
    </x:row>
    <x:row r="1309">
      <x:c r="A1309" t="str">
        <x:v>ORD-00865</x:v>
      </x:c>
      <x:c r="B1309" s="3" t="n">
        <x:v>45831.42806457176</x:v>
      </x:c>
      <x:c r="C1309" t="str">
        <x:v>2025-06</x:v>
      </x:c>
      <x:c r="D1309" t="str">
        <x:v>CUS-0479</x:v>
      </x:c>
      <x:c r="E1309" t="str">
        <x:v>Wales</x:v>
      </x:c>
      <x:c r="F1309" t="str">
        <x:v>Store</x:v>
      </x:c>
      <x:c r="G1309" t="str">
        <x:v>Fashion</x:v>
      </x:c>
      <x:c r="H1309" t="str">
        <x:v>Winter Jacket</x:v>
      </x:c>
      <x:c r="I1309" t="n">
        <x:v>1</x:v>
      </x:c>
      <x:c r="J1309" s="4" t="n">
        <x:v>95.58</x:v>
      </x:c>
      <x:c r="K1309" s="4" t="n">
        <x:v>46</x:v>
      </x:c>
      <x:c r="L1309" s="5" t="n">
        <x:v>0</x:v>
      </x:c>
      <x:c r="M1309" s="4" t="n">
        <x:f>ROUND(I1309*J1309*(1-L1309),2)</x:f>
        <x:v>95.58</x:v>
      </x:c>
      <x:c r="N1309" s="4" t="n">
        <x:f>ROUND(I1309*K1309,2)</x:f>
        <x:v>46</x:v>
      </x:c>
      <x:c r="O1309" s="4" t="n">
        <x:f>ROUND(M1309-N1309,2)</x:f>
        <x:v>49.58</x:v>
      </x:c>
      <x:c r="P1309" s="6" t="n">
        <x:v>4.9</x:v>
      </x:c>
      <x:c r="Q1309" t="str">
        <x:v>No</x:v>
      </x:c>
    </x:row>
    <x:row r="1310">
      <x:c r="A1310" t="str">
        <x:v>ORD-01497</x:v>
      </x:c>
      <x:c r="B1310" s="3" t="n">
        <x:v>45832.182266550924</x:v>
      </x:c>
      <x:c r="C1310" t="str">
        <x:v>2025-06</x:v>
      </x:c>
      <x:c r="D1310" t="str">
        <x:v>CUS-0160</x:v>
      </x:c>
      <x:c r="E1310" t="str">
        <x:v>Midlands</x:v>
      </x:c>
      <x:c r="F1310" t="str">
        <x:v>Marketplace</x:v>
      </x:c>
      <x:c r="G1310" t="str">
        <x:v>Home</x:v>
      </x:c>
      <x:c r="H1310" t="str">
        <x:v>Air Fryer</x:v>
      </x:c>
      <x:c r="I1310" t="n">
        <x:v>2</x:v>
      </x:c>
      <x:c r="J1310" s="4" t="n">
        <x:v>120.04</x:v>
      </x:c>
      <x:c r="K1310" s="4" t="n">
        <x:v>69</x:v>
      </x:c>
      <x:c r="L1310" s="5" t="n">
        <x:v>0</x:v>
      </x:c>
      <x:c r="M1310" s="4" t="n">
        <x:f>ROUND(I1310*J1310*(1-L1310),2)</x:f>
        <x:v>240.08</x:v>
      </x:c>
      <x:c r="N1310" s="4" t="n">
        <x:f>ROUND(I1310*K1310,2)</x:f>
        <x:v>138</x:v>
      </x:c>
      <x:c r="O1310" s="4" t="n">
        <x:f>ROUND(M1310-N1310,2)</x:f>
        <x:v>102.08</x:v>
      </x:c>
      <x:c r="P1310" s="6" t="n">
        <x:v>4.3</x:v>
      </x:c>
      <x:c r="Q1310" t="str">
        <x:v>No</x:v>
      </x:c>
    </x:row>
    <x:row r="1311">
      <x:c r="A1311" t="str">
        <x:v>ORD-00045</x:v>
      </x:c>
      <x:c r="B1311" s="3" t="n">
        <x:v>45832.317539375</x:v>
      </x:c>
      <x:c r="C1311" t="str">
        <x:v>2025-06</x:v>
      </x:c>
      <x:c r="D1311" t="str">
        <x:v>CUS-0007</x:v>
      </x:c>
      <x:c r="E1311" t="str">
        <x:v>North East</x:v>
      </x:c>
      <x:c r="F1311" t="str">
        <x:v>Online</x:v>
      </x:c>
      <x:c r="G1311" t="str">
        <x:v>Fashion</x:v>
      </x:c>
      <x:c r="H1311" t="str">
        <x:v>Classic Trainers</x:v>
      </x:c>
      <x:c r="I1311" t="n">
        <x:v>4</x:v>
      </x:c>
      <x:c r="J1311" s="4" t="n">
        <x:v>67.11</x:v>
      </x:c>
      <x:c r="K1311" s="4" t="n">
        <x:v>32</x:v>
      </x:c>
      <x:c r="L1311" s="5" t="n">
        <x:v>0.15</x:v>
      </x:c>
      <x:c r="M1311" s="4" t="n">
        <x:f>ROUND(I1311*J1311*(1-L1311),2)</x:f>
        <x:v>228.17</x:v>
      </x:c>
      <x:c r="N1311" s="4" t="n">
        <x:f>ROUND(I1311*K1311,2)</x:f>
        <x:v>128</x:v>
      </x:c>
      <x:c r="O1311" s="4" t="n">
        <x:f>ROUND(M1311-N1311,2)</x:f>
        <x:v>100.17</x:v>
      </x:c>
      <x:c r="P1311" s="6" t="n">
        <x:v>4.6</x:v>
      </x:c>
      <x:c r="Q1311" t="str">
        <x:v>No</x:v>
      </x:c>
    </x:row>
    <x:row r="1312">
      <x:c r="A1312" t="str">
        <x:v>ORD-01511</x:v>
      </x:c>
      <x:c r="B1312" s="3" t="n">
        <x:v>45832.66321358796</x:v>
      </x:c>
      <x:c r="C1312" t="str">
        <x:v>2025-06</x:v>
      </x:c>
      <x:c r="D1312" t="str">
        <x:v>CUS-0315</x:v>
      </x:c>
      <x:c r="E1312" t="str">
        <x:v>South West</x:v>
      </x:c>
      <x:c r="F1312" t="str">
        <x:v>Marketplace</x:v>
      </x:c>
      <x:c r="G1312" t="str">
        <x:v>Books</x:v>
      </x:c>
      <x:c r="H1312" t="str">
        <x:v>Business Intelligence Guide</x:v>
      </x:c>
      <x:c r="I1312" t="n">
        <x:v>2</x:v>
      </x:c>
      <x:c r="J1312" s="4" t="n">
        <x:v>34.06</x:v>
      </x:c>
      <x:c r="K1312" s="4" t="n">
        <x:v>12</x:v>
      </x:c>
      <x:c r="L1312" s="5" t="n">
        <x:v>0.15</x:v>
      </x:c>
      <x:c r="M1312" s="4" t="n">
        <x:f>ROUND(I1312*J1312*(1-L1312),2)</x:f>
        <x:v>57.9</x:v>
      </x:c>
      <x:c r="N1312" s="4" t="n">
        <x:f>ROUND(I1312*K1312,2)</x:f>
        <x:v>24</x:v>
      </x:c>
      <x:c r="O1312" s="4" t="n">
        <x:f>ROUND(M1312-N1312,2)</x:f>
        <x:v>33.9</x:v>
      </x:c>
      <x:c r="P1312" s="6" t="n">
        <x:v>4.1</x:v>
      </x:c>
      <x:c r="Q1312" t="str">
        <x:v>No</x:v>
      </x:c>
    </x:row>
    <x:row r="1313">
      <x:c r="A1313" t="str">
        <x:v>ORD-00187</x:v>
      </x:c>
      <x:c r="B1313" s="3" t="n">
        <x:v>45832.85420275463</x:v>
      </x:c>
      <x:c r="C1313" t="str">
        <x:v>2025-06</x:v>
      </x:c>
      <x:c r="D1313" t="str">
        <x:v>CUS-0402</x:v>
      </x:c>
      <x:c r="E1313" t="str">
        <x:v>Wales</x:v>
      </x:c>
      <x:c r="F1313" t="str">
        <x:v>Marketplace</x:v>
      </x:c>
      <x:c r="G1313" t="str">
        <x:v>Sports</x:v>
      </x:c>
      <x:c r="H1313" t="str">
        <x:v>Running Shoes</x:v>
      </x:c>
      <x:c r="I1313" t="n">
        <x:v>5</x:v>
      </x:c>
      <x:c r="J1313" s="4" t="n">
        <x:v>76.63</x:v>
      </x:c>
      <x:c r="K1313" s="4" t="n">
        <x:v>38</x:v>
      </x:c>
      <x:c r="L1313" s="5" t="n">
        <x:v>0</x:v>
      </x:c>
      <x:c r="M1313" s="4" t="n">
        <x:f>ROUND(I1313*J1313*(1-L1313),2)</x:f>
        <x:v>383.15</x:v>
      </x:c>
      <x:c r="N1313" s="4" t="n">
        <x:f>ROUND(I1313*K1313,2)</x:f>
        <x:v>190</x:v>
      </x:c>
      <x:c r="O1313" s="4" t="n">
        <x:f>ROUND(M1313-N1313,2)</x:f>
        <x:v>193.15</x:v>
      </x:c>
      <x:c r="P1313" s="6" t="n">
        <x:v>4.4</x:v>
      </x:c>
      <x:c r="Q1313" t="str">
        <x:v>No</x:v>
      </x:c>
    </x:row>
    <x:row r="1314">
      <x:c r="A1314" t="str">
        <x:v>ORD-01169</x:v>
      </x:c>
      <x:c r="B1314" s="3" t="n">
        <x:v>45833.14499685185</x:v>
      </x:c>
      <x:c r="C1314" t="str">
        <x:v>2025-06</x:v>
      </x:c>
      <x:c r="D1314" t="str">
        <x:v>CUS-0284</x:v>
      </x:c>
      <x:c r="E1314" t="str">
        <x:v>South East</x:v>
      </x:c>
      <x:c r="F1314" t="str">
        <x:v>Store</x:v>
      </x:c>
      <x:c r="G1314" t="str">
        <x:v>Sports</x:v>
      </x:c>
      <x:c r="H1314" t="str">
        <x:v>Yoga Mat</x:v>
      </x:c>
      <x:c r="I1314" t="n">
        <x:v>2</x:v>
      </x:c>
      <x:c r="J1314" s="4" t="n">
        <x:v>28.74</x:v>
      </x:c>
      <x:c r="K1314" s="4" t="n">
        <x:v>12</x:v>
      </x:c>
      <x:c r="L1314" s="5" t="n">
        <x:v>0</x:v>
      </x:c>
      <x:c r="M1314" s="4" t="n">
        <x:f>ROUND(I1314*J1314*(1-L1314),2)</x:f>
        <x:v>57.48</x:v>
      </x:c>
      <x:c r="N1314" s="4" t="n">
        <x:f>ROUND(I1314*K1314,2)</x:f>
        <x:v>24</x:v>
      </x:c>
      <x:c r="O1314" s="4" t="n">
        <x:f>ROUND(M1314-N1314,2)</x:f>
        <x:v>33.48</x:v>
      </x:c>
      <x:c r="P1314" s="6" t="n">
        <x:v>4</x:v>
      </x:c>
      <x:c r="Q1314" t="str">
        <x:v>No</x:v>
      </x:c>
    </x:row>
    <x:row r="1315">
      <x:c r="A1315" t="str">
        <x:v>ORD-00931</x:v>
      </x:c>
      <x:c r="B1315" s="3" t="n">
        <x:v>45833.36695458333</x:v>
      </x:c>
      <x:c r="C1315" t="str">
        <x:v>2025-06</x:v>
      </x:c>
      <x:c r="D1315" t="str">
        <x:v>CUS-0168</x:v>
      </x:c>
      <x:c r="E1315" t="str">
        <x:v>London</x:v>
      </x:c>
      <x:c r="F1315" t="str">
        <x:v>Store</x:v>
      </x:c>
      <x:c r="G1315" t="str">
        <x:v>Fashion</x:v>
      </x:c>
      <x:c r="H1315" t="str">
        <x:v>Winter Jacket</x:v>
      </x:c>
      <x:c r="I1315" t="n">
        <x:v>4</x:v>
      </x:c>
      <x:c r="J1315" s="4" t="n">
        <x:v>94.61</x:v>
      </x:c>
      <x:c r="K1315" s="4" t="n">
        <x:v>46</x:v>
      </x:c>
      <x:c r="L1315" s="5" t="n">
        <x:v>0</x:v>
      </x:c>
      <x:c r="M1315" s="4" t="n">
        <x:f>ROUND(I1315*J1315*(1-L1315),2)</x:f>
        <x:v>378.44</x:v>
      </x:c>
      <x:c r="N1315" s="4" t="n">
        <x:f>ROUND(I1315*K1315,2)</x:f>
        <x:v>184</x:v>
      </x:c>
      <x:c r="O1315" s="4" t="n">
        <x:f>ROUND(M1315-N1315,2)</x:f>
        <x:v>194.44</x:v>
      </x:c>
      <x:c r="P1315" s="6" t="n">
        <x:v>3.9</x:v>
      </x:c>
      <x:c r="Q1315" t="str">
        <x:v>No</x:v>
      </x:c>
    </x:row>
    <x:row r="1316">
      <x:c r="A1316" t="str">
        <x:v>ORD-01575</x:v>
      </x:c>
      <x:c r="B1316" s="3" t="n">
        <x:v>45833.53224483797</x:v>
      </x:c>
      <x:c r="C1316" t="str">
        <x:v>2025-06</x:v>
      </x:c>
      <x:c r="D1316" t="str">
        <x:v>CUS-0379</x:v>
      </x:c>
      <x:c r="E1316" t="str">
        <x:v>North East</x:v>
      </x:c>
      <x:c r="F1316" t="str">
        <x:v>Marketplace</x:v>
      </x:c>
      <x:c r="G1316" t="str">
        <x:v>Sports</x:v>
      </x:c>
      <x:c r="H1316" t="str">
        <x:v>Yoga Mat</x:v>
      </x:c>
      <x:c r="I1316" t="n">
        <x:v>5</x:v>
      </x:c>
      <x:c r="J1316" s="4" t="n">
        <x:v>29.79</x:v>
      </x:c>
      <x:c r="K1316" s="4" t="n">
        <x:v>12</x:v>
      </x:c>
      <x:c r="L1316" s="5" t="n">
        <x:v>0.15</x:v>
      </x:c>
      <x:c r="M1316" s="4" t="n">
        <x:f>ROUND(I1316*J1316*(1-L1316),2)</x:f>
        <x:v>126.61</x:v>
      </x:c>
      <x:c r="N1316" s="4" t="n">
        <x:f>ROUND(I1316*K1316,2)</x:f>
        <x:v>60</x:v>
      </x:c>
      <x:c r="O1316" s="4" t="n">
        <x:f>ROUND(M1316-N1316,2)</x:f>
        <x:v>66.61</x:v>
      </x:c>
      <x:c r="P1316" s="6" t="n">
        <x:v>4.7</x:v>
      </x:c>
      <x:c r="Q1316" t="str">
        <x:v>Yes</x:v>
      </x:c>
    </x:row>
    <x:row r="1317">
      <x:c r="A1317" t="str">
        <x:v>ORD-01180</x:v>
      </x:c>
      <x:c r="B1317" s="3" t="n">
        <x:v>45833.75472435185</x:v>
      </x:c>
      <x:c r="C1317" t="str">
        <x:v>2025-06</x:v>
      </x:c>
      <x:c r="D1317" t="str">
        <x:v>CUS-0439</x:v>
      </x:c>
      <x:c r="E1317" t="str">
        <x:v>South East</x:v>
      </x:c>
      <x:c r="F1317" t="str">
        <x:v>Store</x:v>
      </x:c>
      <x:c r="G1317" t="str">
        <x:v>Beauty</x:v>
      </x:c>
      <x:c r="H1317" t="str">
        <x:v>Skin Care Set</x:v>
      </x:c>
      <x:c r="I1317" t="n">
        <x:v>4</x:v>
      </x:c>
      <x:c r="J1317" s="4" t="n">
        <x:v>44.76</x:v>
      </x:c>
      <x:c r="K1317" s="4" t="n">
        <x:v>18</x:v>
      </x:c>
      <x:c r="L1317" s="5" t="n">
        <x:v>0.2</x:v>
      </x:c>
      <x:c r="M1317" s="4" t="n">
        <x:f>ROUND(I1317*J1317*(1-L1317),2)</x:f>
        <x:v>143.23</x:v>
      </x:c>
      <x:c r="N1317" s="4" t="n">
        <x:f>ROUND(I1317*K1317,2)</x:f>
        <x:v>72</x:v>
      </x:c>
      <x:c r="O1317" s="4" t="n">
        <x:f>ROUND(M1317-N1317,2)</x:f>
        <x:v>71.23</x:v>
      </x:c>
      <x:c r="P1317" s="6" t="n">
        <x:v>4.7</x:v>
      </x:c>
      <x:c r="Q1317" t="str">
        <x:v>Yes</x:v>
      </x:c>
    </x:row>
    <x:row r="1318">
      <x:c r="A1318" t="str">
        <x:v>ORD-01128</x:v>
      </x:c>
      <x:c r="B1318" s="3" t="n">
        <x:v>45833.97657126158</x:v>
      </x:c>
      <x:c r="C1318" t="str">
        <x:v>2025-06</x:v>
      </x:c>
      <x:c r="D1318" t="str">
        <x:v>CUS-0300</x:v>
      </x:c>
      <x:c r="E1318" t="str">
        <x:v>North West</x:v>
      </x:c>
      <x:c r="F1318" t="str">
        <x:v>Marketplace</x:v>
      </x:c>
      <x:c r="G1318" t="str">
        <x:v>Fashion</x:v>
      </x:c>
      <x:c r="H1318" t="str">
        <x:v>Winter Jacket</x:v>
      </x:c>
      <x:c r="I1318" t="n">
        <x:v>5</x:v>
      </x:c>
      <x:c r="J1318" s="4" t="n">
        <x:v>96.79</x:v>
      </x:c>
      <x:c r="K1318" s="4" t="n">
        <x:v>46</x:v>
      </x:c>
      <x:c r="L1318" s="5" t="n">
        <x:v>0.05</x:v>
      </x:c>
      <x:c r="M1318" s="4" t="n">
        <x:f>ROUND(I1318*J1318*(1-L1318),2)</x:f>
        <x:v>459.75</x:v>
      </x:c>
      <x:c r="N1318" s="4" t="n">
        <x:f>ROUND(I1318*K1318,2)</x:f>
        <x:v>230</x:v>
      </x:c>
      <x:c r="O1318" s="4" t="n">
        <x:f>ROUND(M1318-N1318,2)</x:f>
        <x:v>229.75</x:v>
      </x:c>
      <x:c r="P1318" s="6" t="n">
        <x:v>3.6</x:v>
      </x:c>
      <x:c r="Q1318" t="str">
        <x:v>No</x:v>
      </x:c>
    </x:row>
    <x:row r="1319">
      <x:c r="A1319" t="str">
        <x:v>ORD-00711</x:v>
      </x:c>
      <x:c r="B1319" s="3" t="n">
        <x:v>45833.99604362268</x:v>
      </x:c>
      <x:c r="C1319" t="str">
        <x:v>2025-06</x:v>
      </x:c>
      <x:c r="D1319" t="str">
        <x:v>CUS-0417</x:v>
      </x:c>
      <x:c r="E1319" t="str">
        <x:v>North West</x:v>
      </x:c>
      <x:c r="F1319" t="str">
        <x:v>Store</x:v>
      </x:c>
      <x:c r="G1319" t="str">
        <x:v>Electronics</x:v>
      </x:c>
      <x:c r="H1319" t="str">
        <x:v>Wireless Headphones</x:v>
      </x:c>
      <x:c r="I1319" t="n">
        <x:v>3</x:v>
      </x:c>
      <x:c r="J1319" s="4" t="n">
        <x:v>90.05</x:v>
      </x:c>
      <x:c r="K1319" s="4" t="n">
        <x:v>48</x:v>
      </x:c>
      <x:c r="L1319" s="5" t="n">
        <x:v>0.15</x:v>
      </x:c>
      <x:c r="M1319" s="4" t="n">
        <x:f>ROUND(I1319*J1319*(1-L1319),2)</x:f>
        <x:v>229.63</x:v>
      </x:c>
      <x:c r="N1319" s="4" t="n">
        <x:f>ROUND(I1319*K1319,2)</x:f>
        <x:v>144</x:v>
      </x:c>
      <x:c r="O1319" s="4" t="n">
        <x:f>ROUND(M1319-N1319,2)</x:f>
        <x:v>85.63</x:v>
      </x:c>
      <x:c r="P1319" s="6" t="n">
        <x:v>4.3</x:v>
      </x:c>
      <x:c r="Q1319" t="str">
        <x:v>No</x:v>
      </x:c>
    </x:row>
    <x:row r="1320">
      <x:c r="A1320" t="str">
        <x:v>ORD-00303</x:v>
      </x:c>
      <x:c r="B1320" s="3" t="n">
        <x:v>45835.124438113424</x:v>
      </x:c>
      <x:c r="C1320" t="str">
        <x:v>2025-06</x:v>
      </x:c>
      <x:c r="D1320" t="str">
        <x:v>CUS-0307</x:v>
      </x:c>
      <x:c r="E1320" t="str">
        <x:v>South East</x:v>
      </x:c>
      <x:c r="F1320" t="str">
        <x:v>Store</x:v>
      </x:c>
      <x:c r="G1320" t="str">
        <x:v>Books</x:v>
      </x:c>
      <x:c r="H1320" t="str">
        <x:v>Business Intelligence Guide</x:v>
      </x:c>
      <x:c r="I1320" t="n">
        <x:v>2</x:v>
      </x:c>
      <x:c r="J1320" s="4" t="n">
        <x:v>34.97</x:v>
      </x:c>
      <x:c r="K1320" s="4" t="n">
        <x:v>12</x:v>
      </x:c>
      <x:c r="L1320" s="5" t="n">
        <x:v>0.1</x:v>
      </x:c>
      <x:c r="M1320" s="4" t="n">
        <x:f>ROUND(I1320*J1320*(1-L1320),2)</x:f>
        <x:v>62.95</x:v>
      </x:c>
      <x:c r="N1320" s="4" t="n">
        <x:f>ROUND(I1320*K1320,2)</x:f>
        <x:v>24</x:v>
      </x:c>
      <x:c r="O1320" s="4" t="n">
        <x:f>ROUND(M1320-N1320,2)</x:f>
        <x:v>38.95</x:v>
      </x:c>
      <x:c r="P1320" s="6" t="n">
        <x:v>3.3</x:v>
      </x:c>
      <x:c r="Q1320" t="str">
        <x:v>No</x:v>
      </x:c>
    </x:row>
    <x:row r="1321">
      <x:c r="A1321" t="str">
        <x:v>ORD-01631</x:v>
      </x:c>
      <x:c r="B1321" s="3" t="n">
        <x:v>45835.17027193287</x:v>
      </x:c>
      <x:c r="C1321" t="str">
        <x:v>2025-06</x:v>
      </x:c>
      <x:c r="D1321" t="str">
        <x:v>CUS-0412</x:v>
      </x:c>
      <x:c r="E1321" t="str">
        <x:v>North West</x:v>
      </x:c>
      <x:c r="F1321" t="str">
        <x:v>Marketplace</x:v>
      </x:c>
      <x:c r="G1321" t="str">
        <x:v>Sports</x:v>
      </x:c>
      <x:c r="H1321" t="str">
        <x:v>Yoga Mat</x:v>
      </x:c>
      <x:c r="I1321" t="n">
        <x:v>4</x:v>
      </x:c>
      <x:c r="J1321" s="4" t="n">
        <x:v>29.92</x:v>
      </x:c>
      <x:c r="K1321" s="4" t="n">
        <x:v>12</x:v>
      </x:c>
      <x:c r="L1321" s="5" t="n">
        <x:v>0.2</x:v>
      </x:c>
      <x:c r="M1321" s="4" t="n">
        <x:f>ROUND(I1321*J1321*(1-L1321),2)</x:f>
        <x:v>95.74</x:v>
      </x:c>
      <x:c r="N1321" s="4" t="n">
        <x:f>ROUND(I1321*K1321,2)</x:f>
        <x:v>48</x:v>
      </x:c>
      <x:c r="O1321" s="4" t="n">
        <x:f>ROUND(M1321-N1321,2)</x:f>
        <x:v>47.74</x:v>
      </x:c>
      <x:c r="P1321" s="6" t="n">
        <x:v>3.2</x:v>
      </x:c>
      <x:c r="Q1321" t="str">
        <x:v>No</x:v>
      </x:c>
    </x:row>
    <x:row r="1322">
      <x:c r="A1322" t="str">
        <x:v>ORD-00523</x:v>
      </x:c>
      <x:c r="B1322" s="3" t="n">
        <x:v>45835.33485784722</x:v>
      </x:c>
      <x:c r="C1322" t="str">
        <x:v>2025-06</x:v>
      </x:c>
      <x:c r="D1322" t="str">
        <x:v>CUS-0489</x:v>
      </x:c>
      <x:c r="E1322" t="str">
        <x:v>Midlands</x:v>
      </x:c>
      <x:c r="F1322" t="str">
        <x:v>Marketplace</x:v>
      </x:c>
      <x:c r="G1322" t="str">
        <x:v>Fashion</x:v>
      </x:c>
      <x:c r="H1322" t="str">
        <x:v>Classic Trainers</x:v>
      </x:c>
      <x:c r="I1322" t="n">
        <x:v>2</x:v>
      </x:c>
      <x:c r="J1322" s="4" t="n">
        <x:v>66.85</x:v>
      </x:c>
      <x:c r="K1322" s="4" t="n">
        <x:v>32</x:v>
      </x:c>
      <x:c r="L1322" s="5" t="n">
        <x:v>0</x:v>
      </x:c>
      <x:c r="M1322" s="4" t="n">
        <x:f>ROUND(I1322*J1322*(1-L1322),2)</x:f>
        <x:v>133.7</x:v>
      </x:c>
      <x:c r="N1322" s="4" t="n">
        <x:f>ROUND(I1322*K1322,2)</x:f>
        <x:v>64</x:v>
      </x:c>
      <x:c r="O1322" s="4" t="n">
        <x:f>ROUND(M1322-N1322,2)</x:f>
        <x:v>69.7</x:v>
      </x:c>
      <x:c r="P1322" s="6" t="n">
        <x:v>4.4</x:v>
      </x:c>
      <x:c r="Q1322" t="str">
        <x:v>No</x:v>
      </x:c>
    </x:row>
    <x:row r="1323">
      <x:c r="A1323" t="str">
        <x:v>ORD-01087</x:v>
      </x:c>
      <x:c r="B1323" s="3" t="n">
        <x:v>45835.878017337964</x:v>
      </x:c>
      <x:c r="C1323" t="str">
        <x:v>2025-06</x:v>
      </x:c>
      <x:c r="D1323" t="str">
        <x:v>CUS-0410</x:v>
      </x:c>
      <x:c r="E1323" t="str">
        <x:v>Midlands</x:v>
      </x:c>
      <x:c r="F1323" t="str">
        <x:v>Marketplace</x:v>
      </x:c>
      <x:c r="G1323" t="str">
        <x:v>Home</x:v>
      </x:c>
      <x:c r="H1323" t="str">
        <x:v>Coffee Maker</x:v>
      </x:c>
      <x:c r="I1323" t="n">
        <x:v>1</x:v>
      </x:c>
      <x:c r="J1323" s="4" t="n">
        <x:v>77.3</x:v>
      </x:c>
      <x:c r="K1323" s="4" t="n">
        <x:v>41</x:v>
      </x:c>
      <x:c r="L1323" s="5" t="n">
        <x:v>0</x:v>
      </x:c>
      <x:c r="M1323" s="4" t="n">
        <x:f>ROUND(I1323*J1323*(1-L1323),2)</x:f>
        <x:v>77.3</x:v>
      </x:c>
      <x:c r="N1323" s="4" t="n">
        <x:f>ROUND(I1323*K1323,2)</x:f>
        <x:v>41</x:v>
      </x:c>
      <x:c r="O1323" s="4" t="n">
        <x:f>ROUND(M1323-N1323,2)</x:f>
        <x:v>36.3</x:v>
      </x:c>
      <x:c r="P1323" s="6" t="n">
        <x:v>4.9</x:v>
      </x:c>
      <x:c r="Q1323" t="str">
        <x:v>No</x:v>
      </x:c>
    </x:row>
    <x:row r="1324">
      <x:c r="A1324" t="str">
        <x:v>ORD-01548</x:v>
      </x:c>
      <x:c r="B1324" s="3" t="n">
        <x:v>45836.144930138886</x:v>
      </x:c>
      <x:c r="C1324" t="str">
        <x:v>2025-06</x:v>
      </x:c>
      <x:c r="D1324" t="str">
        <x:v>CUS-0113</x:v>
      </x:c>
      <x:c r="E1324" t="str">
        <x:v>North West</x:v>
      </x:c>
      <x:c r="F1324" t="str">
        <x:v>Marketplace</x:v>
      </x:c>
      <x:c r="G1324" t="str">
        <x:v>Beauty</x:v>
      </x:c>
      <x:c r="H1324" t="str">
        <x:v>Hair Dryer</x:v>
      </x:c>
      <x:c r="I1324" t="n">
        <x:v>1</x:v>
      </x:c>
      <x:c r="J1324" s="4" t="n">
        <x:v>61.74</x:v>
      </x:c>
      <x:c r="K1324" s="4" t="n">
        <x:v>29</x:v>
      </x:c>
      <x:c r="L1324" s="5" t="n">
        <x:v>0</x:v>
      </x:c>
      <x:c r="M1324" s="4" t="n">
        <x:f>ROUND(I1324*J1324*(1-L1324),2)</x:f>
        <x:v>61.74</x:v>
      </x:c>
      <x:c r="N1324" s="4" t="n">
        <x:f>ROUND(I1324*K1324,2)</x:f>
        <x:v>29</x:v>
      </x:c>
      <x:c r="O1324" s="4" t="n">
        <x:f>ROUND(M1324-N1324,2)</x:f>
        <x:v>32.74</x:v>
      </x:c>
      <x:c r="P1324" s="6" t="n">
        <x:v>3.5</x:v>
      </x:c>
      <x:c r="Q1324" t="str">
        <x:v>No</x:v>
      </x:c>
    </x:row>
    <x:row r="1325">
      <x:c r="A1325" t="str">
        <x:v>ORD-00447</x:v>
      </x:c>
      <x:c r="B1325" s="3" t="n">
        <x:v>45837.57195928241</x:v>
      </x:c>
      <x:c r="C1325" t="str">
        <x:v>2025-06</x:v>
      </x:c>
      <x:c r="D1325" t="str">
        <x:v>CUS-0343</x:v>
      </x:c>
      <x:c r="E1325" t="str">
        <x:v>South East</x:v>
      </x:c>
      <x:c r="F1325" t="str">
        <x:v>Marketplace</x:v>
      </x:c>
      <x:c r="G1325" t="str">
        <x:v>Fashion</x:v>
      </x:c>
      <x:c r="H1325" t="str">
        <x:v>Classic Trainers</x:v>
      </x:c>
      <x:c r="I1325" t="n">
        <x:v>2</x:v>
      </x:c>
      <x:c r="J1325" s="4" t="n">
        <x:v>68.93</x:v>
      </x:c>
      <x:c r="K1325" s="4" t="n">
        <x:v>32</x:v>
      </x:c>
      <x:c r="L1325" s="5" t="n">
        <x:v>0.15</x:v>
      </x:c>
      <x:c r="M1325" s="4" t="n">
        <x:f>ROUND(I1325*J1325*(1-L1325),2)</x:f>
        <x:v>117.18</x:v>
      </x:c>
      <x:c r="N1325" s="4" t="n">
        <x:f>ROUND(I1325*K1325,2)</x:f>
        <x:v>64</x:v>
      </x:c>
      <x:c r="O1325" s="4" t="n">
        <x:f>ROUND(M1325-N1325,2)</x:f>
        <x:v>53.18</x:v>
      </x:c>
      <x:c r="P1325" s="6" t="n">
        <x:v>4.2</x:v>
      </x:c>
      <x:c r="Q1325" t="str">
        <x:v>No</x:v>
      </x:c>
    </x:row>
    <x:row r="1326">
      <x:c r="A1326" t="str">
        <x:v>ORD-01417</x:v>
      </x:c>
      <x:c r="B1326" s="3" t="n">
        <x:v>45838.96449034722</x:v>
      </x:c>
      <x:c r="C1326" t="str">
        <x:v>2025-06</x:v>
      </x:c>
      <x:c r="D1326" t="str">
        <x:v>CUS-0209</x:v>
      </x:c>
      <x:c r="E1326" t="str">
        <x:v>London</x:v>
      </x:c>
      <x:c r="F1326" t="str">
        <x:v>Store</x:v>
      </x:c>
      <x:c r="G1326" t="str">
        <x:v>Books</x:v>
      </x:c>
      <x:c r="H1326" t="str">
        <x:v>Data Analytics Handbook</x:v>
      </x:c>
      <x:c r="I1326" t="n">
        <x:v>3</x:v>
      </x:c>
      <x:c r="J1326" s="4" t="n">
        <x:v>40.77</x:v>
      </x:c>
      <x:c r="K1326" s="4" t="n">
        <x:v>14</x:v>
      </x:c>
      <x:c r="L1326" s="5" t="n">
        <x:v>0.2</x:v>
      </x:c>
      <x:c r="M1326" s="4" t="n">
        <x:f>ROUND(I1326*J1326*(1-L1326),2)</x:f>
        <x:v>97.85</x:v>
      </x:c>
      <x:c r="N1326" s="4" t="n">
        <x:f>ROUND(I1326*K1326,2)</x:f>
        <x:v>42</x:v>
      </x:c>
      <x:c r="O1326" s="4" t="n">
        <x:f>ROUND(M1326-N1326,2)</x:f>
        <x:v>55.85</x:v>
      </x:c>
      <x:c r="P1326" s="6" t="n">
        <x:v>3.7</x:v>
      </x:c>
      <x:c r="Q1326" t="str">
        <x:v>No</x:v>
      </x:c>
    </x:row>
    <x:row r="1327">
      <x:c r="A1327" t="str">
        <x:v>ORD-01345</x:v>
      </x:c>
      <x:c r="B1327" s="3" t="n">
        <x:v>45839.00799902778</x:v>
      </x:c>
      <x:c r="C1327" t="str">
        <x:v>2025-07</x:v>
      </x:c>
      <x:c r="D1327" t="str">
        <x:v>CUS-0571</x:v>
      </x:c>
      <x:c r="E1327" t="str">
        <x:v>Scotland</x:v>
      </x:c>
      <x:c r="F1327" t="str">
        <x:v>Store</x:v>
      </x:c>
      <x:c r="G1327" t="str">
        <x:v>Electronics</x:v>
      </x:c>
      <x:c r="H1327" t="str">
        <x:v>Bluetooth Speaker</x:v>
      </x:c>
      <x:c r="I1327" t="n">
        <x:v>2</x:v>
      </x:c>
      <x:c r="J1327" s="4" t="n">
        <x:v>63.64</x:v>
      </x:c>
      <x:c r="K1327" s="4" t="n">
        <x:v>34</x:v>
      </x:c>
      <x:c r="L1327" s="5" t="n">
        <x:v>0</x:v>
      </x:c>
      <x:c r="M1327" s="4" t="n">
        <x:f>ROUND(I1327*J1327*(1-L1327),2)</x:f>
        <x:v>127.28</x:v>
      </x:c>
      <x:c r="N1327" s="4" t="n">
        <x:f>ROUND(I1327*K1327,2)</x:f>
        <x:v>68</x:v>
      </x:c>
      <x:c r="O1327" s="4" t="n">
        <x:f>ROUND(M1327-N1327,2)</x:f>
        <x:v>59.28</x:v>
      </x:c>
      <x:c r="P1327" s="6" t="n">
        <x:v>5</x:v>
      </x:c>
      <x:c r="Q1327" t="str">
        <x:v>No</x:v>
      </x:c>
    </x:row>
    <x:row r="1328">
      <x:c r="A1328" t="str">
        <x:v>ORD-00203</x:v>
      </x:c>
      <x:c r="B1328" s="3" t="n">
        <x:v>45839.81659635417</x:v>
      </x:c>
      <x:c r="C1328" t="str">
        <x:v>2025-07</x:v>
      </x:c>
      <x:c r="D1328" t="str">
        <x:v>CUS-0480</x:v>
      </x:c>
      <x:c r="E1328" t="str">
        <x:v>London</x:v>
      </x:c>
      <x:c r="F1328" t="str">
        <x:v>Marketplace</x:v>
      </x:c>
      <x:c r="G1328" t="str">
        <x:v>Books</x:v>
      </x:c>
      <x:c r="H1328" t="str">
        <x:v>Data Analytics Handbook</x:v>
      </x:c>
      <x:c r="I1328" t="n">
        <x:v>5</x:v>
      </x:c>
      <x:c r="J1328" s="4" t="n">
        <x:v>41.2</x:v>
      </x:c>
      <x:c r="K1328" s="4" t="n">
        <x:v>14</x:v>
      </x:c>
      <x:c r="L1328" s="5" t="n">
        <x:v>0.1</x:v>
      </x:c>
      <x:c r="M1328" s="4" t="n">
        <x:f>ROUND(I1328*J1328*(1-L1328),2)</x:f>
        <x:v>185.4</x:v>
      </x:c>
      <x:c r="N1328" s="4" t="n">
        <x:f>ROUND(I1328*K1328,2)</x:f>
        <x:v>70</x:v>
      </x:c>
      <x:c r="O1328" s="4" t="n">
        <x:f>ROUND(M1328-N1328,2)</x:f>
        <x:v>115.4</x:v>
      </x:c>
      <x:c r="P1328" s="6" t="n">
        <x:v>4.9</x:v>
      </x:c>
      <x:c r="Q1328" t="str">
        <x:v>No</x:v>
      </x:c>
    </x:row>
    <x:row r="1329">
      <x:c r="A1329" t="str">
        <x:v>ORD-01123</x:v>
      </x:c>
      <x:c r="B1329" s="3" t="n">
        <x:v>45840.00146265046</x:v>
      </x:c>
      <x:c r="C1329" t="str">
        <x:v>2025-07</x:v>
      </x:c>
      <x:c r="D1329" t="str">
        <x:v>CUS-0147</x:v>
      </x:c>
      <x:c r="E1329" t="str">
        <x:v>Scotland</x:v>
      </x:c>
      <x:c r="F1329" t="str">
        <x:v>Online</x:v>
      </x:c>
      <x:c r="G1329" t="str">
        <x:v>Sports</x:v>
      </x:c>
      <x:c r="H1329" t="str">
        <x:v>Running Shoes</x:v>
      </x:c>
      <x:c r="I1329" t="n">
        <x:v>1</x:v>
      </x:c>
      <x:c r="J1329" s="4" t="n">
        <x:v>77.36</x:v>
      </x:c>
      <x:c r="K1329" s="4" t="n">
        <x:v>38</x:v>
      </x:c>
      <x:c r="L1329" s="5" t="n">
        <x:v>0</x:v>
      </x:c>
      <x:c r="M1329" s="4" t="n">
        <x:f>ROUND(I1329*J1329*(1-L1329),2)</x:f>
        <x:v>77.36</x:v>
      </x:c>
      <x:c r="N1329" s="4" t="n">
        <x:f>ROUND(I1329*K1329,2)</x:f>
        <x:v>38</x:v>
      </x:c>
      <x:c r="O1329" s="4" t="n">
        <x:f>ROUND(M1329-N1329,2)</x:f>
        <x:v>39.36</x:v>
      </x:c>
      <x:c r="P1329" s="6" t="n">
        <x:v>3.6</x:v>
      </x:c>
      <x:c r="Q1329" t="str">
        <x:v>No</x:v>
      </x:c>
    </x:row>
    <x:row r="1330">
      <x:c r="A1330" t="str">
        <x:v>ORD-00725</x:v>
      </x:c>
      <x:c r="B1330" s="3" t="n">
        <x:v>45840.00708173611</x:v>
      </x:c>
      <x:c r="C1330" t="str">
        <x:v>2025-07</x:v>
      </x:c>
      <x:c r="D1330" t="str">
        <x:v>CUS-0199</x:v>
      </x:c>
      <x:c r="E1330" t="str">
        <x:v>Scotland</x:v>
      </x:c>
      <x:c r="F1330" t="str">
        <x:v>Online</x:v>
      </x:c>
      <x:c r="G1330" t="str">
        <x:v>Home</x:v>
      </x:c>
      <x:c r="H1330" t="str">
        <x:v>Coffee Maker</x:v>
      </x:c>
      <x:c r="I1330" t="n">
        <x:v>5</x:v>
      </x:c>
      <x:c r="J1330" s="4" t="n">
        <x:v>78.23</x:v>
      </x:c>
      <x:c r="K1330" s="4" t="n">
        <x:v>41</x:v>
      </x:c>
      <x:c r="L1330" s="5" t="n">
        <x:v>0.1</x:v>
      </x:c>
      <x:c r="M1330" s="4" t="n">
        <x:f>ROUND(I1330*J1330*(1-L1330),2)</x:f>
        <x:v>352.04</x:v>
      </x:c>
      <x:c r="N1330" s="4" t="n">
        <x:f>ROUND(I1330*K1330,2)</x:f>
        <x:v>205</x:v>
      </x:c>
      <x:c r="O1330" s="4" t="n">
        <x:f>ROUND(M1330-N1330,2)</x:f>
        <x:v>147.04</x:v>
      </x:c>
      <x:c r="P1330" s="6" t="n">
        <x:v>4.3</x:v>
      </x:c>
      <x:c r="Q1330" t="str">
        <x:v>No</x:v>
      </x:c>
    </x:row>
    <x:row r="1331">
      <x:c r="A1331" t="str">
        <x:v>ORD-00639</x:v>
      </x:c>
      <x:c r="B1331" s="3" t="n">
        <x:v>45840.230570520835</x:v>
      </x:c>
      <x:c r="C1331" t="str">
        <x:v>2025-07</x:v>
      </x:c>
      <x:c r="D1331" t="str">
        <x:v>CUS-0567</x:v>
      </x:c>
      <x:c r="E1331" t="str">
        <x:v>South East</x:v>
      </x:c>
      <x:c r="F1331" t="str">
        <x:v>Marketplace</x:v>
      </x:c>
      <x:c r="G1331" t="str">
        <x:v>Beauty</x:v>
      </x:c>
      <x:c r="H1331" t="str">
        <x:v>Skin Care Set</x:v>
      </x:c>
      <x:c r="I1331" t="n">
        <x:v>1</x:v>
      </x:c>
      <x:c r="J1331" s="4" t="n">
        <x:v>46.12</x:v>
      </x:c>
      <x:c r="K1331" s="4" t="n">
        <x:v>18</x:v>
      </x:c>
      <x:c r="L1331" s="5" t="n">
        <x:v>0.05</x:v>
      </x:c>
      <x:c r="M1331" s="4" t="n">
        <x:f>ROUND(I1331*J1331*(1-L1331),2)</x:f>
        <x:v>43.81</x:v>
      </x:c>
      <x:c r="N1331" s="4" t="n">
        <x:f>ROUND(I1331*K1331,2)</x:f>
        <x:v>18</x:v>
      </x:c>
      <x:c r="O1331" s="4" t="n">
        <x:f>ROUND(M1331-N1331,2)</x:f>
        <x:v>25.81</x:v>
      </x:c>
      <x:c r="P1331" s="6" t="n">
        <x:v>3.3</x:v>
      </x:c>
      <x:c r="Q1331" t="str">
        <x:v>No</x:v>
      </x:c>
    </x:row>
    <x:row r="1332">
      <x:c r="A1332" t="str">
        <x:v>ORD-00623</x:v>
      </x:c>
      <x:c r="B1332" s="3" t="n">
        <x:v>45840.32868326389</x:v>
      </x:c>
      <x:c r="C1332" t="str">
        <x:v>2025-07</x:v>
      </x:c>
      <x:c r="D1332" t="str">
        <x:v>CUS-0112</x:v>
      </x:c>
      <x:c r="E1332" t="str">
        <x:v>Scotland</x:v>
      </x:c>
      <x:c r="F1332" t="str">
        <x:v>Store</x:v>
      </x:c>
      <x:c r="G1332" t="str">
        <x:v>Sports</x:v>
      </x:c>
      <x:c r="H1332" t="str">
        <x:v>Fitness Tracker</x:v>
      </x:c>
      <x:c r="I1332" t="n">
        <x:v>4</x:v>
      </x:c>
      <x:c r="J1332" s="4" t="n">
        <x:v>54.3</x:v>
      </x:c>
      <x:c r="K1332" s="4" t="n">
        <x:v>27</x:v>
      </x:c>
      <x:c r="L1332" s="5" t="n">
        <x:v>0</x:v>
      </x:c>
      <x:c r="M1332" s="4" t="n">
        <x:f>ROUND(I1332*J1332*(1-L1332),2)</x:f>
        <x:v>217.2</x:v>
      </x:c>
      <x:c r="N1332" s="4" t="n">
        <x:f>ROUND(I1332*K1332,2)</x:f>
        <x:v>108</x:v>
      </x:c>
      <x:c r="O1332" s="4" t="n">
        <x:f>ROUND(M1332-N1332,2)</x:f>
        <x:v>109.2</x:v>
      </x:c>
      <x:c r="P1332" s="6" t="n">
        <x:v>3.9</x:v>
      </x:c>
      <x:c r="Q1332" t="str">
        <x:v>No</x:v>
      </x:c>
    </x:row>
    <x:row r="1333">
      <x:c r="A1333" t="str">
        <x:v>ORD-00942</x:v>
      </x:c>
      <x:c r="B1333" s="3" t="n">
        <x:v>45840.43587731481</x:v>
      </x:c>
      <x:c r="C1333" t="str">
        <x:v>2025-07</x:v>
      </x:c>
      <x:c r="D1333" t="str">
        <x:v>CUS-0467</x:v>
      </x:c>
      <x:c r="E1333" t="str">
        <x:v>South East</x:v>
      </x:c>
      <x:c r="F1333" t="str">
        <x:v>Marketplace</x:v>
      </x:c>
      <x:c r="G1333" t="str">
        <x:v>Books</x:v>
      </x:c>
      <x:c r="H1333" t="str">
        <x:v>Business Intelligence Guide</x:v>
      </x:c>
      <x:c r="I1333" t="n">
        <x:v>4</x:v>
      </x:c>
      <x:c r="J1333" s="4" t="n">
        <x:v>35.98</x:v>
      </x:c>
      <x:c r="K1333" s="4" t="n">
        <x:v>12</x:v>
      </x:c>
      <x:c r="L1333" s="5" t="n">
        <x:v>0.05</x:v>
      </x:c>
      <x:c r="M1333" s="4" t="n">
        <x:f>ROUND(I1333*J1333*(1-L1333),2)</x:f>
        <x:v>136.72</x:v>
      </x:c>
      <x:c r="N1333" s="4" t="n">
        <x:f>ROUND(I1333*K1333,2)</x:f>
        <x:v>48</x:v>
      </x:c>
      <x:c r="O1333" s="4" t="n">
        <x:f>ROUND(M1333-N1333,2)</x:f>
        <x:v>88.72</x:v>
      </x:c>
      <x:c r="P1333" s="6" t="n">
        <x:v>5</x:v>
      </x:c>
      <x:c r="Q1333" t="str">
        <x:v>No</x:v>
      </x:c>
    </x:row>
    <x:row r="1334">
      <x:c r="A1334" t="str">
        <x:v>ORD-00076</x:v>
      </x:c>
      <x:c r="B1334" s="3" t="n">
        <x:v>45841.50886209491</x:v>
      </x:c>
      <x:c r="C1334" t="str">
        <x:v>2025-07</x:v>
      </x:c>
      <x:c r="D1334" t="str">
        <x:v>CUS-0483</x:v>
      </x:c>
      <x:c r="E1334" t="str">
        <x:v>South East</x:v>
      </x:c>
      <x:c r="F1334" t="str">
        <x:v>Marketplace</x:v>
      </x:c>
      <x:c r="G1334" t="str">
        <x:v>Sports</x:v>
      </x:c>
      <x:c r="H1334" t="str">
        <x:v>Fitness Tracker</x:v>
      </x:c>
      <x:c r="I1334" t="n">
        <x:v>4</x:v>
      </x:c>
      <x:c r="J1334" s="4" t="n">
        <x:v>53.82</x:v>
      </x:c>
      <x:c r="K1334" s="4" t="n">
        <x:v>27</x:v>
      </x:c>
      <x:c r="L1334" s="5" t="n">
        <x:v>0.15</x:v>
      </x:c>
      <x:c r="M1334" s="4" t="n">
        <x:f>ROUND(I1334*J1334*(1-L1334),2)</x:f>
        <x:v>182.99</x:v>
      </x:c>
      <x:c r="N1334" s="4" t="n">
        <x:f>ROUND(I1334*K1334,2)</x:f>
        <x:v>108</x:v>
      </x:c>
      <x:c r="O1334" s="4" t="n">
        <x:f>ROUND(M1334-N1334,2)</x:f>
        <x:v>74.99</x:v>
      </x:c>
      <x:c r="P1334" s="6" t="n">
        <x:v>4.8</x:v>
      </x:c>
      <x:c r="Q1334" t="str">
        <x:v>No</x:v>
      </x:c>
    </x:row>
    <x:row r="1335">
      <x:c r="A1335" t="str">
        <x:v>ORD-01459</x:v>
      </x:c>
      <x:c r="B1335" s="3" t="n">
        <x:v>45841.509203043985</x:v>
      </x:c>
      <x:c r="C1335" t="str">
        <x:v>2025-07</x:v>
      </x:c>
      <x:c r="D1335" t="str">
        <x:v>CUS-0273</x:v>
      </x:c>
      <x:c r="E1335" t="str">
        <x:v>Midlands</x:v>
      </x:c>
      <x:c r="F1335" t="str">
        <x:v>Store</x:v>
      </x:c>
      <x:c r="G1335" t="str">
        <x:v>Home</x:v>
      </x:c>
      <x:c r="H1335" t="str">
        <x:v>Desk Lamp</x:v>
      </x:c>
      <x:c r="I1335" t="n">
        <x:v>3</x:v>
      </x:c>
      <x:c r="J1335" s="4" t="n">
        <x:v>35.14</x:v>
      </x:c>
      <x:c r="K1335" s="4" t="n">
        <x:v>17</x:v>
      </x:c>
      <x:c r="L1335" s="5" t="n">
        <x:v>0</x:v>
      </x:c>
      <x:c r="M1335" s="4" t="n">
        <x:f>ROUND(I1335*J1335*(1-L1335),2)</x:f>
        <x:v>105.42</x:v>
      </x:c>
      <x:c r="N1335" s="4" t="n">
        <x:f>ROUND(I1335*K1335,2)</x:f>
        <x:v>51</x:v>
      </x:c>
      <x:c r="O1335" s="4" t="n">
        <x:f>ROUND(M1335-N1335,2)</x:f>
        <x:v>54.42</x:v>
      </x:c>
      <x:c r="P1335" s="6" t="n">
        <x:v>4.7</x:v>
      </x:c>
      <x:c r="Q1335" t="str">
        <x:v>No</x:v>
      </x:c>
    </x:row>
    <x:row r="1336">
      <x:c r="A1336" t="str">
        <x:v>ORD-00816</x:v>
      </x:c>
      <x:c r="B1336" s="3" t="n">
        <x:v>45841.51694569444</x:v>
      </x:c>
      <x:c r="C1336" t="str">
        <x:v>2025-07</x:v>
      </x:c>
      <x:c r="D1336" t="str">
        <x:v>CUS-0558</x:v>
      </x:c>
      <x:c r="E1336" t="str">
        <x:v>Wales</x:v>
      </x:c>
      <x:c r="F1336" t="str">
        <x:v>Store</x:v>
      </x:c>
      <x:c r="G1336" t="str">
        <x:v>Books</x:v>
      </x:c>
      <x:c r="H1336" t="str">
        <x:v>Business Intelligence Guide</x:v>
      </x:c>
      <x:c r="I1336" t="n">
        <x:v>3</x:v>
      </x:c>
      <x:c r="J1336" s="4" t="n">
        <x:v>35.99</x:v>
      </x:c>
      <x:c r="K1336" s="4" t="n">
        <x:v>12</x:v>
      </x:c>
      <x:c r="L1336" s="5" t="n">
        <x:v>0.05</x:v>
      </x:c>
      <x:c r="M1336" s="4" t="n">
        <x:f>ROUND(I1336*J1336*(1-L1336),2)</x:f>
        <x:v>102.57</x:v>
      </x:c>
      <x:c r="N1336" s="4" t="n">
        <x:f>ROUND(I1336*K1336,2)</x:f>
        <x:v>36</x:v>
      </x:c>
      <x:c r="O1336" s="4" t="n">
        <x:f>ROUND(M1336-N1336,2)</x:f>
        <x:v>66.57</x:v>
      </x:c>
      <x:c r="P1336" s="6" t="n">
        <x:v>5</x:v>
      </x:c>
      <x:c r="Q1336" t="str">
        <x:v>No</x:v>
      </x:c>
    </x:row>
    <x:row r="1337">
      <x:c r="A1337" t="str">
        <x:v>ORD-00030</x:v>
      </x:c>
      <x:c r="B1337" s="3" t="n">
        <x:v>45841.525440613426</x:v>
      </x:c>
      <x:c r="C1337" t="str">
        <x:v>2025-07</x:v>
      </x:c>
      <x:c r="D1337" t="str">
        <x:v>CUS-0082</x:v>
      </x:c>
      <x:c r="E1337" t="str">
        <x:v>North West</x:v>
      </x:c>
      <x:c r="F1337" t="str">
        <x:v>Online</x:v>
      </x:c>
      <x:c r="G1337" t="str">
        <x:v>Home</x:v>
      </x:c>
      <x:c r="H1337" t="str">
        <x:v>Desk Lamp</x:v>
      </x:c>
      <x:c r="I1337" t="n">
        <x:v>5</x:v>
      </x:c>
      <x:c r="J1337" s="4" t="n">
        <x:v>36.26</x:v>
      </x:c>
      <x:c r="K1337" s="4" t="n">
        <x:v>17</x:v>
      </x:c>
      <x:c r="L1337" s="5" t="n">
        <x:v>0</x:v>
      </x:c>
      <x:c r="M1337" s="4" t="n">
        <x:f>ROUND(I1337*J1337*(1-L1337),2)</x:f>
        <x:v>181.3</x:v>
      </x:c>
      <x:c r="N1337" s="4" t="n">
        <x:f>ROUND(I1337*K1337,2)</x:f>
        <x:v>85</x:v>
      </x:c>
      <x:c r="O1337" s="4" t="n">
        <x:f>ROUND(M1337-N1337,2)</x:f>
        <x:v>96.3</x:v>
      </x:c>
      <x:c r="P1337" s="6" t="n">
        <x:v>5</x:v>
      </x:c>
      <x:c r="Q1337" t="str">
        <x:v>No</x:v>
      </x:c>
    </x:row>
    <x:row r="1338">
      <x:c r="A1338" t="str">
        <x:v>ORD-00430</x:v>
      </x:c>
      <x:c r="B1338" s="3" t="n">
        <x:v>45841.57187270834</x:v>
      </x:c>
      <x:c r="C1338" t="str">
        <x:v>2025-07</x:v>
      </x:c>
      <x:c r="D1338" t="str">
        <x:v>CUS-0342</x:v>
      </x:c>
      <x:c r="E1338" t="str">
        <x:v>London</x:v>
      </x:c>
      <x:c r="F1338" t="str">
        <x:v>Marketplace</x:v>
      </x:c>
      <x:c r="G1338" t="str">
        <x:v>Home</x:v>
      </x:c>
      <x:c r="H1338" t="str">
        <x:v>Coffee Maker</x:v>
      </x:c>
      <x:c r="I1338" t="n">
        <x:v>4</x:v>
      </x:c>
      <x:c r="J1338" s="4" t="n">
        <x:v>72.31</x:v>
      </x:c>
      <x:c r="K1338" s="4" t="n">
        <x:v>41</x:v>
      </x:c>
      <x:c r="L1338" s="5" t="n">
        <x:v>0.05</x:v>
      </x:c>
      <x:c r="M1338" s="4" t="n">
        <x:f>ROUND(I1338*J1338*(1-L1338),2)</x:f>
        <x:v>274.78</x:v>
      </x:c>
      <x:c r="N1338" s="4" t="n">
        <x:f>ROUND(I1338*K1338,2)</x:f>
        <x:v>164</x:v>
      </x:c>
      <x:c r="O1338" s="4" t="n">
        <x:f>ROUND(M1338-N1338,2)</x:f>
        <x:v>110.78</x:v>
      </x:c>
      <x:c r="P1338" s="6" t="n">
        <x:v>4.9</x:v>
      </x:c>
      <x:c r="Q1338" t="str">
        <x:v>No</x:v>
      </x:c>
    </x:row>
    <x:row r="1339">
      <x:c r="A1339" t="str">
        <x:v>ORD-00141</x:v>
      </x:c>
      <x:c r="B1339" s="3" t="n">
        <x:v>45842.25183166667</x:v>
      </x:c>
      <x:c r="C1339" t="str">
        <x:v>2025-07</x:v>
      </x:c>
      <x:c r="D1339" t="str">
        <x:v>CUS-0466</x:v>
      </x:c>
      <x:c r="E1339" t="str">
        <x:v>North East</x:v>
      </x:c>
      <x:c r="F1339" t="str">
        <x:v>Online</x:v>
      </x:c>
      <x:c r="G1339" t="str">
        <x:v>Fashion</x:v>
      </x:c>
      <x:c r="H1339" t="str">
        <x:v>Backpack</x:v>
      </x:c>
      <x:c r="I1339" t="n">
        <x:v>4</x:v>
      </x:c>
      <x:c r="J1339" s="4" t="n">
        <x:v>52.32</x:v>
      </x:c>
      <x:c r="K1339" s="4" t="n">
        <x:v>21</x:v>
      </x:c>
      <x:c r="L1339" s="5" t="n">
        <x:v>0</x:v>
      </x:c>
      <x:c r="M1339" s="4" t="n">
        <x:f>ROUND(I1339*J1339*(1-L1339),2)</x:f>
        <x:v>209.28</x:v>
      </x:c>
      <x:c r="N1339" s="4" t="n">
        <x:f>ROUND(I1339*K1339,2)</x:f>
        <x:v>84</x:v>
      </x:c>
      <x:c r="O1339" s="4" t="n">
        <x:f>ROUND(M1339-N1339,2)</x:f>
        <x:v>125.28</x:v>
      </x:c>
      <x:c r="P1339" s="6" t="n">
        <x:v>4</x:v>
      </x:c>
      <x:c r="Q1339" t="str">
        <x:v>No</x:v>
      </x:c>
    </x:row>
    <x:row r="1340">
      <x:c r="A1340" t="str">
        <x:v>ORD-00911</x:v>
      </x:c>
      <x:c r="B1340" s="3" t="n">
        <x:v>45843.25561837963</x:v>
      </x:c>
      <x:c r="C1340" t="str">
        <x:v>2025-07</x:v>
      </x:c>
      <x:c r="D1340" t="str">
        <x:v>CUS-0330</x:v>
      </x:c>
      <x:c r="E1340" t="str">
        <x:v>South West</x:v>
      </x:c>
      <x:c r="F1340" t="str">
        <x:v>Marketplace</x:v>
      </x:c>
      <x:c r="G1340" t="str">
        <x:v>Sports</x:v>
      </x:c>
      <x:c r="H1340" t="str">
        <x:v>Yoga Mat</x:v>
      </x:c>
      <x:c r="I1340" t="n">
        <x:v>3</x:v>
      </x:c>
      <x:c r="J1340" s="4" t="n">
        <x:v>28.7</x:v>
      </x:c>
      <x:c r="K1340" s="4" t="n">
        <x:v>12</x:v>
      </x:c>
      <x:c r="L1340" s="5" t="n">
        <x:v>0.1</x:v>
      </x:c>
      <x:c r="M1340" s="4" t="n">
        <x:f>ROUND(I1340*J1340*(1-L1340),2)</x:f>
        <x:v>77.49</x:v>
      </x:c>
      <x:c r="N1340" s="4" t="n">
        <x:f>ROUND(I1340*K1340,2)</x:f>
        <x:v>36</x:v>
      </x:c>
      <x:c r="O1340" s="4" t="n">
        <x:f>ROUND(M1340-N1340,2)</x:f>
        <x:v>41.49</x:v>
      </x:c>
      <x:c r="P1340" s="6" t="n">
        <x:v>3.6</x:v>
      </x:c>
      <x:c r="Q1340" t="str">
        <x:v>No</x:v>
      </x:c>
    </x:row>
    <x:row r="1341">
      <x:c r="A1341" t="str">
        <x:v>ORD-01442</x:v>
      </x:c>
      <x:c r="B1341" s="3" t="n">
        <x:v>45843.415816099536</x:v>
      </x:c>
      <x:c r="C1341" t="str">
        <x:v>2025-07</x:v>
      </x:c>
      <x:c r="D1341" t="str">
        <x:v>CUS-0088</x:v>
      </x:c>
      <x:c r="E1341" t="str">
        <x:v>South West</x:v>
      </x:c>
      <x:c r="F1341" t="str">
        <x:v>Online</x:v>
      </x:c>
      <x:c r="G1341" t="str">
        <x:v>Fashion</x:v>
      </x:c>
      <x:c r="H1341" t="str">
        <x:v>Classic Trainers</x:v>
      </x:c>
      <x:c r="I1341" t="n">
        <x:v>2</x:v>
      </x:c>
      <x:c r="J1341" s="4" t="n">
        <x:v>73.2</x:v>
      </x:c>
      <x:c r="K1341" s="4" t="n">
        <x:v>32</x:v>
      </x:c>
      <x:c r="L1341" s="5" t="n">
        <x:v>0.2</x:v>
      </x:c>
      <x:c r="M1341" s="4" t="n">
        <x:f>ROUND(I1341*J1341*(1-L1341),2)</x:f>
        <x:v>117.12</x:v>
      </x:c>
      <x:c r="N1341" s="4" t="n">
        <x:f>ROUND(I1341*K1341,2)</x:f>
        <x:v>64</x:v>
      </x:c>
      <x:c r="O1341" s="4" t="n">
        <x:f>ROUND(M1341-N1341,2)</x:f>
        <x:v>53.12</x:v>
      </x:c>
      <x:c r="P1341" s="6" t="n">
        <x:v>5</x:v>
      </x:c>
      <x:c r="Q1341" t="str">
        <x:v>Yes</x:v>
      </x:c>
    </x:row>
    <x:row r="1342">
      <x:c r="A1342" t="str">
        <x:v>ORD-01137</x:v>
      </x:c>
      <x:c r="B1342" s="3" t="n">
        <x:v>45843.67378527778</x:v>
      </x:c>
      <x:c r="C1342" t="str">
        <x:v>2025-07</x:v>
      </x:c>
      <x:c r="D1342" t="str">
        <x:v>CUS-0307</x:v>
      </x:c>
      <x:c r="E1342" t="str">
        <x:v>London</x:v>
      </x:c>
      <x:c r="F1342" t="str">
        <x:v>Marketplace</x:v>
      </x:c>
      <x:c r="G1342" t="str">
        <x:v>Books</x:v>
      </x:c>
      <x:c r="H1342" t="str">
        <x:v>Data Analytics Handbook</x:v>
      </x:c>
      <x:c r="I1342" t="n">
        <x:v>2</x:v>
      </x:c>
      <x:c r="J1342" s="4" t="n">
        <x:v>38.55</x:v>
      </x:c>
      <x:c r="K1342" s="4" t="n">
        <x:v>14</x:v>
      </x:c>
      <x:c r="L1342" s="5" t="n">
        <x:v>0.2</x:v>
      </x:c>
      <x:c r="M1342" s="4" t="n">
        <x:f>ROUND(I1342*J1342*(1-L1342),2)</x:f>
        <x:v>61.68</x:v>
      </x:c>
      <x:c r="N1342" s="4" t="n">
        <x:f>ROUND(I1342*K1342,2)</x:f>
        <x:v>28</x:v>
      </x:c>
      <x:c r="O1342" s="4" t="n">
        <x:f>ROUND(M1342-N1342,2)</x:f>
        <x:v>33.68</x:v>
      </x:c>
      <x:c r="P1342" s="6" t="n">
        <x:v>4.8</x:v>
      </x:c>
      <x:c r="Q1342" t="str">
        <x:v>No</x:v>
      </x:c>
    </x:row>
    <x:row r="1343">
      <x:c r="A1343" t="str">
        <x:v>ORD-00891</x:v>
      </x:c>
      <x:c r="B1343" s="3" t="n">
        <x:v>45843.6910409375</x:v>
      </x:c>
      <x:c r="C1343" t="str">
        <x:v>2025-07</x:v>
      </x:c>
      <x:c r="D1343" t="str">
        <x:v>CUS-0061</x:v>
      </x:c>
      <x:c r="E1343" t="str">
        <x:v>Scotland</x:v>
      </x:c>
      <x:c r="F1343" t="str">
        <x:v>Store</x:v>
      </x:c>
      <x:c r="G1343" t="str">
        <x:v>Home</x:v>
      </x:c>
      <x:c r="H1343" t="str">
        <x:v>Air Fryer</x:v>
      </x:c>
      <x:c r="I1343" t="n">
        <x:v>5</x:v>
      </x:c>
      <x:c r="J1343" s="4" t="n">
        <x:v>116.26</x:v>
      </x:c>
      <x:c r="K1343" s="4" t="n">
        <x:v>69</x:v>
      </x:c>
      <x:c r="L1343" s="5" t="n">
        <x:v>0</x:v>
      </x:c>
      <x:c r="M1343" s="4" t="n">
        <x:f>ROUND(I1343*J1343*(1-L1343),2)</x:f>
        <x:v>581.3</x:v>
      </x:c>
      <x:c r="N1343" s="4" t="n">
        <x:f>ROUND(I1343*K1343,2)</x:f>
        <x:v>345</x:v>
      </x:c>
      <x:c r="O1343" s="4" t="n">
        <x:f>ROUND(M1343-N1343,2)</x:f>
        <x:v>236.3</x:v>
      </x:c>
      <x:c r="P1343" s="6" t="n">
        <x:v>3.4</x:v>
      </x:c>
      <x:c r="Q1343" t="str">
        <x:v>No</x:v>
      </x:c>
    </x:row>
    <x:row r="1344">
      <x:c r="A1344" t="str">
        <x:v>ORD-00131</x:v>
      </x:c>
      <x:c r="B1344" s="3" t="n">
        <x:v>45843.86328349537</x:v>
      </x:c>
      <x:c r="C1344" t="str">
        <x:v>2025-07</x:v>
      </x:c>
      <x:c r="D1344" t="str">
        <x:v>CUS-0359</x:v>
      </x:c>
      <x:c r="E1344" t="str">
        <x:v>North West</x:v>
      </x:c>
      <x:c r="F1344" t="str">
        <x:v>Store</x:v>
      </x:c>
      <x:c r="G1344" t="str">
        <x:v>Electronics</x:v>
      </x:c>
      <x:c r="H1344" t="str">
        <x:v>Wireless Headphones</x:v>
      </x:c>
      <x:c r="I1344" t="n">
        <x:v>2</x:v>
      </x:c>
      <x:c r="J1344" s="4" t="n">
        <x:v>88</x:v>
      </x:c>
      <x:c r="K1344" s="4" t="n">
        <x:v>48</x:v>
      </x:c>
      <x:c r="L1344" s="5" t="n">
        <x:v>0</x:v>
      </x:c>
      <x:c r="M1344" s="4" t="n">
        <x:f>ROUND(I1344*J1344*(1-L1344),2)</x:f>
        <x:v>176</x:v>
      </x:c>
      <x:c r="N1344" s="4" t="n">
        <x:f>ROUND(I1344*K1344,2)</x:f>
        <x:v>96</x:v>
      </x:c>
      <x:c r="O1344" s="4" t="n">
        <x:f>ROUND(M1344-N1344,2)</x:f>
        <x:v>80</x:v>
      </x:c>
      <x:c r="P1344" s="6" t="n">
        <x:v>4.6</x:v>
      </x:c>
      <x:c r="Q1344" t="str">
        <x:v>Yes</x:v>
      </x:c>
    </x:row>
    <x:row r="1345">
      <x:c r="A1345" t="str">
        <x:v>ORD-01578</x:v>
      </x:c>
      <x:c r="B1345" s="3" t="n">
        <x:v>45844.30506111111</x:v>
      </x:c>
      <x:c r="C1345" t="str">
        <x:v>2025-07</x:v>
      </x:c>
      <x:c r="D1345" t="str">
        <x:v>CUS-0384</x:v>
      </x:c>
      <x:c r="E1345" t="str">
        <x:v>Midlands</x:v>
      </x:c>
      <x:c r="F1345" t="str">
        <x:v>Marketplace</x:v>
      </x:c>
      <x:c r="G1345" t="str">
        <x:v>Home</x:v>
      </x:c>
      <x:c r="H1345" t="str">
        <x:v>Desk Lamp</x:v>
      </x:c>
      <x:c r="I1345" t="n">
        <x:v>1</x:v>
      </x:c>
      <x:c r="J1345" s="4" t="n">
        <x:v>34.78</x:v>
      </x:c>
      <x:c r="K1345" s="4" t="n">
        <x:v>17</x:v>
      </x:c>
      <x:c r="L1345" s="5" t="n">
        <x:v>0.2</x:v>
      </x:c>
      <x:c r="M1345" s="4" t="n">
        <x:f>ROUND(I1345*J1345*(1-L1345),2)</x:f>
        <x:v>27.82</x:v>
      </x:c>
      <x:c r="N1345" s="4" t="n">
        <x:f>ROUND(I1345*K1345,2)</x:f>
        <x:v>17</x:v>
      </x:c>
      <x:c r="O1345" s="4" t="n">
        <x:f>ROUND(M1345-N1345,2)</x:f>
        <x:v>10.82</x:v>
      </x:c>
      <x:c r="P1345" s="6" t="n">
        <x:v>4.8</x:v>
      </x:c>
      <x:c r="Q1345" t="str">
        <x:v>No</x:v>
      </x:c>
    </x:row>
    <x:row r="1346">
      <x:c r="A1346" t="str">
        <x:v>ORD-01365</x:v>
      </x:c>
      <x:c r="B1346" s="3" t="n">
        <x:v>45844.57529914352</x:v>
      </x:c>
      <x:c r="C1346" t="str">
        <x:v>2025-07</x:v>
      </x:c>
      <x:c r="D1346" t="str">
        <x:v>CUS-0588</x:v>
      </x:c>
      <x:c r="E1346" t="str">
        <x:v>South West</x:v>
      </x:c>
      <x:c r="F1346" t="str">
        <x:v>Store</x:v>
      </x:c>
      <x:c r="G1346" t="str">
        <x:v>Sports</x:v>
      </x:c>
      <x:c r="H1346" t="str">
        <x:v>Fitness Tracker</x:v>
      </x:c>
      <x:c r="I1346" t="n">
        <x:v>4</x:v>
      </x:c>
      <x:c r="J1346" s="4" t="n">
        <x:v>55.59</x:v>
      </x:c>
      <x:c r="K1346" s="4" t="n">
        <x:v>27</x:v>
      </x:c>
      <x:c r="L1346" s="5" t="n">
        <x:v>0.2</x:v>
      </x:c>
      <x:c r="M1346" s="4" t="n">
        <x:f>ROUND(I1346*J1346*(1-L1346),2)</x:f>
        <x:v>177.89</x:v>
      </x:c>
      <x:c r="N1346" s="4" t="n">
        <x:f>ROUND(I1346*K1346,2)</x:f>
        <x:v>108</x:v>
      </x:c>
      <x:c r="O1346" s="4" t="n">
        <x:f>ROUND(M1346-N1346,2)</x:f>
        <x:v>69.89</x:v>
      </x:c>
      <x:c r="P1346" s="6" t="n">
        <x:v>4.8</x:v>
      </x:c>
      <x:c r="Q1346" t="str">
        <x:v>No</x:v>
      </x:c>
    </x:row>
    <x:row r="1347">
      <x:c r="A1347" t="str">
        <x:v>ORD-01304</x:v>
      </x:c>
      <x:c r="B1347" s="3" t="n">
        <x:v>45845.11685244213</x:v>
      </x:c>
      <x:c r="C1347" t="str">
        <x:v>2025-07</x:v>
      </x:c>
      <x:c r="D1347" t="str">
        <x:v>CUS-0323</x:v>
      </x:c>
      <x:c r="E1347" t="str">
        <x:v>North West</x:v>
      </x:c>
      <x:c r="F1347" t="str">
        <x:v>Marketplace</x:v>
      </x:c>
      <x:c r="G1347" t="str">
        <x:v>Home</x:v>
      </x:c>
      <x:c r="H1347" t="str">
        <x:v>Desk Lamp</x:v>
      </x:c>
      <x:c r="I1347" t="n">
        <x:v>2</x:v>
      </x:c>
      <x:c r="J1347" s="4" t="n">
        <x:v>35.21</x:v>
      </x:c>
      <x:c r="K1347" s="4" t="n">
        <x:v>17</x:v>
      </x:c>
      <x:c r="L1347" s="5" t="n">
        <x:v>0</x:v>
      </x:c>
      <x:c r="M1347" s="4" t="n">
        <x:f>ROUND(I1347*J1347*(1-L1347),2)</x:f>
        <x:v>70.42</x:v>
      </x:c>
      <x:c r="N1347" s="4" t="n">
        <x:f>ROUND(I1347*K1347,2)</x:f>
        <x:v>34</x:v>
      </x:c>
      <x:c r="O1347" s="4" t="n">
        <x:f>ROUND(M1347-N1347,2)</x:f>
        <x:v>36.42</x:v>
      </x:c>
      <x:c r="P1347" s="6" t="n">
        <x:v>5</x:v>
      </x:c>
      <x:c r="Q1347" t="str">
        <x:v>No</x:v>
      </x:c>
    </x:row>
    <x:row r="1348">
      <x:c r="A1348" t="str">
        <x:v>ORD-00743</x:v>
      </x:c>
      <x:c r="B1348" s="3" t="n">
        <x:v>45846.0052853588</x:v>
      </x:c>
      <x:c r="C1348" t="str">
        <x:v>2025-07</x:v>
      </x:c>
      <x:c r="D1348" t="str">
        <x:v>CUS-0311</x:v>
      </x:c>
      <x:c r="E1348" t="str">
        <x:v>London</x:v>
      </x:c>
      <x:c r="F1348" t="str">
        <x:v>Marketplace</x:v>
      </x:c>
      <x:c r="G1348" t="str">
        <x:v>Electronics</x:v>
      </x:c>
      <x:c r="H1348" t="str">
        <x:v>Bluetooth Speaker</x:v>
      </x:c>
      <x:c r="I1348" t="n">
        <x:v>5</x:v>
      </x:c>
      <x:c r="J1348" s="4" t="n">
        <x:v>62.9</x:v>
      </x:c>
      <x:c r="K1348" s="4" t="n">
        <x:v>34</x:v>
      </x:c>
      <x:c r="L1348" s="5" t="n">
        <x:v>0.2</x:v>
      </x:c>
      <x:c r="M1348" s="4" t="n">
        <x:f>ROUND(I1348*J1348*(1-L1348),2)</x:f>
        <x:v>251.6</x:v>
      </x:c>
      <x:c r="N1348" s="4" t="n">
        <x:f>ROUND(I1348*K1348,2)</x:f>
        <x:v>170</x:v>
      </x:c>
      <x:c r="O1348" s="4" t="n">
        <x:f>ROUND(M1348-N1348,2)</x:f>
        <x:v>81.6</x:v>
      </x:c>
      <x:c r="P1348" s="6" t="n">
        <x:v>3.9</x:v>
      </x:c>
      <x:c r="Q1348" t="str">
        <x:v>No</x:v>
      </x:c>
    </x:row>
    <x:row r="1349">
      <x:c r="A1349" t="str">
        <x:v>ORD-00861</x:v>
      </x:c>
      <x:c r="B1349" s="3" t="n">
        <x:v>45846.00845828704</x:v>
      </x:c>
      <x:c r="C1349" t="str">
        <x:v>2025-07</x:v>
      </x:c>
      <x:c r="D1349" t="str">
        <x:v>CUS-0063</x:v>
      </x:c>
      <x:c r="E1349" t="str">
        <x:v>North East</x:v>
      </x:c>
      <x:c r="F1349" t="str">
        <x:v>Store</x:v>
      </x:c>
      <x:c r="G1349" t="str">
        <x:v>Sports</x:v>
      </x:c>
      <x:c r="H1349" t="str">
        <x:v>Running Shoes</x:v>
      </x:c>
      <x:c r="I1349" t="n">
        <x:v>2</x:v>
      </x:c>
      <x:c r="J1349" s="4" t="n">
        <x:v>77.59</x:v>
      </x:c>
      <x:c r="K1349" s="4" t="n">
        <x:v>38</x:v>
      </x:c>
      <x:c r="L1349" s="5" t="n">
        <x:v>0.2</x:v>
      </x:c>
      <x:c r="M1349" s="4" t="n">
        <x:f>ROUND(I1349*J1349*(1-L1349),2)</x:f>
        <x:v>124.14</x:v>
      </x:c>
      <x:c r="N1349" s="4" t="n">
        <x:f>ROUND(I1349*K1349,2)</x:f>
        <x:v>76</x:v>
      </x:c>
      <x:c r="O1349" s="4" t="n">
        <x:f>ROUND(M1349-N1349,2)</x:f>
        <x:v>48.14</x:v>
      </x:c>
      <x:c r="P1349" s="6" t="n">
        <x:v>5</x:v>
      </x:c>
      <x:c r="Q1349" t="str">
        <x:v>No</x:v>
      </x:c>
    </x:row>
    <x:row r="1350">
      <x:c r="A1350" t="str">
        <x:v>ORD-00849</x:v>
      </x:c>
      <x:c r="B1350" s="3" t="n">
        <x:v>45846.40594164352</x:v>
      </x:c>
      <x:c r="C1350" t="str">
        <x:v>2025-07</x:v>
      </x:c>
      <x:c r="D1350" t="str">
        <x:v>CUS-0189</x:v>
      </x:c>
      <x:c r="E1350" t="str">
        <x:v>London</x:v>
      </x:c>
      <x:c r="F1350" t="str">
        <x:v>Marketplace</x:v>
      </x:c>
      <x:c r="G1350" t="str">
        <x:v>Fashion</x:v>
      </x:c>
      <x:c r="H1350" t="str">
        <x:v>Classic Trainers</x:v>
      </x:c>
      <x:c r="I1350" t="n">
        <x:v>1</x:v>
      </x:c>
      <x:c r="J1350" s="4" t="n">
        <x:v>71.2</x:v>
      </x:c>
      <x:c r="K1350" s="4" t="n">
        <x:v>32</x:v>
      </x:c>
      <x:c r="L1350" s="5" t="n">
        <x:v>0.15</x:v>
      </x:c>
      <x:c r="M1350" s="4" t="n">
        <x:f>ROUND(I1350*J1350*(1-L1350),2)</x:f>
        <x:v>60.52</x:v>
      </x:c>
      <x:c r="N1350" s="4" t="n">
        <x:f>ROUND(I1350*K1350,2)</x:f>
        <x:v>32</x:v>
      </x:c>
      <x:c r="O1350" s="4" t="n">
        <x:f>ROUND(M1350-N1350,2)</x:f>
        <x:v>28.52</x:v>
      </x:c>
      <x:c r="P1350" s="6" t="n">
        <x:v>5</x:v>
      </x:c>
      <x:c r="Q1350" t="str">
        <x:v>Yes</x:v>
      </x:c>
    </x:row>
    <x:row r="1351">
      <x:c r="A1351" t="str">
        <x:v>ORD-01080</x:v>
      </x:c>
      <x:c r="B1351" s="3" t="n">
        <x:v>45846.532985046295</x:v>
      </x:c>
      <x:c r="C1351" t="str">
        <x:v>2025-07</x:v>
      </x:c>
      <x:c r="D1351" t="str">
        <x:v>CUS-0067</x:v>
      </x:c>
      <x:c r="E1351" t="str">
        <x:v>Scotland</x:v>
      </x:c>
      <x:c r="F1351" t="str">
        <x:v>Online</x:v>
      </x:c>
      <x:c r="G1351" t="str">
        <x:v>Sports</x:v>
      </x:c>
      <x:c r="H1351" t="str">
        <x:v>Running Shoes</x:v>
      </x:c>
      <x:c r="I1351" t="n">
        <x:v>4</x:v>
      </x:c>
      <x:c r="J1351" s="4" t="n">
        <x:v>83.99</x:v>
      </x:c>
      <x:c r="K1351" s="4" t="n">
        <x:v>38</x:v>
      </x:c>
      <x:c r="L1351" s="5" t="n">
        <x:v>0</x:v>
      </x:c>
      <x:c r="M1351" s="4" t="n">
        <x:f>ROUND(I1351*J1351*(1-L1351),2)</x:f>
        <x:v>335.96</x:v>
      </x:c>
      <x:c r="N1351" s="4" t="n">
        <x:f>ROUND(I1351*K1351,2)</x:f>
        <x:v>152</x:v>
      </x:c>
      <x:c r="O1351" s="4" t="n">
        <x:f>ROUND(M1351-N1351,2)</x:f>
        <x:v>183.96</x:v>
      </x:c>
      <x:c r="P1351" s="6" t="n">
        <x:v>3.5</x:v>
      </x:c>
      <x:c r="Q1351" t="str">
        <x:v>No</x:v>
      </x:c>
    </x:row>
    <x:row r="1352">
      <x:c r="A1352" t="str">
        <x:v>ORD-01409</x:v>
      </x:c>
      <x:c r="B1352" s="3" t="n">
        <x:v>45846.97286787037</x:v>
      </x:c>
      <x:c r="C1352" t="str">
        <x:v>2025-07</x:v>
      </x:c>
      <x:c r="D1352" t="str">
        <x:v>CUS-0587</x:v>
      </x:c>
      <x:c r="E1352" t="str">
        <x:v>North West</x:v>
      </x:c>
      <x:c r="F1352" t="str">
        <x:v>Online</x:v>
      </x:c>
      <x:c r="G1352" t="str">
        <x:v>Sports</x:v>
      </x:c>
      <x:c r="H1352" t="str">
        <x:v>Running Shoes</x:v>
      </x:c>
      <x:c r="I1352" t="n">
        <x:v>2</x:v>
      </x:c>
      <x:c r="J1352" s="4" t="n">
        <x:v>80</x:v>
      </x:c>
      <x:c r="K1352" s="4" t="n">
        <x:v>38</x:v>
      </x:c>
      <x:c r="L1352" s="5" t="n">
        <x:v>0.2</x:v>
      </x:c>
      <x:c r="M1352" s="4" t="n">
        <x:f>ROUND(I1352*J1352*(1-L1352),2)</x:f>
        <x:v>128</x:v>
      </x:c>
      <x:c r="N1352" s="4" t="n">
        <x:f>ROUND(I1352*K1352,2)</x:f>
        <x:v>76</x:v>
      </x:c>
      <x:c r="O1352" s="4" t="n">
        <x:f>ROUND(M1352-N1352,2)</x:f>
        <x:v>52</x:v>
      </x:c>
      <x:c r="P1352" s="6" t="n">
        <x:v>4.1</x:v>
      </x:c>
      <x:c r="Q1352" t="str">
        <x:v>No</x:v>
      </x:c>
    </x:row>
    <x:row r="1353">
      <x:c r="A1353" t="str">
        <x:v>ORD-00259</x:v>
      </x:c>
      <x:c r="B1353" s="3" t="n">
        <x:v>45847.25408266204</x:v>
      </x:c>
      <x:c r="C1353" t="str">
        <x:v>2025-07</x:v>
      </x:c>
      <x:c r="D1353" t="str">
        <x:v>CUS-0316</x:v>
      </x:c>
      <x:c r="E1353" t="str">
        <x:v>London</x:v>
      </x:c>
      <x:c r="F1353" t="str">
        <x:v>Marketplace</x:v>
      </x:c>
      <x:c r="G1353" t="str">
        <x:v>Fashion</x:v>
      </x:c>
      <x:c r="H1353" t="str">
        <x:v>Winter Jacket</x:v>
      </x:c>
      <x:c r="I1353" t="n">
        <x:v>3</x:v>
      </x:c>
      <x:c r="J1353" s="4" t="n">
        <x:v>92.74</x:v>
      </x:c>
      <x:c r="K1353" s="4" t="n">
        <x:v>46</x:v>
      </x:c>
      <x:c r="L1353" s="5" t="n">
        <x:v>0.1</x:v>
      </x:c>
      <x:c r="M1353" s="4" t="n">
        <x:f>ROUND(I1353*J1353*(1-L1353),2)</x:f>
        <x:v>250.4</x:v>
      </x:c>
      <x:c r="N1353" s="4" t="n">
        <x:f>ROUND(I1353*K1353,2)</x:f>
        <x:v>138</x:v>
      </x:c>
      <x:c r="O1353" s="4" t="n">
        <x:f>ROUND(M1353-N1353,2)</x:f>
        <x:v>112.4</x:v>
      </x:c>
      <x:c r="P1353" s="6" t="n">
        <x:v>3.6</x:v>
      </x:c>
      <x:c r="Q1353" t="str">
        <x:v>No</x:v>
      </x:c>
    </x:row>
    <x:row r="1354">
      <x:c r="A1354" t="str">
        <x:v>ORD-00792</x:v>
      </x:c>
      <x:c r="B1354" s="3" t="n">
        <x:v>45847.31939903935</x:v>
      </x:c>
      <x:c r="C1354" t="str">
        <x:v>2025-07</x:v>
      </x:c>
      <x:c r="D1354" t="str">
        <x:v>CUS-0454</x:v>
      </x:c>
      <x:c r="E1354" t="str">
        <x:v>Wales</x:v>
      </x:c>
      <x:c r="F1354" t="str">
        <x:v>Marketplace</x:v>
      </x:c>
      <x:c r="G1354" t="str">
        <x:v>Sports</x:v>
      </x:c>
      <x:c r="H1354" t="str">
        <x:v>Fitness Tracker</x:v>
      </x:c>
      <x:c r="I1354" t="n">
        <x:v>1</x:v>
      </x:c>
      <x:c r="J1354" s="4" t="n">
        <x:v>53.8</x:v>
      </x:c>
      <x:c r="K1354" s="4" t="n">
        <x:v>27</x:v>
      </x:c>
      <x:c r="L1354" s="5" t="n">
        <x:v>0</x:v>
      </x:c>
      <x:c r="M1354" s="4" t="n">
        <x:f>ROUND(I1354*J1354*(1-L1354),2)</x:f>
        <x:v>53.8</x:v>
      </x:c>
      <x:c r="N1354" s="4" t="n">
        <x:f>ROUND(I1354*K1354,2)</x:f>
        <x:v>27</x:v>
      </x:c>
      <x:c r="O1354" s="4" t="n">
        <x:f>ROUND(M1354-N1354,2)</x:f>
        <x:v>26.8</x:v>
      </x:c>
      <x:c r="P1354" s="6" t="n">
        <x:v>4.3</x:v>
      </x:c>
      <x:c r="Q1354" t="str">
        <x:v>Yes</x:v>
      </x:c>
    </x:row>
    <x:row r="1355">
      <x:c r="A1355" t="str">
        <x:v>ORD-01385</x:v>
      </x:c>
      <x:c r="B1355" s="3" t="n">
        <x:v>45847.34137943287</x:v>
      </x:c>
      <x:c r="C1355" t="str">
        <x:v>2025-07</x:v>
      </x:c>
      <x:c r="D1355" t="str">
        <x:v>CUS-0188</x:v>
      </x:c>
      <x:c r="E1355" t="str">
        <x:v>South East</x:v>
      </x:c>
      <x:c r="F1355" t="str">
        <x:v>Marketplace</x:v>
      </x:c>
      <x:c r="G1355" t="str">
        <x:v>Fashion</x:v>
      </x:c>
      <x:c r="H1355" t="str">
        <x:v>Backpack</x:v>
      </x:c>
      <x:c r="I1355" t="n">
        <x:v>1</x:v>
      </x:c>
      <x:c r="J1355" s="4" t="n">
        <x:v>49.06</x:v>
      </x:c>
      <x:c r="K1355" s="4" t="n">
        <x:v>21</x:v>
      </x:c>
      <x:c r="L1355" s="5" t="n">
        <x:v>0</x:v>
      </x:c>
      <x:c r="M1355" s="4" t="n">
        <x:f>ROUND(I1355*J1355*(1-L1355),2)</x:f>
        <x:v>49.06</x:v>
      </x:c>
      <x:c r="N1355" s="4" t="n">
        <x:f>ROUND(I1355*K1355,2)</x:f>
        <x:v>21</x:v>
      </x:c>
      <x:c r="O1355" s="4" t="n">
        <x:f>ROUND(M1355-N1355,2)</x:f>
        <x:v>28.06</x:v>
      </x:c>
      <x:c r="P1355" s="6" t="n">
        <x:v>3.8</x:v>
      </x:c>
      <x:c r="Q1355" t="str">
        <x:v>No</x:v>
      </x:c>
    </x:row>
    <x:row r="1356">
      <x:c r="A1356" t="str">
        <x:v>ORD-00533</x:v>
      </x:c>
      <x:c r="B1356" s="3" t="n">
        <x:v>45847.37732392361</x:v>
      </x:c>
      <x:c r="C1356" t="str">
        <x:v>2025-07</x:v>
      </x:c>
      <x:c r="D1356" t="str">
        <x:v>CUS-0009</x:v>
      </x:c>
      <x:c r="E1356" t="str">
        <x:v>South East</x:v>
      </x:c>
      <x:c r="F1356" t="str">
        <x:v>Online</x:v>
      </x:c>
      <x:c r="G1356" t="str">
        <x:v>Fashion</x:v>
      </x:c>
      <x:c r="H1356" t="str">
        <x:v>Backpack</x:v>
      </x:c>
      <x:c r="I1356" t="n">
        <x:v>1</x:v>
      </x:c>
      <x:c r="J1356" s="4" t="n">
        <x:v>50.16</x:v>
      </x:c>
      <x:c r="K1356" s="4" t="n">
        <x:v>21</x:v>
      </x:c>
      <x:c r="L1356" s="5" t="n">
        <x:v>0</x:v>
      </x:c>
      <x:c r="M1356" s="4" t="n">
        <x:f>ROUND(I1356*J1356*(1-L1356),2)</x:f>
        <x:v>50.16</x:v>
      </x:c>
      <x:c r="N1356" s="4" t="n">
        <x:f>ROUND(I1356*K1356,2)</x:f>
        <x:v>21</x:v>
      </x:c>
      <x:c r="O1356" s="4" t="n">
        <x:f>ROUND(M1356-N1356,2)</x:f>
        <x:v>29.16</x:v>
      </x:c>
      <x:c r="P1356" s="6" t="n">
        <x:v>4.4</x:v>
      </x:c>
      <x:c r="Q1356" t="str">
        <x:v>No</x:v>
      </x:c>
    </x:row>
    <x:row r="1357">
      <x:c r="A1357" t="str">
        <x:v>ORD-01679</x:v>
      </x:c>
      <x:c r="B1357" s="3" t="n">
        <x:v>45847.396075289354</x:v>
      </x:c>
      <x:c r="C1357" t="str">
        <x:v>2025-07</x:v>
      </x:c>
      <x:c r="D1357" t="str">
        <x:v>CUS-0461</x:v>
      </x:c>
      <x:c r="E1357" t="str">
        <x:v>North East</x:v>
      </x:c>
      <x:c r="F1357" t="str">
        <x:v>Store</x:v>
      </x:c>
      <x:c r="G1357" t="str">
        <x:v>Sports</x:v>
      </x:c>
      <x:c r="H1357" t="str">
        <x:v>Running Shoes</x:v>
      </x:c>
      <x:c r="I1357" t="n">
        <x:v>5</x:v>
      </x:c>
      <x:c r="J1357" s="4" t="n">
        <x:v>78.61</x:v>
      </x:c>
      <x:c r="K1357" s="4" t="n">
        <x:v>38</x:v>
      </x:c>
      <x:c r="L1357" s="5" t="n">
        <x:v>0.2</x:v>
      </x:c>
      <x:c r="M1357" s="4" t="n">
        <x:f>ROUND(I1357*J1357*(1-L1357),2)</x:f>
        <x:v>314.44</x:v>
      </x:c>
      <x:c r="N1357" s="4" t="n">
        <x:f>ROUND(I1357*K1357,2)</x:f>
        <x:v>190</x:v>
      </x:c>
      <x:c r="O1357" s="4" t="n">
        <x:f>ROUND(M1357-N1357,2)</x:f>
        <x:v>124.44</x:v>
      </x:c>
      <x:c r="P1357" s="6" t="n">
        <x:v>4.8</x:v>
      </x:c>
      <x:c r="Q1357" t="str">
        <x:v>No</x:v>
      </x:c>
    </x:row>
    <x:row r="1358">
      <x:c r="A1358" t="str">
        <x:v>ORD-01736</x:v>
      </x:c>
      <x:c r="B1358" s="3" t="n">
        <x:v>45847.45678082176</x:v>
      </x:c>
      <x:c r="C1358" t="str">
        <x:v>2025-07</x:v>
      </x:c>
      <x:c r="D1358" t="str">
        <x:v>CUS-0491</x:v>
      </x:c>
      <x:c r="E1358" t="str">
        <x:v>Midlands</x:v>
      </x:c>
      <x:c r="F1358" t="str">
        <x:v>Online</x:v>
      </x:c>
      <x:c r="G1358" t="str">
        <x:v>Beauty</x:v>
      </x:c>
      <x:c r="H1358" t="str">
        <x:v>Skin Care Set</x:v>
      </x:c>
      <x:c r="I1358" t="n">
        <x:v>5</x:v>
      </x:c>
      <x:c r="J1358" s="4" t="n">
        <x:v>43.49</x:v>
      </x:c>
      <x:c r="K1358" s="4" t="n">
        <x:v>18</x:v>
      </x:c>
      <x:c r="L1358" s="5" t="n">
        <x:v>0.1</x:v>
      </x:c>
      <x:c r="M1358" s="4" t="n">
        <x:f>ROUND(I1358*J1358*(1-L1358),2)</x:f>
        <x:v>195.71</x:v>
      </x:c>
      <x:c r="N1358" s="4" t="n">
        <x:f>ROUND(I1358*K1358,2)</x:f>
        <x:v>90</x:v>
      </x:c>
      <x:c r="O1358" s="4" t="n">
        <x:f>ROUND(M1358-N1358,2)</x:f>
        <x:v>105.71</x:v>
      </x:c>
      <x:c r="P1358" s="6" t="n">
        <x:v>3.6</x:v>
      </x:c>
      <x:c r="Q1358" t="str">
        <x:v>No</x:v>
      </x:c>
    </x:row>
    <x:row r="1359">
      <x:c r="A1359" t="str">
        <x:v>ORD-01431</x:v>
      </x:c>
      <x:c r="B1359" s="3" t="n">
        <x:v>45847.692499363424</x:v>
      </x:c>
      <x:c r="C1359" t="str">
        <x:v>2025-07</x:v>
      </x:c>
      <x:c r="D1359" t="str">
        <x:v>CUS-0139</x:v>
      </x:c>
      <x:c r="E1359" t="str">
        <x:v>South West</x:v>
      </x:c>
      <x:c r="F1359" t="str">
        <x:v>Marketplace</x:v>
      </x:c>
      <x:c r="G1359" t="str">
        <x:v>Home</x:v>
      </x:c>
      <x:c r="H1359" t="str">
        <x:v>Air Fryer</x:v>
      </x:c>
      <x:c r="I1359" t="n">
        <x:v>4</x:v>
      </x:c>
      <x:c r="J1359" s="4" t="n">
        <x:v>119.54</x:v>
      </x:c>
      <x:c r="K1359" s="4" t="n">
        <x:v>69</x:v>
      </x:c>
      <x:c r="L1359" s="5" t="n">
        <x:v>0</x:v>
      </x:c>
      <x:c r="M1359" s="4" t="n">
        <x:f>ROUND(I1359*J1359*(1-L1359),2)</x:f>
        <x:v>478.16</x:v>
      </x:c>
      <x:c r="N1359" s="4" t="n">
        <x:f>ROUND(I1359*K1359,2)</x:f>
        <x:v>276</x:v>
      </x:c>
      <x:c r="O1359" s="4" t="n">
        <x:f>ROUND(M1359-N1359,2)</x:f>
        <x:v>202.16</x:v>
      </x:c>
      <x:c r="P1359" s="6" t="n">
        <x:v>4.4</x:v>
      </x:c>
      <x:c r="Q1359" t="str">
        <x:v>No</x:v>
      </x:c>
    </x:row>
    <x:row r="1360">
      <x:c r="A1360" t="str">
        <x:v>ORD-00170</x:v>
      </x:c>
      <x:c r="B1360" s="3" t="n">
        <x:v>45848.062574270836</x:v>
      </x:c>
      <x:c r="C1360" t="str">
        <x:v>2025-07</x:v>
      </x:c>
      <x:c r="D1360" t="str">
        <x:v>CUS-0160</x:v>
      </x:c>
      <x:c r="E1360" t="str">
        <x:v>Scotland</x:v>
      </x:c>
      <x:c r="F1360" t="str">
        <x:v>Marketplace</x:v>
      </x:c>
      <x:c r="G1360" t="str">
        <x:v>Electronics</x:v>
      </x:c>
      <x:c r="H1360" t="str">
        <x:v>Smart Watch</x:v>
      </x:c>
      <x:c r="I1360" t="n">
        <x:v>5</x:v>
      </x:c>
      <x:c r="J1360" s="4" t="n">
        <x:v>164</x:v>
      </x:c>
      <x:c r="K1360" s="4" t="n">
        <x:v>92</x:v>
      </x:c>
      <x:c r="L1360" s="5" t="n">
        <x:v>0</x:v>
      </x:c>
      <x:c r="M1360" s="4" t="n">
        <x:f>ROUND(I1360*J1360*(1-L1360),2)</x:f>
        <x:v>820</x:v>
      </x:c>
      <x:c r="N1360" s="4" t="n">
        <x:f>ROUND(I1360*K1360,2)</x:f>
        <x:v>460</x:v>
      </x:c>
      <x:c r="O1360" s="4" t="n">
        <x:f>ROUND(M1360-N1360,2)</x:f>
        <x:v>360</x:v>
      </x:c>
      <x:c r="P1360" s="6" t="n">
        <x:v>4.4</x:v>
      </x:c>
      <x:c r="Q1360" t="str">
        <x:v>No</x:v>
      </x:c>
    </x:row>
    <x:row r="1361">
      <x:c r="A1361" t="str">
        <x:v>ORD-00019</x:v>
      </x:c>
      <x:c r="B1361" s="3" t="n">
        <x:v>45848.51709324074</x:v>
      </x:c>
      <x:c r="C1361" t="str">
        <x:v>2025-07</x:v>
      </x:c>
      <x:c r="D1361" t="str">
        <x:v>CUS-0347</x:v>
      </x:c>
      <x:c r="E1361" t="str">
        <x:v>South West</x:v>
      </x:c>
      <x:c r="F1361" t="str">
        <x:v>Store</x:v>
      </x:c>
      <x:c r="G1361" t="str">
        <x:v>Sports</x:v>
      </x:c>
      <x:c r="H1361" t="str">
        <x:v>Fitness Tracker</x:v>
      </x:c>
      <x:c r="I1361" t="n">
        <x:v>1</x:v>
      </x:c>
      <x:c r="J1361" s="4" t="n">
        <x:v>56.67</x:v>
      </x:c>
      <x:c r="K1361" s="4" t="n">
        <x:v>27</x:v>
      </x:c>
      <x:c r="L1361" s="5" t="n">
        <x:v>0.05</x:v>
      </x:c>
      <x:c r="M1361" s="4" t="n">
        <x:f>ROUND(I1361*J1361*(1-L1361),2)</x:f>
        <x:v>53.84</x:v>
      </x:c>
      <x:c r="N1361" s="4" t="n">
        <x:f>ROUND(I1361*K1361,2)</x:f>
        <x:v>27</x:v>
      </x:c>
      <x:c r="O1361" s="4" t="n">
        <x:f>ROUND(M1361-N1361,2)</x:f>
        <x:v>26.84</x:v>
      </x:c>
      <x:c r="P1361" s="6" t="n">
        <x:v>4.5</x:v>
      </x:c>
      <x:c r="Q1361" t="str">
        <x:v>No</x:v>
      </x:c>
    </x:row>
    <x:row r="1362">
      <x:c r="A1362" t="str">
        <x:v>ORD-00386</x:v>
      </x:c>
      <x:c r="B1362" s="3" t="n">
        <x:v>45848.7005246875</x:v>
      </x:c>
      <x:c r="C1362" t="str">
        <x:v>2025-07</x:v>
      </x:c>
      <x:c r="D1362" t="str">
        <x:v>CUS-0128</x:v>
      </x:c>
      <x:c r="E1362" t="str">
        <x:v>North East</x:v>
      </x:c>
      <x:c r="F1362" t="str">
        <x:v>Marketplace</x:v>
      </x:c>
      <x:c r="G1362" t="str">
        <x:v>Beauty</x:v>
      </x:c>
      <x:c r="H1362" t="str">
        <x:v>Skin Care Set</x:v>
      </x:c>
      <x:c r="I1362" t="n">
        <x:v>4</x:v>
      </x:c>
      <x:c r="J1362" s="4" t="n">
        <x:v>45.81</x:v>
      </x:c>
      <x:c r="K1362" s="4" t="n">
        <x:v>18</x:v>
      </x:c>
      <x:c r="L1362" s="5" t="n">
        <x:v>0.1</x:v>
      </x:c>
      <x:c r="M1362" s="4" t="n">
        <x:f>ROUND(I1362*J1362*(1-L1362),2)</x:f>
        <x:v>164.92</x:v>
      </x:c>
      <x:c r="N1362" s="4" t="n">
        <x:f>ROUND(I1362*K1362,2)</x:f>
        <x:v>72</x:v>
      </x:c>
      <x:c r="O1362" s="4" t="n">
        <x:f>ROUND(M1362-N1362,2)</x:f>
        <x:v>92.92</x:v>
      </x:c>
      <x:c r="P1362" s="6" t="n">
        <x:v>4.6</x:v>
      </x:c>
      <x:c r="Q1362" t="str">
        <x:v>No</x:v>
      </x:c>
    </x:row>
    <x:row r="1363">
      <x:c r="A1363" t="str">
        <x:v>ORD-01211</x:v>
      </x:c>
      <x:c r="B1363" s="3" t="n">
        <x:v>45849.35407019676</x:v>
      </x:c>
      <x:c r="C1363" t="str">
        <x:v>2025-07</x:v>
      </x:c>
      <x:c r="D1363" t="str">
        <x:v>CUS-0327</x:v>
      </x:c>
      <x:c r="E1363" t="str">
        <x:v>North West</x:v>
      </x:c>
      <x:c r="F1363" t="str">
        <x:v>Marketplace</x:v>
      </x:c>
      <x:c r="G1363" t="str">
        <x:v>Books</x:v>
      </x:c>
      <x:c r="H1363" t="str">
        <x:v>Business Intelligence Guide</x:v>
      </x:c>
      <x:c r="I1363" t="n">
        <x:v>5</x:v>
      </x:c>
      <x:c r="J1363" s="4" t="n">
        <x:v>33.29</x:v>
      </x:c>
      <x:c r="K1363" s="4" t="n">
        <x:v>12</x:v>
      </x:c>
      <x:c r="L1363" s="5" t="n">
        <x:v>0.2</x:v>
      </x:c>
      <x:c r="M1363" s="4" t="n">
        <x:f>ROUND(I1363*J1363*(1-L1363),2)</x:f>
        <x:v>133.16</x:v>
      </x:c>
      <x:c r="N1363" s="4" t="n">
        <x:f>ROUND(I1363*K1363,2)</x:f>
        <x:v>60</x:v>
      </x:c>
      <x:c r="O1363" s="4" t="n">
        <x:f>ROUND(M1363-N1363,2)</x:f>
        <x:v>73.16</x:v>
      </x:c>
      <x:c r="P1363" s="6" t="n">
        <x:v>4.8</x:v>
      </x:c>
      <x:c r="Q1363" t="str">
        <x:v>No</x:v>
      </x:c>
    </x:row>
    <x:row r="1364">
      <x:c r="A1364" t="str">
        <x:v>ORD-00496</x:v>
      </x:c>
      <x:c r="B1364" s="3" t="n">
        <x:v>45849.544862546296</x:v>
      </x:c>
      <x:c r="C1364" t="str">
        <x:v>2025-07</x:v>
      </x:c>
      <x:c r="D1364" t="str">
        <x:v>CUS-0327</x:v>
      </x:c>
      <x:c r="E1364" t="str">
        <x:v>Midlands</x:v>
      </x:c>
      <x:c r="F1364" t="str">
        <x:v>Marketplace</x:v>
      </x:c>
      <x:c r="G1364" t="str">
        <x:v>Books</x:v>
      </x:c>
      <x:c r="H1364" t="str">
        <x:v>Business Intelligence Guide</x:v>
      </x:c>
      <x:c r="I1364" t="n">
        <x:v>3</x:v>
      </x:c>
      <x:c r="J1364" s="4" t="n">
        <x:v>36.72</x:v>
      </x:c>
      <x:c r="K1364" s="4" t="n">
        <x:v>12</x:v>
      </x:c>
      <x:c r="L1364" s="5" t="n">
        <x:v>0.05</x:v>
      </x:c>
      <x:c r="M1364" s="4" t="n">
        <x:f>ROUND(I1364*J1364*(1-L1364),2)</x:f>
        <x:v>104.65</x:v>
      </x:c>
      <x:c r="N1364" s="4" t="n">
        <x:f>ROUND(I1364*K1364,2)</x:f>
        <x:v>36</x:v>
      </x:c>
      <x:c r="O1364" s="4" t="n">
        <x:f>ROUND(M1364-N1364,2)</x:f>
        <x:v>68.65</x:v>
      </x:c>
      <x:c r="P1364" s="6" t="n">
        <x:v>3.5</x:v>
      </x:c>
      <x:c r="Q1364" t="str">
        <x:v>No</x:v>
      </x:c>
    </x:row>
    <x:row r="1365">
      <x:c r="A1365" t="str">
        <x:v>ORD-00269</x:v>
      </x:c>
      <x:c r="B1365" s="3" t="n">
        <x:v>45849.82598997685</x:v>
      </x:c>
      <x:c r="C1365" t="str">
        <x:v>2025-07</x:v>
      </x:c>
      <x:c r="D1365" t="str">
        <x:v>CUS-0333</x:v>
      </x:c>
      <x:c r="E1365" t="str">
        <x:v>South West</x:v>
      </x:c>
      <x:c r="F1365" t="str">
        <x:v>Marketplace</x:v>
      </x:c>
      <x:c r="G1365" t="str">
        <x:v>Electronics</x:v>
      </x:c>
      <x:c r="H1365" t="str">
        <x:v>Wireless Headphones</x:v>
      </x:c>
      <x:c r="I1365" t="n">
        <x:v>2</x:v>
      </x:c>
      <x:c r="J1365" s="4" t="n">
        <x:v>92.06</x:v>
      </x:c>
      <x:c r="K1365" s="4" t="n">
        <x:v>48</x:v>
      </x:c>
      <x:c r="L1365" s="5" t="n">
        <x:v>0</x:v>
      </x:c>
      <x:c r="M1365" s="4" t="n">
        <x:f>ROUND(I1365*J1365*(1-L1365),2)</x:f>
        <x:v>184.12</x:v>
      </x:c>
      <x:c r="N1365" s="4" t="n">
        <x:f>ROUND(I1365*K1365,2)</x:f>
        <x:v>96</x:v>
      </x:c>
      <x:c r="O1365" s="4" t="n">
        <x:f>ROUND(M1365-N1365,2)</x:f>
        <x:v>88.12</x:v>
      </x:c>
      <x:c r="P1365" s="6" t="n">
        <x:v>3.9</x:v>
      </x:c>
      <x:c r="Q1365" t="str">
        <x:v>No</x:v>
      </x:c>
    </x:row>
    <x:row r="1366">
      <x:c r="A1366" t="str">
        <x:v>ORD-00827</x:v>
      </x:c>
      <x:c r="B1366" s="3" t="n">
        <x:v>45849.872247349536</x:v>
      </x:c>
      <x:c r="C1366" t="str">
        <x:v>2025-07</x:v>
      </x:c>
      <x:c r="D1366" t="str">
        <x:v>CUS-0528</x:v>
      </x:c>
      <x:c r="E1366" t="str">
        <x:v>Midlands</x:v>
      </x:c>
      <x:c r="F1366" t="str">
        <x:v>Marketplace</x:v>
      </x:c>
      <x:c r="G1366" t="str">
        <x:v>Sports</x:v>
      </x:c>
      <x:c r="H1366" t="str">
        <x:v>Yoga Mat</x:v>
      </x:c>
      <x:c r="I1366" t="n">
        <x:v>4</x:v>
      </x:c>
      <x:c r="J1366" s="4" t="n">
        <x:v>31.36</x:v>
      </x:c>
      <x:c r="K1366" s="4" t="n">
        <x:v>12</x:v>
      </x:c>
      <x:c r="L1366" s="5" t="n">
        <x:v>0.15</x:v>
      </x:c>
      <x:c r="M1366" s="4" t="n">
        <x:f>ROUND(I1366*J1366*(1-L1366),2)</x:f>
        <x:v>106.62</x:v>
      </x:c>
      <x:c r="N1366" s="4" t="n">
        <x:f>ROUND(I1366*K1366,2)</x:f>
        <x:v>48</x:v>
      </x:c>
      <x:c r="O1366" s="4" t="n">
        <x:f>ROUND(M1366-N1366,2)</x:f>
        <x:v>58.62</x:v>
      </x:c>
      <x:c r="P1366" s="6" t="n">
        <x:v>3.4</x:v>
      </x:c>
      <x:c r="Q1366" t="str">
        <x:v>No</x:v>
      </x:c>
    </x:row>
    <x:row r="1367">
      <x:c r="A1367" t="str">
        <x:v>ORD-00568</x:v>
      </x:c>
      <x:c r="B1367" s="3" t="n">
        <x:v>45850.29497988426</x:v>
      </x:c>
      <x:c r="C1367" t="str">
        <x:v>2025-07</x:v>
      </x:c>
      <x:c r="D1367" t="str">
        <x:v>CUS-0205</x:v>
      </x:c>
      <x:c r="E1367" t="str">
        <x:v>Wales</x:v>
      </x:c>
      <x:c r="F1367" t="str">
        <x:v>Marketplace</x:v>
      </x:c>
      <x:c r="G1367" t="str">
        <x:v>Sports</x:v>
      </x:c>
      <x:c r="H1367" t="str">
        <x:v>Running Shoes</x:v>
      </x:c>
      <x:c r="I1367" t="n">
        <x:v>1</x:v>
      </x:c>
      <x:c r="J1367" s="4" t="n">
        <x:v>78.86</x:v>
      </x:c>
      <x:c r="K1367" s="4" t="n">
        <x:v>38</x:v>
      </x:c>
      <x:c r="L1367" s="5" t="n">
        <x:v>0.15</x:v>
      </x:c>
      <x:c r="M1367" s="4" t="n">
        <x:f>ROUND(I1367*J1367*(1-L1367),2)</x:f>
        <x:v>67.03</x:v>
      </x:c>
      <x:c r="N1367" s="4" t="n">
        <x:f>ROUND(I1367*K1367,2)</x:f>
        <x:v>38</x:v>
      </x:c>
      <x:c r="O1367" s="4" t="n">
        <x:f>ROUND(M1367-N1367,2)</x:f>
        <x:v>29.03</x:v>
      </x:c>
      <x:c r="P1367" s="6" t="n">
        <x:v>3.9</x:v>
      </x:c>
      <x:c r="Q1367" t="str">
        <x:v>No</x:v>
      </x:c>
    </x:row>
    <x:row r="1368">
      <x:c r="A1368" t="str">
        <x:v>ORD-00328</x:v>
      </x:c>
      <x:c r="B1368" s="3" t="n">
        <x:v>45850.61209633102</x:v>
      </x:c>
      <x:c r="C1368" t="str">
        <x:v>2025-07</x:v>
      </x:c>
      <x:c r="D1368" t="str">
        <x:v>CUS-0610</x:v>
      </x:c>
      <x:c r="E1368" t="str">
        <x:v>Midlands</x:v>
      </x:c>
      <x:c r="F1368" t="str">
        <x:v>Online</x:v>
      </x:c>
      <x:c r="G1368" t="str">
        <x:v>Sports</x:v>
      </x:c>
      <x:c r="H1368" t="str">
        <x:v>Yoga Mat</x:v>
      </x:c>
      <x:c r="I1368" t="n">
        <x:v>3</x:v>
      </x:c>
      <x:c r="J1368" s="4" t="n">
        <x:v>28.53</x:v>
      </x:c>
      <x:c r="K1368" s="4" t="n">
        <x:v>12</x:v>
      </x:c>
      <x:c r="L1368" s="5" t="n">
        <x:v>0</x:v>
      </x:c>
      <x:c r="M1368" s="4" t="n">
        <x:f>ROUND(I1368*J1368*(1-L1368),2)</x:f>
        <x:v>85.59</x:v>
      </x:c>
      <x:c r="N1368" s="4" t="n">
        <x:f>ROUND(I1368*K1368,2)</x:f>
        <x:v>36</x:v>
      </x:c>
      <x:c r="O1368" s="4" t="n">
        <x:f>ROUND(M1368-N1368,2)</x:f>
        <x:v>49.59</x:v>
      </x:c>
      <x:c r="P1368" s="6" t="n">
        <x:v>4.1</x:v>
      </x:c>
      <x:c r="Q1368" t="str">
        <x:v>No</x:v>
      </x:c>
    </x:row>
    <x:row r="1369">
      <x:c r="A1369" t="str">
        <x:v>ORD-01263</x:v>
      </x:c>
      <x:c r="B1369" s="3" t="n">
        <x:v>45850.72603465278</x:v>
      </x:c>
      <x:c r="C1369" t="str">
        <x:v>2025-07</x:v>
      </x:c>
      <x:c r="D1369" t="str">
        <x:v>CUS-0067</x:v>
      </x:c>
      <x:c r="E1369" t="str">
        <x:v>Wales</x:v>
      </x:c>
      <x:c r="F1369" t="str">
        <x:v>Online</x:v>
      </x:c>
      <x:c r="G1369" t="str">
        <x:v>Home</x:v>
      </x:c>
      <x:c r="H1369" t="str">
        <x:v>Air Fryer</x:v>
      </x:c>
      <x:c r="I1369" t="n">
        <x:v>3</x:v>
      </x:c>
      <x:c r="J1369" s="4" t="n">
        <x:v>116.76</x:v>
      </x:c>
      <x:c r="K1369" s="4" t="n">
        <x:v>69</x:v>
      </x:c>
      <x:c r="L1369" s="5" t="n">
        <x:v>0.15</x:v>
      </x:c>
      <x:c r="M1369" s="4" t="n">
        <x:f>ROUND(I1369*J1369*(1-L1369),2)</x:f>
        <x:v>297.74</x:v>
      </x:c>
      <x:c r="N1369" s="4" t="n">
        <x:f>ROUND(I1369*K1369,2)</x:f>
        <x:v>207</x:v>
      </x:c>
      <x:c r="O1369" s="4" t="n">
        <x:f>ROUND(M1369-N1369,2)</x:f>
        <x:v>90.74</x:v>
      </x:c>
      <x:c r="P1369" s="6" t="n">
        <x:v>4</x:v>
      </x:c>
      <x:c r="Q1369" t="str">
        <x:v>No</x:v>
      </x:c>
    </x:row>
    <x:row r="1370">
      <x:c r="A1370" t="str">
        <x:v>ORD-00513</x:v>
      </x:c>
      <x:c r="B1370" s="3" t="n">
        <x:v>45850.94184638889</x:v>
      </x:c>
      <x:c r="C1370" t="str">
        <x:v>2025-07</x:v>
      </x:c>
      <x:c r="D1370" t="str">
        <x:v>CUS-0385</x:v>
      </x:c>
      <x:c r="E1370" t="str">
        <x:v>South East</x:v>
      </x:c>
      <x:c r="F1370" t="str">
        <x:v>Online</x:v>
      </x:c>
      <x:c r="G1370" t="str">
        <x:v>Home</x:v>
      </x:c>
      <x:c r="H1370" t="str">
        <x:v>Desk Lamp</x:v>
      </x:c>
      <x:c r="I1370" t="n">
        <x:v>5</x:v>
      </x:c>
      <x:c r="J1370" s="4" t="n">
        <x:v>33.57</x:v>
      </x:c>
      <x:c r="K1370" s="4" t="n">
        <x:v>17</x:v>
      </x:c>
      <x:c r="L1370" s="5" t="n">
        <x:v>0.15</x:v>
      </x:c>
      <x:c r="M1370" s="4" t="n">
        <x:f>ROUND(I1370*J1370*(1-L1370),2)</x:f>
        <x:v>142.67</x:v>
      </x:c>
      <x:c r="N1370" s="4" t="n">
        <x:f>ROUND(I1370*K1370,2)</x:f>
        <x:v>85</x:v>
      </x:c>
      <x:c r="O1370" s="4" t="n">
        <x:f>ROUND(M1370-N1370,2)</x:f>
        <x:v>57.67</x:v>
      </x:c>
      <x:c r="P1370" s="6" t="n">
        <x:v>5</x:v>
      </x:c>
      <x:c r="Q1370" t="str">
        <x:v>No</x:v>
      </x:c>
    </x:row>
    <x:row r="1371">
      <x:c r="A1371" t="str">
        <x:v>ORD-01251</x:v>
      </x:c>
      <x:c r="B1371" s="3" t="n">
        <x:v>45851.62392075232</x:v>
      </x:c>
      <x:c r="C1371" t="str">
        <x:v>2025-07</x:v>
      </x:c>
      <x:c r="D1371" t="str">
        <x:v>CUS-0314</x:v>
      </x:c>
      <x:c r="E1371" t="str">
        <x:v>South West</x:v>
      </x:c>
      <x:c r="F1371" t="str">
        <x:v>Marketplace</x:v>
      </x:c>
      <x:c r="G1371" t="str">
        <x:v>Fashion</x:v>
      </x:c>
      <x:c r="H1371" t="str">
        <x:v>Winter Jacket</x:v>
      </x:c>
      <x:c r="I1371" t="n">
        <x:v>4</x:v>
      </x:c>
      <x:c r="J1371" s="4" t="n">
        <x:v>96.16</x:v>
      </x:c>
      <x:c r="K1371" s="4" t="n">
        <x:v>46</x:v>
      </x:c>
      <x:c r="L1371" s="5" t="n">
        <x:v>0</x:v>
      </x:c>
      <x:c r="M1371" s="4" t="n">
        <x:f>ROUND(I1371*J1371*(1-L1371),2)</x:f>
        <x:v>384.64</x:v>
      </x:c>
      <x:c r="N1371" s="4" t="n">
        <x:f>ROUND(I1371*K1371,2)</x:f>
        <x:v>184</x:v>
      </x:c>
      <x:c r="O1371" s="4" t="n">
        <x:f>ROUND(M1371-N1371,2)</x:f>
        <x:v>200.64</x:v>
      </x:c>
      <x:c r="P1371" s="6" t="n">
        <x:v>4</x:v>
      </x:c>
      <x:c r="Q1371" t="str">
        <x:v>No</x:v>
      </x:c>
    </x:row>
    <x:row r="1372">
      <x:c r="A1372" t="str">
        <x:v>ORD-00436</x:v>
      </x:c>
      <x:c r="B1372" s="3" t="n">
        <x:v>45852.483993078706</x:v>
      </x:c>
      <x:c r="C1372" t="str">
        <x:v>2025-07</x:v>
      </x:c>
      <x:c r="D1372" t="str">
        <x:v>CUS-0403</x:v>
      </x:c>
      <x:c r="E1372" t="str">
        <x:v>South West</x:v>
      </x:c>
      <x:c r="F1372" t="str">
        <x:v>Marketplace</x:v>
      </x:c>
      <x:c r="G1372" t="str">
        <x:v>Fashion</x:v>
      </x:c>
      <x:c r="H1372" t="str">
        <x:v>Classic Trainers</x:v>
      </x:c>
      <x:c r="I1372" t="n">
        <x:v>3</x:v>
      </x:c>
      <x:c r="J1372" s="4" t="n">
        <x:v>71.31</x:v>
      </x:c>
      <x:c r="K1372" s="4" t="n">
        <x:v>32</x:v>
      </x:c>
      <x:c r="L1372" s="5" t="n">
        <x:v>0</x:v>
      </x:c>
      <x:c r="M1372" s="4" t="n">
        <x:f>ROUND(I1372*J1372*(1-L1372),2)</x:f>
        <x:v>213.93</x:v>
      </x:c>
      <x:c r="N1372" s="4" t="n">
        <x:f>ROUND(I1372*K1372,2)</x:f>
        <x:v>96</x:v>
      </x:c>
      <x:c r="O1372" s="4" t="n">
        <x:f>ROUND(M1372-N1372,2)</x:f>
        <x:v>117.93</x:v>
      </x:c>
      <x:c r="P1372" s="6" t="n">
        <x:v>3.7</x:v>
      </x:c>
      <x:c r="Q1372" t="str">
        <x:v>No</x:v>
      </x:c>
    </x:row>
    <x:row r="1373">
      <x:c r="A1373" t="str">
        <x:v>ORD-01451</x:v>
      </x:c>
      <x:c r="B1373" s="3" t="n">
        <x:v>45852.652097638886</x:v>
      </x:c>
      <x:c r="C1373" t="str">
        <x:v>2025-07</x:v>
      </x:c>
      <x:c r="D1373" t="str">
        <x:v>CUS-0063</x:v>
      </x:c>
      <x:c r="E1373" t="str">
        <x:v>North East</x:v>
      </x:c>
      <x:c r="F1373" t="str">
        <x:v>Store</x:v>
      </x:c>
      <x:c r="G1373" t="str">
        <x:v>Electronics</x:v>
      </x:c>
      <x:c r="H1373" t="str">
        <x:v>Wireless Headphones</x:v>
      </x:c>
      <x:c r="I1373" t="n">
        <x:v>4</x:v>
      </x:c>
      <x:c r="J1373" s="4" t="n">
        <x:v>90.69</x:v>
      </x:c>
      <x:c r="K1373" s="4" t="n">
        <x:v>48</x:v>
      </x:c>
      <x:c r="L1373" s="5" t="n">
        <x:v>0</x:v>
      </x:c>
      <x:c r="M1373" s="4" t="n">
        <x:f>ROUND(I1373*J1373*(1-L1373),2)</x:f>
        <x:v>362.76</x:v>
      </x:c>
      <x:c r="N1373" s="4" t="n">
        <x:f>ROUND(I1373*K1373,2)</x:f>
        <x:v>192</x:v>
      </x:c>
      <x:c r="O1373" s="4" t="n">
        <x:f>ROUND(M1373-N1373,2)</x:f>
        <x:v>170.76</x:v>
      </x:c>
      <x:c r="P1373" s="6" t="n">
        <x:v>3.3</x:v>
      </x:c>
      <x:c r="Q1373" t="str">
        <x:v>No</x:v>
      </x:c>
    </x:row>
    <x:row r="1374">
      <x:c r="A1374" t="str">
        <x:v>ORD-01347</x:v>
      </x:c>
      <x:c r="B1374" s="3" t="n">
        <x:v>45853.21325043982</x:v>
      </x:c>
      <x:c r="C1374" t="str">
        <x:v>2025-07</x:v>
      </x:c>
      <x:c r="D1374" t="str">
        <x:v>CUS-0172</x:v>
      </x:c>
      <x:c r="E1374" t="str">
        <x:v>Wales</x:v>
      </x:c>
      <x:c r="F1374" t="str">
        <x:v>Marketplace</x:v>
      </x:c>
      <x:c r="G1374" t="str">
        <x:v>Sports</x:v>
      </x:c>
      <x:c r="H1374" t="str">
        <x:v>Fitness Tracker</x:v>
      </x:c>
      <x:c r="I1374" t="n">
        <x:v>5</x:v>
      </x:c>
      <x:c r="J1374" s="4" t="n">
        <x:v>52.43</x:v>
      </x:c>
      <x:c r="K1374" s="4" t="n">
        <x:v>27</x:v>
      </x:c>
      <x:c r="L1374" s="5" t="n">
        <x:v>0</x:v>
      </x:c>
      <x:c r="M1374" s="4" t="n">
        <x:f>ROUND(I1374*J1374*(1-L1374),2)</x:f>
        <x:v>262.15</x:v>
      </x:c>
      <x:c r="N1374" s="4" t="n">
        <x:f>ROUND(I1374*K1374,2)</x:f>
        <x:v>135</x:v>
      </x:c>
      <x:c r="O1374" s="4" t="n">
        <x:f>ROUND(M1374-N1374,2)</x:f>
        <x:v>127.15</x:v>
      </x:c>
      <x:c r="P1374" s="6" t="n">
        <x:v>3.3</x:v>
      </x:c>
      <x:c r="Q1374" t="str">
        <x:v>No</x:v>
      </x:c>
    </x:row>
    <x:row r="1375">
      <x:c r="A1375" t="str">
        <x:v>ORD-00087</x:v>
      </x:c>
      <x:c r="B1375" s="3" t="n">
        <x:v>45853.37201943287</x:v>
      </x:c>
      <x:c r="C1375" t="str">
        <x:v>2025-07</x:v>
      </x:c>
      <x:c r="D1375" t="str">
        <x:v>CUS-0366</x:v>
      </x:c>
      <x:c r="E1375" t="str">
        <x:v>South East</x:v>
      </x:c>
      <x:c r="F1375" t="str">
        <x:v>Marketplace</x:v>
      </x:c>
      <x:c r="G1375" t="str">
        <x:v>Fashion</x:v>
      </x:c>
      <x:c r="H1375" t="str">
        <x:v>Winter Jacket</x:v>
      </x:c>
      <x:c r="I1375" t="n">
        <x:v>1</x:v>
      </x:c>
      <x:c r="J1375" s="4" t="n">
        <x:v>97.48</x:v>
      </x:c>
      <x:c r="K1375" s="4" t="n">
        <x:v>46</x:v>
      </x:c>
      <x:c r="L1375" s="5" t="n">
        <x:v>0.2</x:v>
      </x:c>
      <x:c r="M1375" s="4" t="n">
        <x:f>ROUND(I1375*J1375*(1-L1375),2)</x:f>
        <x:v>77.98</x:v>
      </x:c>
      <x:c r="N1375" s="4" t="n">
        <x:f>ROUND(I1375*K1375,2)</x:f>
        <x:v>46</x:v>
      </x:c>
      <x:c r="O1375" s="4" t="n">
        <x:f>ROUND(M1375-N1375,2)</x:f>
        <x:v>31.98</x:v>
      </x:c>
      <x:c r="P1375" s="6" t="n">
        <x:v>4.2</x:v>
      </x:c>
      <x:c r="Q1375" t="str">
        <x:v>No</x:v>
      </x:c>
    </x:row>
    <x:row r="1376">
      <x:c r="A1376" t="str">
        <x:v>ORD-01688</x:v>
      </x:c>
      <x:c r="B1376" s="3" t="n">
        <x:v>45854.35880236111</x:v>
      </x:c>
      <x:c r="C1376" t="str">
        <x:v>2025-07</x:v>
      </x:c>
      <x:c r="D1376" t="str">
        <x:v>CUS-0350</x:v>
      </x:c>
      <x:c r="E1376" t="str">
        <x:v>Midlands</x:v>
      </x:c>
      <x:c r="F1376" t="str">
        <x:v>Marketplace</x:v>
      </x:c>
      <x:c r="G1376" t="str">
        <x:v>Fashion</x:v>
      </x:c>
      <x:c r="H1376" t="str">
        <x:v>Winter Jacket</x:v>
      </x:c>
      <x:c r="I1376" t="n">
        <x:v>5</x:v>
      </x:c>
      <x:c r="J1376" s="4" t="n">
        <x:v>96.67</x:v>
      </x:c>
      <x:c r="K1376" s="4" t="n">
        <x:v>46</x:v>
      </x:c>
      <x:c r="L1376" s="5" t="n">
        <x:v>0.15</x:v>
      </x:c>
      <x:c r="M1376" s="4" t="n">
        <x:f>ROUND(I1376*J1376*(1-L1376),2)</x:f>
        <x:v>410.85</x:v>
      </x:c>
      <x:c r="N1376" s="4" t="n">
        <x:f>ROUND(I1376*K1376,2)</x:f>
        <x:v>230</x:v>
      </x:c>
      <x:c r="O1376" s="4" t="n">
        <x:f>ROUND(M1376-N1376,2)</x:f>
        <x:v>180.85</x:v>
      </x:c>
      <x:c r="P1376" s="6" t="n">
        <x:v>4.5</x:v>
      </x:c>
      <x:c r="Q1376" t="str">
        <x:v>No</x:v>
      </x:c>
    </x:row>
    <x:row r="1377">
      <x:c r="A1377" t="str">
        <x:v>ORD-01217</x:v>
      </x:c>
      <x:c r="B1377" s="3" t="n">
        <x:v>45854.52342125</x:v>
      </x:c>
      <x:c r="C1377" t="str">
        <x:v>2025-07</x:v>
      </x:c>
      <x:c r="D1377" t="str">
        <x:v>CUS-0192</x:v>
      </x:c>
      <x:c r="E1377" t="str">
        <x:v>Midlands</x:v>
      </x:c>
      <x:c r="F1377" t="str">
        <x:v>Marketplace</x:v>
      </x:c>
      <x:c r="G1377" t="str">
        <x:v>Books</x:v>
      </x:c>
      <x:c r="H1377" t="str">
        <x:v>Business Intelligence Guide</x:v>
      </x:c>
      <x:c r="I1377" t="n">
        <x:v>5</x:v>
      </x:c>
      <x:c r="J1377" s="4" t="n">
        <x:v>34.76</x:v>
      </x:c>
      <x:c r="K1377" s="4" t="n">
        <x:v>12</x:v>
      </x:c>
      <x:c r="L1377" s="5" t="n">
        <x:v>0.15</x:v>
      </x:c>
      <x:c r="M1377" s="4" t="n">
        <x:f>ROUND(I1377*J1377*(1-L1377),2)</x:f>
        <x:v>147.73</x:v>
      </x:c>
      <x:c r="N1377" s="4" t="n">
        <x:f>ROUND(I1377*K1377,2)</x:f>
        <x:v>60</x:v>
      </x:c>
      <x:c r="O1377" s="4" t="n">
        <x:f>ROUND(M1377-N1377,2)</x:f>
        <x:v>87.73</x:v>
      </x:c>
      <x:c r="P1377" s="6" t="n">
        <x:v>4.3</x:v>
      </x:c>
      <x:c r="Q1377" t="str">
        <x:v>No</x:v>
      </x:c>
    </x:row>
    <x:row r="1378">
      <x:c r="A1378" t="str">
        <x:v>ORD-00306</x:v>
      </x:c>
      <x:c r="B1378" s="3" t="n">
        <x:v>45855.15706572917</x:v>
      </x:c>
      <x:c r="C1378" t="str">
        <x:v>2025-07</x:v>
      </x:c>
      <x:c r="D1378" t="str">
        <x:v>CUS-0227</x:v>
      </x:c>
      <x:c r="E1378" t="str">
        <x:v>South West</x:v>
      </x:c>
      <x:c r="F1378" t="str">
        <x:v>Online</x:v>
      </x:c>
      <x:c r="G1378" t="str">
        <x:v>Beauty</x:v>
      </x:c>
      <x:c r="H1378" t="str">
        <x:v>Skin Care Set</x:v>
      </x:c>
      <x:c r="I1378" t="n">
        <x:v>4</x:v>
      </x:c>
      <x:c r="J1378" s="4" t="n">
        <x:v>45.41</x:v>
      </x:c>
      <x:c r="K1378" s="4" t="n">
        <x:v>18</x:v>
      </x:c>
      <x:c r="L1378" s="5" t="n">
        <x:v>0.2</x:v>
      </x:c>
      <x:c r="M1378" s="4" t="n">
        <x:f>ROUND(I1378*J1378*(1-L1378),2)</x:f>
        <x:v>145.31</x:v>
      </x:c>
      <x:c r="N1378" s="4" t="n">
        <x:f>ROUND(I1378*K1378,2)</x:f>
        <x:v>72</x:v>
      </x:c>
      <x:c r="O1378" s="4" t="n">
        <x:f>ROUND(M1378-N1378,2)</x:f>
        <x:v>73.31</x:v>
      </x:c>
      <x:c r="P1378" s="6" t="n">
        <x:v>4</x:v>
      </x:c>
      <x:c r="Q1378" t="str">
        <x:v>No</x:v>
      </x:c>
    </x:row>
    <x:row r="1379">
      <x:c r="A1379" t="str">
        <x:v>ORD-00071</x:v>
      </x:c>
      <x:c r="B1379" s="3" t="n">
        <x:v>45856.361028969906</x:v>
      </x:c>
      <x:c r="C1379" t="str">
        <x:v>2025-07</x:v>
      </x:c>
      <x:c r="D1379" t="str">
        <x:v>CUS-0350</x:v>
      </x:c>
      <x:c r="E1379" t="str">
        <x:v>Scotland</x:v>
      </x:c>
      <x:c r="F1379" t="str">
        <x:v>Online</x:v>
      </x:c>
      <x:c r="G1379" t="str">
        <x:v>Electronics</x:v>
      </x:c>
      <x:c r="H1379" t="str">
        <x:v>Wireless Headphones</x:v>
      </x:c>
      <x:c r="I1379" t="n">
        <x:v>2</x:v>
      </x:c>
      <x:c r="J1379" s="4" t="n">
        <x:v>89.34</x:v>
      </x:c>
      <x:c r="K1379" s="4" t="n">
        <x:v>48</x:v>
      </x:c>
      <x:c r="L1379" s="5" t="n">
        <x:v>0.2</x:v>
      </x:c>
      <x:c r="M1379" s="4" t="n">
        <x:f>ROUND(I1379*J1379*(1-L1379),2)</x:f>
        <x:v>142.94</x:v>
      </x:c>
      <x:c r="N1379" s="4" t="n">
        <x:f>ROUND(I1379*K1379,2)</x:f>
        <x:v>96</x:v>
      </x:c>
      <x:c r="O1379" s="4" t="n">
        <x:f>ROUND(M1379-N1379,2)</x:f>
        <x:v>46.94</x:v>
      </x:c>
      <x:c r="P1379" s="6" t="n">
        <x:v>4.1</x:v>
      </x:c>
      <x:c r="Q1379" t="str">
        <x:v>No</x:v>
      </x:c>
    </x:row>
    <x:row r="1380">
      <x:c r="A1380" t="str">
        <x:v>ORD-00589</x:v>
      </x:c>
      <x:c r="B1380" s="3" t="n">
        <x:v>45857.03767664352</x:v>
      </x:c>
      <x:c r="C1380" t="str">
        <x:v>2025-07</x:v>
      </x:c>
      <x:c r="D1380" t="str">
        <x:v>CUS-0186</x:v>
      </x:c>
      <x:c r="E1380" t="str">
        <x:v>North East</x:v>
      </x:c>
      <x:c r="F1380" t="str">
        <x:v>Marketplace</x:v>
      </x:c>
      <x:c r="G1380" t="str">
        <x:v>Books</x:v>
      </x:c>
      <x:c r="H1380" t="str">
        <x:v>Data Analytics Handbook</x:v>
      </x:c>
      <x:c r="I1380" t="n">
        <x:v>2</x:v>
      </x:c>
      <x:c r="J1380" s="4" t="n">
        <x:v>38.38</x:v>
      </x:c>
      <x:c r="K1380" s="4" t="n">
        <x:v>14</x:v>
      </x:c>
      <x:c r="L1380" s="5" t="n">
        <x:v>0</x:v>
      </x:c>
      <x:c r="M1380" s="4" t="n">
        <x:f>ROUND(I1380*J1380*(1-L1380),2)</x:f>
        <x:v>76.76</x:v>
      </x:c>
      <x:c r="N1380" s="4" t="n">
        <x:f>ROUND(I1380*K1380,2)</x:f>
        <x:v>28</x:v>
      </x:c>
      <x:c r="O1380" s="4" t="n">
        <x:f>ROUND(M1380-N1380,2)</x:f>
        <x:v>48.76</x:v>
      </x:c>
      <x:c r="P1380" s="6" t="n">
        <x:v>5</x:v>
      </x:c>
      <x:c r="Q1380" t="str">
        <x:v>No</x:v>
      </x:c>
    </x:row>
    <x:row r="1381">
      <x:c r="A1381" t="str">
        <x:v>ORD-01048</x:v>
      </x:c>
      <x:c r="B1381" s="3" t="n">
        <x:v>45857.17881909722</x:v>
      </x:c>
      <x:c r="C1381" t="str">
        <x:v>2025-07</x:v>
      </x:c>
      <x:c r="D1381" t="str">
        <x:v>CUS-0301</x:v>
      </x:c>
      <x:c r="E1381" t="str">
        <x:v>London</x:v>
      </x:c>
      <x:c r="F1381" t="str">
        <x:v>Marketplace</x:v>
      </x:c>
      <x:c r="G1381" t="str">
        <x:v>Fashion</x:v>
      </x:c>
      <x:c r="H1381" t="str">
        <x:v>Classic Trainers</x:v>
      </x:c>
      <x:c r="I1381" t="n">
        <x:v>5</x:v>
      </x:c>
      <x:c r="J1381" s="4" t="n">
        <x:v>66.53</x:v>
      </x:c>
      <x:c r="K1381" s="4" t="n">
        <x:v>32</x:v>
      </x:c>
      <x:c r="L1381" s="5" t="n">
        <x:v>0.05</x:v>
      </x:c>
      <x:c r="M1381" s="4" t="n">
        <x:f>ROUND(I1381*J1381*(1-L1381),2)</x:f>
        <x:v>316.02</x:v>
      </x:c>
      <x:c r="N1381" s="4" t="n">
        <x:f>ROUND(I1381*K1381,2)</x:f>
        <x:v>160</x:v>
      </x:c>
      <x:c r="O1381" s="4" t="n">
        <x:f>ROUND(M1381-N1381,2)</x:f>
        <x:v>156.02</x:v>
      </x:c>
      <x:c r="P1381" s="6" t="n">
        <x:v>5</x:v>
      </x:c>
      <x:c r="Q1381" t="str">
        <x:v>No</x:v>
      </x:c>
    </x:row>
    <x:row r="1382">
      <x:c r="A1382" t="str">
        <x:v>ORD-01574</x:v>
      </x:c>
      <x:c r="B1382" s="3" t="n">
        <x:v>45857.61517240741</x:v>
      </x:c>
      <x:c r="C1382" t="str">
        <x:v>2025-07</x:v>
      </x:c>
      <x:c r="D1382" t="str">
        <x:v>CUS-0255</x:v>
      </x:c>
      <x:c r="E1382" t="str">
        <x:v>South West</x:v>
      </x:c>
      <x:c r="F1382" t="str">
        <x:v>Online</x:v>
      </x:c>
      <x:c r="G1382" t="str">
        <x:v>Fashion</x:v>
      </x:c>
      <x:c r="H1382" t="str">
        <x:v>Backpack</x:v>
      </x:c>
      <x:c r="I1382" t="n">
        <x:v>5</x:v>
      </x:c>
      <x:c r="J1382" s="4" t="n">
        <x:v>51.62</x:v>
      </x:c>
      <x:c r="K1382" s="4" t="n">
        <x:v>21</x:v>
      </x:c>
      <x:c r="L1382" s="5" t="n">
        <x:v>0.05</x:v>
      </x:c>
      <x:c r="M1382" s="4" t="n">
        <x:f>ROUND(I1382*J1382*(1-L1382),2)</x:f>
        <x:v>245.19</x:v>
      </x:c>
      <x:c r="N1382" s="4" t="n">
        <x:f>ROUND(I1382*K1382,2)</x:f>
        <x:v>105</x:v>
      </x:c>
      <x:c r="O1382" s="4" t="n">
        <x:f>ROUND(M1382-N1382,2)</x:f>
        <x:v>140.19</x:v>
      </x:c>
      <x:c r="P1382" s="6" t="n">
        <x:v>3.9</x:v>
      </x:c>
      <x:c r="Q1382" t="str">
        <x:v>No</x:v>
      </x:c>
    </x:row>
    <x:row r="1383">
      <x:c r="A1383" t="str">
        <x:v>ORD-00493</x:v>
      </x:c>
      <x:c r="B1383" s="3" t="n">
        <x:v>45857.702062951386</x:v>
      </x:c>
      <x:c r="C1383" t="str">
        <x:v>2025-07</x:v>
      </x:c>
      <x:c r="D1383" t="str">
        <x:v>CUS-0015</x:v>
      </x:c>
      <x:c r="E1383" t="str">
        <x:v>North East</x:v>
      </x:c>
      <x:c r="F1383" t="str">
        <x:v>Store</x:v>
      </x:c>
      <x:c r="G1383" t="str">
        <x:v>Beauty</x:v>
      </x:c>
      <x:c r="H1383" t="str">
        <x:v>Skin Care Set</x:v>
      </x:c>
      <x:c r="I1383" t="n">
        <x:v>4</x:v>
      </x:c>
      <x:c r="J1383" s="4" t="n">
        <x:v>44.57</x:v>
      </x:c>
      <x:c r="K1383" s="4" t="n">
        <x:v>18</x:v>
      </x:c>
      <x:c r="L1383" s="5" t="n">
        <x:v>0.05</x:v>
      </x:c>
      <x:c r="M1383" s="4" t="n">
        <x:f>ROUND(I1383*J1383*(1-L1383),2)</x:f>
        <x:v>169.37</x:v>
      </x:c>
      <x:c r="N1383" s="4" t="n">
        <x:f>ROUND(I1383*K1383,2)</x:f>
        <x:v>72</x:v>
      </x:c>
      <x:c r="O1383" s="4" t="n">
        <x:f>ROUND(M1383-N1383,2)</x:f>
        <x:v>97.37</x:v>
      </x:c>
      <x:c r="P1383" s="6" t="n">
        <x:v>4.4</x:v>
      </x:c>
      <x:c r="Q1383" t="str">
        <x:v>No</x:v>
      </x:c>
    </x:row>
    <x:row r="1384">
      <x:c r="A1384" t="str">
        <x:v>ORD-01351</x:v>
      </x:c>
      <x:c r="B1384" s="3" t="n">
        <x:v>45858.19172722222</x:v>
      </x:c>
      <x:c r="C1384" t="str">
        <x:v>2025-07</x:v>
      </x:c>
      <x:c r="D1384" t="str">
        <x:v>CUS-0186</x:v>
      </x:c>
      <x:c r="E1384" t="str">
        <x:v>North East</x:v>
      </x:c>
      <x:c r="F1384" t="str">
        <x:v>Store</x:v>
      </x:c>
      <x:c r="G1384" t="str">
        <x:v>Home</x:v>
      </x:c>
      <x:c r="H1384" t="str">
        <x:v>Desk Lamp</x:v>
      </x:c>
      <x:c r="I1384" t="n">
        <x:v>3</x:v>
      </x:c>
      <x:c r="J1384" s="4" t="n">
        <x:v>35.45</x:v>
      </x:c>
      <x:c r="K1384" s="4" t="n">
        <x:v>17</x:v>
      </x:c>
      <x:c r="L1384" s="5" t="n">
        <x:v>0</x:v>
      </x:c>
      <x:c r="M1384" s="4" t="n">
        <x:f>ROUND(I1384*J1384*(1-L1384),2)</x:f>
        <x:v>106.35</x:v>
      </x:c>
      <x:c r="N1384" s="4" t="n">
        <x:f>ROUND(I1384*K1384,2)</x:f>
        <x:v>51</x:v>
      </x:c>
      <x:c r="O1384" s="4" t="n">
        <x:f>ROUND(M1384-N1384,2)</x:f>
        <x:v>55.35</x:v>
      </x:c>
      <x:c r="P1384" s="6" t="n">
        <x:v>3.6</x:v>
      </x:c>
      <x:c r="Q1384" t="str">
        <x:v>No</x:v>
      </x:c>
    </x:row>
    <x:row r="1385">
      <x:c r="A1385" t="str">
        <x:v>ORD-01245</x:v>
      </x:c>
      <x:c r="B1385" s="3" t="n">
        <x:v>45858.49983886574</x:v>
      </x:c>
      <x:c r="C1385" t="str">
        <x:v>2025-07</x:v>
      </x:c>
      <x:c r="D1385" t="str">
        <x:v>CUS-0379</x:v>
      </x:c>
      <x:c r="E1385" t="str">
        <x:v>Scotland</x:v>
      </x:c>
      <x:c r="F1385" t="str">
        <x:v>Online</x:v>
      </x:c>
      <x:c r="G1385" t="str">
        <x:v>Beauty</x:v>
      </x:c>
      <x:c r="H1385" t="str">
        <x:v>Hair Dryer</x:v>
      </x:c>
      <x:c r="I1385" t="n">
        <x:v>3</x:v>
      </x:c>
      <x:c r="J1385" s="4" t="n">
        <x:v>57.95</x:v>
      </x:c>
      <x:c r="K1385" s="4" t="n">
        <x:v>29</x:v>
      </x:c>
      <x:c r="L1385" s="5" t="n">
        <x:v>0.2</x:v>
      </x:c>
      <x:c r="M1385" s="4" t="n">
        <x:f>ROUND(I1385*J1385*(1-L1385),2)</x:f>
        <x:v>139.08</x:v>
      </x:c>
      <x:c r="N1385" s="4" t="n">
        <x:f>ROUND(I1385*K1385,2)</x:f>
        <x:v>87</x:v>
      </x:c>
      <x:c r="O1385" s="4" t="n">
        <x:f>ROUND(M1385-N1385,2)</x:f>
        <x:v>52.08</x:v>
      </x:c>
      <x:c r="P1385" s="6" t="n">
        <x:v>5</x:v>
      </x:c>
      <x:c r="Q1385" t="str">
        <x:v>No</x:v>
      </x:c>
    </x:row>
    <x:row r="1386">
      <x:c r="A1386" t="str">
        <x:v>ORD-01594</x:v>
      </x:c>
      <x:c r="B1386" s="3" t="n">
        <x:v>45858.92367549769</x:v>
      </x:c>
      <x:c r="C1386" t="str">
        <x:v>2025-07</x:v>
      </x:c>
      <x:c r="D1386" t="str">
        <x:v>CUS-0067</x:v>
      </x:c>
      <x:c r="E1386" t="str">
        <x:v>Wales</x:v>
      </x:c>
      <x:c r="F1386" t="str">
        <x:v>Store</x:v>
      </x:c>
      <x:c r="G1386" t="str">
        <x:v>Home</x:v>
      </x:c>
      <x:c r="H1386" t="str">
        <x:v>Air Fryer</x:v>
      </x:c>
      <x:c r="I1386" t="n">
        <x:v>5</x:v>
      </x:c>
      <x:c r="J1386" s="4" t="n">
        <x:v>114.23</x:v>
      </x:c>
      <x:c r="K1386" s="4" t="n">
        <x:v>69</x:v>
      </x:c>
      <x:c r="L1386" s="5" t="n">
        <x:v>0.1</x:v>
      </x:c>
      <x:c r="M1386" s="4" t="n">
        <x:f>ROUND(I1386*J1386*(1-L1386),2)</x:f>
        <x:v>514.04</x:v>
      </x:c>
      <x:c r="N1386" s="4" t="n">
        <x:f>ROUND(I1386*K1386,2)</x:f>
        <x:v>345</x:v>
      </x:c>
      <x:c r="O1386" s="4" t="n">
        <x:f>ROUND(M1386-N1386,2)</x:f>
        <x:v>169.04</x:v>
      </x:c>
      <x:c r="P1386" s="6" t="n">
        <x:v>4.2</x:v>
      </x:c>
      <x:c r="Q1386" t="str">
        <x:v>No</x:v>
      </x:c>
    </x:row>
    <x:row r="1387">
      <x:c r="A1387" t="str">
        <x:v>ORD-01783</x:v>
      </x:c>
      <x:c r="B1387" s="3" t="n">
        <x:v>45859.32817403935</x:v>
      </x:c>
      <x:c r="C1387" t="str">
        <x:v>2025-07</x:v>
      </x:c>
      <x:c r="D1387" t="str">
        <x:v>CUS-0579</x:v>
      </x:c>
      <x:c r="E1387" t="str">
        <x:v>London</x:v>
      </x:c>
      <x:c r="F1387" t="str">
        <x:v>Store</x:v>
      </x:c>
      <x:c r="G1387" t="str">
        <x:v>Fashion</x:v>
      </x:c>
      <x:c r="H1387" t="str">
        <x:v>Winter Jacket</x:v>
      </x:c>
      <x:c r="I1387" t="n">
        <x:v>3</x:v>
      </x:c>
      <x:c r="J1387" s="4" t="n">
        <x:v>93.16</x:v>
      </x:c>
      <x:c r="K1387" s="4" t="n">
        <x:v>46</x:v>
      </x:c>
      <x:c r="L1387" s="5" t="n">
        <x:v>0</x:v>
      </x:c>
      <x:c r="M1387" s="4" t="n">
        <x:f>ROUND(I1387*J1387*(1-L1387),2)</x:f>
        <x:v>279.48</x:v>
      </x:c>
      <x:c r="N1387" s="4" t="n">
        <x:f>ROUND(I1387*K1387,2)</x:f>
        <x:v>138</x:v>
      </x:c>
      <x:c r="O1387" s="4" t="n">
        <x:f>ROUND(M1387-N1387,2)</x:f>
        <x:v>141.48</x:v>
      </x:c>
      <x:c r="P1387" s="6" t="n">
        <x:v>3.6</x:v>
      </x:c>
      <x:c r="Q1387" t="str">
        <x:v>No</x:v>
      </x:c>
    </x:row>
    <x:row r="1388">
      <x:c r="A1388" t="str">
        <x:v>ORD-00329</x:v>
      </x:c>
      <x:c r="B1388" s="3" t="n">
        <x:v>45859.55527699074</x:v>
      </x:c>
      <x:c r="C1388" t="str">
        <x:v>2025-07</x:v>
      </x:c>
      <x:c r="D1388" t="str">
        <x:v>CUS-0061</x:v>
      </x:c>
      <x:c r="E1388" t="str">
        <x:v>North West</x:v>
      </x:c>
      <x:c r="F1388" t="str">
        <x:v>Online</x:v>
      </x:c>
      <x:c r="G1388" t="str">
        <x:v>Sports</x:v>
      </x:c>
      <x:c r="H1388" t="str">
        <x:v>Yoga Mat</x:v>
      </x:c>
      <x:c r="I1388" t="n">
        <x:v>3</x:v>
      </x:c>
      <x:c r="J1388" s="4" t="n">
        <x:v>29.22</x:v>
      </x:c>
      <x:c r="K1388" s="4" t="n">
        <x:v>12</x:v>
      </x:c>
      <x:c r="L1388" s="5" t="n">
        <x:v>0.1</x:v>
      </x:c>
      <x:c r="M1388" s="4" t="n">
        <x:f>ROUND(I1388*J1388*(1-L1388),2)</x:f>
        <x:v>78.89</x:v>
      </x:c>
      <x:c r="N1388" s="4" t="n">
        <x:f>ROUND(I1388*K1388,2)</x:f>
        <x:v>36</x:v>
      </x:c>
      <x:c r="O1388" s="4" t="n">
        <x:f>ROUND(M1388-N1388,2)</x:f>
        <x:v>42.89</x:v>
      </x:c>
      <x:c r="P1388" s="6" t="n">
        <x:v>4.1</x:v>
      </x:c>
      <x:c r="Q1388" t="str">
        <x:v>No</x:v>
      </x:c>
    </x:row>
    <x:row r="1389">
      <x:c r="A1389" t="str">
        <x:v>ORD-00944</x:v>
      </x:c>
      <x:c r="B1389" s="3" t="n">
        <x:v>45859.654625393516</x:v>
      </x:c>
      <x:c r="C1389" t="str">
        <x:v>2025-07</x:v>
      </x:c>
      <x:c r="D1389" t="str">
        <x:v>CUS-0002</x:v>
      </x:c>
      <x:c r="E1389" t="str">
        <x:v>Scotland</x:v>
      </x:c>
      <x:c r="F1389" t="str">
        <x:v>Store</x:v>
      </x:c>
      <x:c r="G1389" t="str">
        <x:v>Books</x:v>
      </x:c>
      <x:c r="H1389" t="str">
        <x:v>Business Intelligence Guide</x:v>
      </x:c>
      <x:c r="I1389" t="n">
        <x:v>3</x:v>
      </x:c>
      <x:c r="J1389" s="4" t="n">
        <x:v>36.65</x:v>
      </x:c>
      <x:c r="K1389" s="4" t="n">
        <x:v>12</x:v>
      </x:c>
      <x:c r="L1389" s="5" t="n">
        <x:v>0.2</x:v>
      </x:c>
      <x:c r="M1389" s="4" t="n">
        <x:f>ROUND(I1389*J1389*(1-L1389),2)</x:f>
        <x:v>87.96</x:v>
      </x:c>
      <x:c r="N1389" s="4" t="n">
        <x:f>ROUND(I1389*K1389,2)</x:f>
        <x:v>36</x:v>
      </x:c>
      <x:c r="O1389" s="4" t="n">
        <x:f>ROUND(M1389-N1389,2)</x:f>
        <x:v>51.96</x:v>
      </x:c>
      <x:c r="P1389" s="6" t="n">
        <x:v>5</x:v>
      </x:c>
      <x:c r="Q1389" t="str">
        <x:v>No</x:v>
      </x:c>
    </x:row>
    <x:row r="1390">
      <x:c r="A1390" t="str">
        <x:v>ORD-00704</x:v>
      </x:c>
      <x:c r="B1390" s="3" t="n">
        <x:v>45859.84747331018</x:v>
      </x:c>
      <x:c r="C1390" t="str">
        <x:v>2025-07</x:v>
      </x:c>
      <x:c r="D1390" t="str">
        <x:v>CUS-0598</x:v>
      </x:c>
      <x:c r="E1390" t="str">
        <x:v>North West</x:v>
      </x:c>
      <x:c r="F1390" t="str">
        <x:v>Marketplace</x:v>
      </x:c>
      <x:c r="G1390" t="str">
        <x:v>Fashion</x:v>
      </x:c>
      <x:c r="H1390" t="str">
        <x:v>Classic Trainers</x:v>
      </x:c>
      <x:c r="I1390" t="n">
        <x:v>2</x:v>
      </x:c>
      <x:c r="J1390" s="4" t="n">
        <x:v>70.91</x:v>
      </x:c>
      <x:c r="K1390" s="4" t="n">
        <x:v>32</x:v>
      </x:c>
      <x:c r="L1390" s="5" t="n">
        <x:v>0</x:v>
      </x:c>
      <x:c r="M1390" s="4" t="n">
        <x:f>ROUND(I1390*J1390*(1-L1390),2)</x:f>
        <x:v>141.82</x:v>
      </x:c>
      <x:c r="N1390" s="4" t="n">
        <x:f>ROUND(I1390*K1390,2)</x:f>
        <x:v>64</x:v>
      </x:c>
      <x:c r="O1390" s="4" t="n">
        <x:f>ROUND(M1390-N1390,2)</x:f>
        <x:v>77.82</x:v>
      </x:c>
      <x:c r="P1390" s="6" t="n">
        <x:v>4.4</x:v>
      </x:c>
      <x:c r="Q1390" t="str">
        <x:v>Yes</x:v>
      </x:c>
    </x:row>
    <x:row r="1391">
      <x:c r="A1391" t="str">
        <x:v>ORD-00846</x:v>
      </x:c>
      <x:c r="B1391" s="3" t="n">
        <x:v>45861.652694965276</x:v>
      </x:c>
      <x:c r="C1391" t="str">
        <x:v>2025-07</x:v>
      </x:c>
      <x:c r="D1391" t="str">
        <x:v>CUS-0433</x:v>
      </x:c>
      <x:c r="E1391" t="str">
        <x:v>Midlands</x:v>
      </x:c>
      <x:c r="F1391" t="str">
        <x:v>Marketplace</x:v>
      </x:c>
      <x:c r="G1391" t="str">
        <x:v>Books</x:v>
      </x:c>
      <x:c r="H1391" t="str">
        <x:v>Data Analytics Handbook</x:v>
      </x:c>
      <x:c r="I1391" t="n">
        <x:v>4</x:v>
      </x:c>
      <x:c r="J1391" s="4" t="n">
        <x:v>39.51</x:v>
      </x:c>
      <x:c r="K1391" s="4" t="n">
        <x:v>14</x:v>
      </x:c>
      <x:c r="L1391" s="5" t="n">
        <x:v>0.05</x:v>
      </x:c>
      <x:c r="M1391" s="4" t="n">
        <x:f>ROUND(I1391*J1391*(1-L1391),2)</x:f>
        <x:v>150.14</x:v>
      </x:c>
      <x:c r="N1391" s="4" t="n">
        <x:f>ROUND(I1391*K1391,2)</x:f>
        <x:v>56</x:v>
      </x:c>
      <x:c r="O1391" s="4" t="n">
        <x:f>ROUND(M1391-N1391,2)</x:f>
        <x:v>94.14</x:v>
      </x:c>
      <x:c r="P1391" s="6" t="n">
        <x:v>3.9</x:v>
      </x:c>
      <x:c r="Q1391" t="str">
        <x:v>Yes</x:v>
      </x:c>
    </x:row>
    <x:row r="1392">
      <x:c r="A1392" t="str">
        <x:v>ORD-01037</x:v>
      </x:c>
      <x:c r="B1392" s="3" t="n">
        <x:v>45861.80963613426</x:v>
      </x:c>
      <x:c r="C1392" t="str">
        <x:v>2025-07</x:v>
      </x:c>
      <x:c r="D1392" t="str">
        <x:v>CUS-0396</x:v>
      </x:c>
      <x:c r="E1392" t="str">
        <x:v>Wales</x:v>
      </x:c>
      <x:c r="F1392" t="str">
        <x:v>Online</x:v>
      </x:c>
      <x:c r="G1392" t="str">
        <x:v>Beauty</x:v>
      </x:c>
      <x:c r="H1392" t="str">
        <x:v>Skin Care Set</x:v>
      </x:c>
      <x:c r="I1392" t="n">
        <x:v>3</x:v>
      </x:c>
      <x:c r="J1392" s="4" t="n">
        <x:v>42.89</x:v>
      </x:c>
      <x:c r="K1392" s="4" t="n">
        <x:v>18</x:v>
      </x:c>
      <x:c r="L1392" s="5" t="n">
        <x:v>0.15</x:v>
      </x:c>
      <x:c r="M1392" s="4" t="n">
        <x:f>ROUND(I1392*J1392*(1-L1392),2)</x:f>
        <x:v>109.37</x:v>
      </x:c>
      <x:c r="N1392" s="4" t="n">
        <x:f>ROUND(I1392*K1392,2)</x:f>
        <x:v>54</x:v>
      </x:c>
      <x:c r="O1392" s="4" t="n">
        <x:f>ROUND(M1392-N1392,2)</x:f>
        <x:v>55.37</x:v>
      </x:c>
      <x:c r="P1392" s="6" t="n">
        <x:v>4.5</x:v>
      </x:c>
      <x:c r="Q1392" t="str">
        <x:v>No</x:v>
      </x:c>
    </x:row>
    <x:row r="1393">
      <x:c r="A1393" t="str">
        <x:v>ORD-01602</x:v>
      </x:c>
      <x:c r="B1393" s="3" t="n">
        <x:v>45862.41224747685</x:v>
      </x:c>
      <x:c r="C1393" t="str">
        <x:v>2025-07</x:v>
      </x:c>
      <x:c r="D1393" t="str">
        <x:v>CUS-0142</x:v>
      </x:c>
      <x:c r="E1393" t="str">
        <x:v>Midlands</x:v>
      </x:c>
      <x:c r="F1393" t="str">
        <x:v>Online</x:v>
      </x:c>
      <x:c r="G1393" t="str">
        <x:v>Beauty</x:v>
      </x:c>
      <x:c r="H1393" t="str">
        <x:v>Hair Dryer</x:v>
      </x:c>
      <x:c r="I1393" t="n">
        <x:v>2</x:v>
      </x:c>
      <x:c r="J1393" s="4" t="n">
        <x:v>60.56</x:v>
      </x:c>
      <x:c r="K1393" s="4" t="n">
        <x:v>29</x:v>
      </x:c>
      <x:c r="L1393" s="5" t="n">
        <x:v>0</x:v>
      </x:c>
      <x:c r="M1393" s="4" t="n">
        <x:f>ROUND(I1393*J1393*(1-L1393),2)</x:f>
        <x:v>121.12</x:v>
      </x:c>
      <x:c r="N1393" s="4" t="n">
        <x:f>ROUND(I1393*K1393,2)</x:f>
        <x:v>58</x:v>
      </x:c>
      <x:c r="O1393" s="4" t="n">
        <x:f>ROUND(M1393-N1393,2)</x:f>
        <x:v>63.12</x:v>
      </x:c>
      <x:c r="P1393" s="6" t="n">
        <x:v>4.1</x:v>
      </x:c>
      <x:c r="Q1393" t="str">
        <x:v>No</x:v>
      </x:c>
    </x:row>
    <x:row r="1394">
      <x:c r="A1394" t="str">
        <x:v>ORD-00654</x:v>
      </x:c>
      <x:c r="B1394" s="3" t="n">
        <x:v>45862.44627746528</x:v>
      </x:c>
      <x:c r="C1394" t="str">
        <x:v>2025-07</x:v>
      </x:c>
      <x:c r="D1394" t="str">
        <x:v>CUS-0459</x:v>
      </x:c>
      <x:c r="E1394" t="str">
        <x:v>Wales</x:v>
      </x:c>
      <x:c r="F1394" t="str">
        <x:v>Online</x:v>
      </x:c>
      <x:c r="G1394" t="str">
        <x:v>Sports</x:v>
      </x:c>
      <x:c r="H1394" t="str">
        <x:v>Running Shoes</x:v>
      </x:c>
      <x:c r="I1394" t="n">
        <x:v>4</x:v>
      </x:c>
      <x:c r="J1394" s="4" t="n">
        <x:v>82.91</x:v>
      </x:c>
      <x:c r="K1394" s="4" t="n">
        <x:v>38</x:v>
      </x:c>
      <x:c r="L1394" s="5" t="n">
        <x:v>0.15</x:v>
      </x:c>
      <x:c r="M1394" s="4" t="n">
        <x:f>ROUND(I1394*J1394*(1-L1394),2)</x:f>
        <x:v>281.89</x:v>
      </x:c>
      <x:c r="N1394" s="4" t="n">
        <x:f>ROUND(I1394*K1394,2)</x:f>
        <x:v>152</x:v>
      </x:c>
      <x:c r="O1394" s="4" t="n">
        <x:f>ROUND(M1394-N1394,2)</x:f>
        <x:v>129.89</x:v>
      </x:c>
      <x:c r="P1394" s="6" t="n">
        <x:v>4.5</x:v>
      </x:c>
      <x:c r="Q1394" t="str">
        <x:v>No</x:v>
      </x:c>
    </x:row>
    <x:row r="1395">
      <x:c r="A1395" t="str">
        <x:v>ORD-00025</x:v>
      </x:c>
      <x:c r="B1395" s="3" t="n">
        <x:v>45862.477355138886</x:v>
      </x:c>
      <x:c r="C1395" t="str">
        <x:v>2025-07</x:v>
      </x:c>
      <x:c r="D1395" t="str">
        <x:v>CUS-0085</x:v>
      </x:c>
      <x:c r="E1395" t="str">
        <x:v>South West</x:v>
      </x:c>
      <x:c r="F1395" t="str">
        <x:v>Marketplace</x:v>
      </x:c>
      <x:c r="G1395" t="str">
        <x:v>Home</x:v>
      </x:c>
      <x:c r="H1395" t="str">
        <x:v>Air Fryer</x:v>
      </x:c>
      <x:c r="I1395" t="n">
        <x:v>3</x:v>
      </x:c>
      <x:c r="J1395" s="4" t="n">
        <x:v>115.9</x:v>
      </x:c>
      <x:c r="K1395" s="4" t="n">
        <x:v>69</x:v>
      </x:c>
      <x:c r="L1395" s="5" t="n">
        <x:v>0.2</x:v>
      </x:c>
      <x:c r="M1395" s="4" t="n">
        <x:f>ROUND(I1395*J1395*(1-L1395),2)</x:f>
        <x:v>278.16</x:v>
      </x:c>
      <x:c r="N1395" s="4" t="n">
        <x:f>ROUND(I1395*K1395,2)</x:f>
        <x:v>207</x:v>
      </x:c>
      <x:c r="O1395" s="4" t="n">
        <x:f>ROUND(M1395-N1395,2)</x:f>
        <x:v>71.16</x:v>
      </x:c>
      <x:c r="P1395" s="6" t="n">
        <x:v>3.8</x:v>
      </x:c>
      <x:c r="Q1395" t="str">
        <x:v>No</x:v>
      </x:c>
    </x:row>
    <x:row r="1396">
      <x:c r="A1396" t="str">
        <x:v>ORD-01375</x:v>
      </x:c>
      <x:c r="B1396" s="3" t="n">
        <x:v>45862.62134724537</x:v>
      </x:c>
      <x:c r="C1396" t="str">
        <x:v>2025-07</x:v>
      </x:c>
      <x:c r="D1396" t="str">
        <x:v>CUS-0056</x:v>
      </x:c>
      <x:c r="E1396" t="str">
        <x:v>North East</x:v>
      </x:c>
      <x:c r="F1396" t="str">
        <x:v>Online</x:v>
      </x:c>
      <x:c r="G1396" t="str">
        <x:v>Fashion</x:v>
      </x:c>
      <x:c r="H1396" t="str">
        <x:v>Winter Jacket</x:v>
      </x:c>
      <x:c r="I1396" t="n">
        <x:v>5</x:v>
      </x:c>
      <x:c r="J1396" s="4" t="n">
        <x:v>96.74</x:v>
      </x:c>
      <x:c r="K1396" s="4" t="n">
        <x:v>46</x:v>
      </x:c>
      <x:c r="L1396" s="5" t="n">
        <x:v>0</x:v>
      </x:c>
      <x:c r="M1396" s="4" t="n">
        <x:f>ROUND(I1396*J1396*(1-L1396),2)</x:f>
        <x:v>483.7</x:v>
      </x:c>
      <x:c r="N1396" s="4" t="n">
        <x:f>ROUND(I1396*K1396,2)</x:f>
        <x:v>230</x:v>
      </x:c>
      <x:c r="O1396" s="4" t="n">
        <x:f>ROUND(M1396-N1396,2)</x:f>
        <x:v>253.7</x:v>
      </x:c>
      <x:c r="P1396" s="6" t="n">
        <x:v>3.6</x:v>
      </x:c>
      <x:c r="Q1396" t="str">
        <x:v>No</x:v>
      </x:c>
    </x:row>
    <x:row r="1397">
      <x:c r="A1397" t="str">
        <x:v>ORD-01516</x:v>
      </x:c>
      <x:c r="B1397" s="3" t="n">
        <x:v>45863.15626846065</x:v>
      </x:c>
      <x:c r="C1397" t="str">
        <x:v>2025-07</x:v>
      </x:c>
      <x:c r="D1397" t="str">
        <x:v>CUS-0370</x:v>
      </x:c>
      <x:c r="E1397" t="str">
        <x:v>Midlands</x:v>
      </x:c>
      <x:c r="F1397" t="str">
        <x:v>Store</x:v>
      </x:c>
      <x:c r="G1397" t="str">
        <x:v>Home</x:v>
      </x:c>
      <x:c r="H1397" t="str">
        <x:v>Desk Lamp</x:v>
      </x:c>
      <x:c r="I1397" t="n">
        <x:v>2</x:v>
      </x:c>
      <x:c r="J1397" s="4" t="n">
        <x:v>34.14</x:v>
      </x:c>
      <x:c r="K1397" s="4" t="n">
        <x:v>17</x:v>
      </x:c>
      <x:c r="L1397" s="5" t="n">
        <x:v>0</x:v>
      </x:c>
      <x:c r="M1397" s="4" t="n">
        <x:f>ROUND(I1397*J1397*(1-L1397),2)</x:f>
        <x:v>68.28</x:v>
      </x:c>
      <x:c r="N1397" s="4" t="n">
        <x:f>ROUND(I1397*K1397,2)</x:f>
        <x:v>34</x:v>
      </x:c>
      <x:c r="O1397" s="4" t="n">
        <x:f>ROUND(M1397-N1397,2)</x:f>
        <x:v>34.28</x:v>
      </x:c>
      <x:c r="P1397" s="6" t="n">
        <x:v>4.8</x:v>
      </x:c>
      <x:c r="Q1397" t="str">
        <x:v>No</x:v>
      </x:c>
    </x:row>
    <x:row r="1398">
      <x:c r="A1398" t="str">
        <x:v>ORD-00041</x:v>
      </x:c>
      <x:c r="B1398" s="3" t="n">
        <x:v>45863.3853127662</x:v>
      </x:c>
      <x:c r="C1398" t="str">
        <x:v>2025-07</x:v>
      </x:c>
      <x:c r="D1398" t="str">
        <x:v>CUS-0042</x:v>
      </x:c>
      <x:c r="E1398" t="str">
        <x:v>North East</x:v>
      </x:c>
      <x:c r="F1398" t="str">
        <x:v>Marketplace</x:v>
      </x:c>
      <x:c r="G1398" t="str">
        <x:v>Fashion</x:v>
      </x:c>
      <x:c r="H1398" t="str">
        <x:v>Winter Jacket</x:v>
      </x:c>
      <x:c r="I1398" t="n">
        <x:v>3</x:v>
      </x:c>
      <x:c r="J1398" s="4" t="n">
        <x:v>99.68</x:v>
      </x:c>
      <x:c r="K1398" s="4" t="n">
        <x:v>46</x:v>
      </x:c>
      <x:c r="L1398" s="5" t="n">
        <x:v>0.1</x:v>
      </x:c>
      <x:c r="M1398" s="4" t="n">
        <x:f>ROUND(I1398*J1398*(1-L1398),2)</x:f>
        <x:v>269.14</x:v>
      </x:c>
      <x:c r="N1398" s="4" t="n">
        <x:f>ROUND(I1398*K1398,2)</x:f>
        <x:v>138</x:v>
      </x:c>
      <x:c r="O1398" s="4" t="n">
        <x:f>ROUND(M1398-N1398,2)</x:f>
        <x:v>131.14</x:v>
      </x:c>
      <x:c r="P1398" s="6" t="n">
        <x:v>4</x:v>
      </x:c>
      <x:c r="Q1398" t="str">
        <x:v>No</x:v>
      </x:c>
    </x:row>
    <x:row r="1399">
      <x:c r="A1399" t="str">
        <x:v>ORD-00311</x:v>
      </x:c>
      <x:c r="B1399" s="3" t="n">
        <x:v>45863.77088283565</x:v>
      </x:c>
      <x:c r="C1399" t="str">
        <x:v>2025-07</x:v>
      </x:c>
      <x:c r="D1399" t="str">
        <x:v>CUS-0014</x:v>
      </x:c>
      <x:c r="E1399" t="str">
        <x:v>London</x:v>
      </x:c>
      <x:c r="F1399" t="str">
        <x:v>Online</x:v>
      </x:c>
      <x:c r="G1399" t="str">
        <x:v>Beauty</x:v>
      </x:c>
      <x:c r="H1399" t="str">
        <x:v>Skin Care Set</x:v>
      </x:c>
      <x:c r="I1399" t="n">
        <x:v>4</x:v>
      </x:c>
      <x:c r="J1399" s="4" t="n">
        <x:v>46.86</x:v>
      </x:c>
      <x:c r="K1399" s="4" t="n">
        <x:v>18</x:v>
      </x:c>
      <x:c r="L1399" s="5" t="n">
        <x:v>0.15</x:v>
      </x:c>
      <x:c r="M1399" s="4" t="n">
        <x:f>ROUND(I1399*J1399*(1-L1399),2)</x:f>
        <x:v>159.32</x:v>
      </x:c>
      <x:c r="N1399" s="4" t="n">
        <x:f>ROUND(I1399*K1399,2)</x:f>
        <x:v>72</x:v>
      </x:c>
      <x:c r="O1399" s="4" t="n">
        <x:f>ROUND(M1399-N1399,2)</x:f>
        <x:v>87.32</x:v>
      </x:c>
      <x:c r="P1399" s="6" t="n">
        <x:v>4.1</x:v>
      </x:c>
      <x:c r="Q1399" t="str">
        <x:v>No</x:v>
      </x:c>
    </x:row>
    <x:row r="1400">
      <x:c r="A1400" t="str">
        <x:v>ORD-00866</x:v>
      </x:c>
      <x:c r="B1400" s="3" t="n">
        <x:v>45864.019134016205</x:v>
      </x:c>
      <x:c r="C1400" t="str">
        <x:v>2025-07</x:v>
      </x:c>
      <x:c r="D1400" t="str">
        <x:v>CUS-0249</x:v>
      </x:c>
      <x:c r="E1400" t="str">
        <x:v>Midlands</x:v>
      </x:c>
      <x:c r="F1400" t="str">
        <x:v>Store</x:v>
      </x:c>
      <x:c r="G1400" t="str">
        <x:v>Beauty</x:v>
      </x:c>
      <x:c r="H1400" t="str">
        <x:v>Skin Care Set</x:v>
      </x:c>
      <x:c r="I1400" t="n">
        <x:v>4</x:v>
      </x:c>
      <x:c r="J1400" s="4" t="n">
        <x:v>45.66</x:v>
      </x:c>
      <x:c r="K1400" s="4" t="n">
        <x:v>18</x:v>
      </x:c>
      <x:c r="L1400" s="5" t="n">
        <x:v>0.15</x:v>
      </x:c>
      <x:c r="M1400" s="4" t="n">
        <x:f>ROUND(I1400*J1400*(1-L1400),2)</x:f>
        <x:v>155.24</x:v>
      </x:c>
      <x:c r="N1400" s="4" t="n">
        <x:f>ROUND(I1400*K1400,2)</x:f>
        <x:v>72</x:v>
      </x:c>
      <x:c r="O1400" s="4" t="n">
        <x:f>ROUND(M1400-N1400,2)</x:f>
        <x:v>83.24</x:v>
      </x:c>
      <x:c r="P1400" s="6" t="n">
        <x:v>4</x:v>
      </x:c>
      <x:c r="Q1400" t="str">
        <x:v>No</x:v>
      </x:c>
    </x:row>
    <x:row r="1401">
      <x:c r="A1401" t="str">
        <x:v>ORD-00672</x:v>
      </x:c>
      <x:c r="B1401" s="3" t="n">
        <x:v>45864.75328471065</x:v>
      </x:c>
      <x:c r="C1401" t="str">
        <x:v>2025-07</x:v>
      </x:c>
      <x:c r="D1401" t="str">
        <x:v>CUS-0364</x:v>
      </x:c>
      <x:c r="E1401" t="str">
        <x:v>London</x:v>
      </x:c>
      <x:c r="F1401" t="str">
        <x:v>Store</x:v>
      </x:c>
      <x:c r="G1401" t="str">
        <x:v>Beauty</x:v>
      </x:c>
      <x:c r="H1401" t="str">
        <x:v>Skin Care Set</x:v>
      </x:c>
      <x:c r="I1401" t="n">
        <x:v>3</x:v>
      </x:c>
      <x:c r="J1401" s="4" t="n">
        <x:v>45.87</x:v>
      </x:c>
      <x:c r="K1401" s="4" t="n">
        <x:v>18</x:v>
      </x:c>
      <x:c r="L1401" s="5" t="n">
        <x:v>0.05</x:v>
      </x:c>
      <x:c r="M1401" s="4" t="n">
        <x:f>ROUND(I1401*J1401*(1-L1401),2)</x:f>
        <x:v>130.73</x:v>
      </x:c>
      <x:c r="N1401" s="4" t="n">
        <x:f>ROUND(I1401*K1401,2)</x:f>
        <x:v>54</x:v>
      </x:c>
      <x:c r="O1401" s="4" t="n">
        <x:f>ROUND(M1401-N1401,2)</x:f>
        <x:v>76.73</x:v>
      </x:c>
      <x:c r="P1401" s="6" t="n">
        <x:v>4.7</x:v>
      </x:c>
      <x:c r="Q1401" t="str">
        <x:v>No</x:v>
      </x:c>
    </x:row>
    <x:row r="1402">
      <x:c r="A1402" t="str">
        <x:v>ORD-00591</x:v>
      </x:c>
      <x:c r="B1402" s="3" t="n">
        <x:v>45865.001980520836</x:v>
      </x:c>
      <x:c r="C1402" t="str">
        <x:v>2025-07</x:v>
      </x:c>
      <x:c r="D1402" t="str">
        <x:v>CUS-0347</x:v>
      </x:c>
      <x:c r="E1402" t="str">
        <x:v>Scotland</x:v>
      </x:c>
      <x:c r="F1402" t="str">
        <x:v>Store</x:v>
      </x:c>
      <x:c r="G1402" t="str">
        <x:v>Beauty</x:v>
      </x:c>
      <x:c r="H1402" t="str">
        <x:v>Hair Dryer</x:v>
      </x:c>
      <x:c r="I1402" t="n">
        <x:v>4</x:v>
      </x:c>
      <x:c r="J1402" s="4" t="n">
        <x:v>58.58</x:v>
      </x:c>
      <x:c r="K1402" s="4" t="n">
        <x:v>29</x:v>
      </x:c>
      <x:c r="L1402" s="5" t="n">
        <x:v>0.15</x:v>
      </x:c>
      <x:c r="M1402" s="4" t="n">
        <x:f>ROUND(I1402*J1402*(1-L1402),2)</x:f>
        <x:v>199.17</x:v>
      </x:c>
      <x:c r="N1402" s="4" t="n">
        <x:f>ROUND(I1402*K1402,2)</x:f>
        <x:v>116</x:v>
      </x:c>
      <x:c r="O1402" s="4" t="n">
        <x:f>ROUND(M1402-N1402,2)</x:f>
        <x:v>83.17</x:v>
      </x:c>
      <x:c r="P1402" s="6" t="n">
        <x:v>3.6</x:v>
      </x:c>
      <x:c r="Q1402" t="str">
        <x:v>No</x:v>
      </x:c>
    </x:row>
    <x:row r="1403">
      <x:c r="A1403" t="str">
        <x:v>ORD-00469</x:v>
      </x:c>
      <x:c r="B1403" s="3" t="n">
        <x:v>45866.757797708335</x:v>
      </x:c>
      <x:c r="C1403" t="str">
        <x:v>2025-07</x:v>
      </x:c>
      <x:c r="D1403" t="str">
        <x:v>CUS-0556</x:v>
      </x:c>
      <x:c r="E1403" t="str">
        <x:v>North East</x:v>
      </x:c>
      <x:c r="F1403" t="str">
        <x:v>Online</x:v>
      </x:c>
      <x:c r="G1403" t="str">
        <x:v>Sports</x:v>
      </x:c>
      <x:c r="H1403" t="str">
        <x:v>Running Shoes</x:v>
      </x:c>
      <x:c r="I1403" t="n">
        <x:v>1</x:v>
      </x:c>
      <x:c r="J1403" s="4" t="n">
        <x:v>79.12</x:v>
      </x:c>
      <x:c r="K1403" s="4" t="n">
        <x:v>38</x:v>
      </x:c>
      <x:c r="L1403" s="5" t="n">
        <x:v>0</x:v>
      </x:c>
      <x:c r="M1403" s="4" t="n">
        <x:f>ROUND(I1403*J1403*(1-L1403),2)</x:f>
        <x:v>79.12</x:v>
      </x:c>
      <x:c r="N1403" s="4" t="n">
        <x:f>ROUND(I1403*K1403,2)</x:f>
        <x:v>38</x:v>
      </x:c>
      <x:c r="O1403" s="4" t="n">
        <x:f>ROUND(M1403-N1403,2)</x:f>
        <x:v>41.12</x:v>
      </x:c>
      <x:c r="P1403" s="6" t="n">
        <x:v>5</x:v>
      </x:c>
      <x:c r="Q1403" t="str">
        <x:v>No</x:v>
      </x:c>
    </x:row>
    <x:row r="1404">
      <x:c r="A1404" t="str">
        <x:v>ORD-00851</x:v>
      </x:c>
      <x:c r="B1404" s="3" t="n">
        <x:v>45867.50244009259</x:v>
      </x:c>
      <x:c r="C1404" t="str">
        <x:v>2025-07</x:v>
      </x:c>
      <x:c r="D1404" t="str">
        <x:v>CUS-0084</x:v>
      </x:c>
      <x:c r="E1404" t="str">
        <x:v>South East</x:v>
      </x:c>
      <x:c r="F1404" t="str">
        <x:v>Online</x:v>
      </x:c>
      <x:c r="G1404" t="str">
        <x:v>Home</x:v>
      </x:c>
      <x:c r="H1404" t="str">
        <x:v>Desk Lamp</x:v>
      </x:c>
      <x:c r="I1404" t="n">
        <x:v>5</x:v>
      </x:c>
      <x:c r="J1404" s="4" t="n">
        <x:v>34.58</x:v>
      </x:c>
      <x:c r="K1404" s="4" t="n">
        <x:v>17</x:v>
      </x:c>
      <x:c r="L1404" s="5" t="n">
        <x:v>0.15</x:v>
      </x:c>
      <x:c r="M1404" s="4" t="n">
        <x:f>ROUND(I1404*J1404*(1-L1404),2)</x:f>
        <x:v>146.96</x:v>
      </x:c>
      <x:c r="N1404" s="4" t="n">
        <x:f>ROUND(I1404*K1404,2)</x:f>
        <x:v>85</x:v>
      </x:c>
      <x:c r="O1404" s="4" t="n">
        <x:f>ROUND(M1404-N1404,2)</x:f>
        <x:v>61.96</x:v>
      </x:c>
      <x:c r="P1404" s="6" t="n">
        <x:v>4.9</x:v>
      </x:c>
      <x:c r="Q1404" t="str">
        <x:v>No</x:v>
      </x:c>
    </x:row>
    <x:row r="1405">
      <x:c r="A1405" t="str">
        <x:v>ORD-00555</x:v>
      </x:c>
      <x:c r="B1405" s="3" t="n">
        <x:v>45867.883216435184</x:v>
      </x:c>
      <x:c r="C1405" t="str">
        <x:v>2025-07</x:v>
      </x:c>
      <x:c r="D1405" t="str">
        <x:v>CUS-0076</x:v>
      </x:c>
      <x:c r="E1405" t="str">
        <x:v>South West</x:v>
      </x:c>
      <x:c r="F1405" t="str">
        <x:v>Marketplace</x:v>
      </x:c>
      <x:c r="G1405" t="str">
        <x:v>Fashion</x:v>
      </x:c>
      <x:c r="H1405" t="str">
        <x:v>Winter Jacket</x:v>
      </x:c>
      <x:c r="I1405" t="n">
        <x:v>5</x:v>
      </x:c>
      <x:c r="J1405" s="4" t="n">
        <x:v>93.06</x:v>
      </x:c>
      <x:c r="K1405" s="4" t="n">
        <x:v>46</x:v>
      </x:c>
      <x:c r="L1405" s="5" t="n">
        <x:v>0.05</x:v>
      </x:c>
      <x:c r="M1405" s="4" t="n">
        <x:f>ROUND(I1405*J1405*(1-L1405),2)</x:f>
        <x:v>442.04</x:v>
      </x:c>
      <x:c r="N1405" s="4" t="n">
        <x:f>ROUND(I1405*K1405,2)</x:f>
        <x:v>230</x:v>
      </x:c>
      <x:c r="O1405" s="4" t="n">
        <x:f>ROUND(M1405-N1405,2)</x:f>
        <x:v>212.04</x:v>
      </x:c>
      <x:c r="P1405" s="6" t="n">
        <x:v>5</x:v>
      </x:c>
      <x:c r="Q1405" t="str">
        <x:v>No</x:v>
      </x:c>
    </x:row>
    <x:row r="1406">
      <x:c r="A1406" t="str">
        <x:v>ORD-00622</x:v>
      </x:c>
      <x:c r="B1406" s="3" t="n">
        <x:v>45868.08534282407</x:v>
      </x:c>
      <x:c r="C1406" t="str">
        <x:v>2025-07</x:v>
      </x:c>
      <x:c r="D1406" t="str">
        <x:v>CUS-0245</x:v>
      </x:c>
      <x:c r="E1406" t="str">
        <x:v>South West</x:v>
      </x:c>
      <x:c r="F1406" t="str">
        <x:v>Marketplace</x:v>
      </x:c>
      <x:c r="G1406" t="str">
        <x:v>Sports</x:v>
      </x:c>
      <x:c r="H1406" t="str">
        <x:v>Yoga Mat</x:v>
      </x:c>
      <x:c r="I1406" t="n">
        <x:v>1</x:v>
      </x:c>
      <x:c r="J1406" s="4" t="n">
        <x:v>30.52</x:v>
      </x:c>
      <x:c r="K1406" s="4" t="n">
        <x:v>12</x:v>
      </x:c>
      <x:c r="L1406" s="5" t="n">
        <x:v>0</x:v>
      </x:c>
      <x:c r="M1406" s="4" t="n">
        <x:f>ROUND(I1406*J1406*(1-L1406),2)</x:f>
        <x:v>30.52</x:v>
      </x:c>
      <x:c r="N1406" s="4" t="n">
        <x:f>ROUND(I1406*K1406,2)</x:f>
        <x:v>12</x:v>
      </x:c>
      <x:c r="O1406" s="4" t="n">
        <x:f>ROUND(M1406-N1406,2)</x:f>
        <x:v>18.52</x:v>
      </x:c>
      <x:c r="P1406" s="6" t="n">
        <x:v>5</x:v>
      </x:c>
      <x:c r="Q1406" t="str">
        <x:v>No</x:v>
      </x:c>
    </x:row>
    <x:row r="1407">
      <x:c r="A1407" t="str">
        <x:v>ORD-00882</x:v>
      </x:c>
      <x:c r="B1407" s="3" t="n">
        <x:v>45868.17378107639</x:v>
      </x:c>
      <x:c r="C1407" t="str">
        <x:v>2025-07</x:v>
      </x:c>
      <x:c r="D1407" t="str">
        <x:v>CUS-0020</x:v>
      </x:c>
      <x:c r="E1407" t="str">
        <x:v>South West</x:v>
      </x:c>
      <x:c r="F1407" t="str">
        <x:v>Store</x:v>
      </x:c>
      <x:c r="G1407" t="str">
        <x:v>Electronics</x:v>
      </x:c>
      <x:c r="H1407" t="str">
        <x:v>Smart Watch</x:v>
      </x:c>
      <x:c r="I1407" t="n">
        <x:v>4</x:v>
      </x:c>
      <x:c r="J1407" s="4" t="n">
        <x:v>157.25</x:v>
      </x:c>
      <x:c r="K1407" s="4" t="n">
        <x:v>92</x:v>
      </x:c>
      <x:c r="L1407" s="5" t="n">
        <x:v>0</x:v>
      </x:c>
      <x:c r="M1407" s="4" t="n">
        <x:f>ROUND(I1407*J1407*(1-L1407),2)</x:f>
        <x:v>629</x:v>
      </x:c>
      <x:c r="N1407" s="4" t="n">
        <x:f>ROUND(I1407*K1407,2)</x:f>
        <x:v>368</x:v>
      </x:c>
      <x:c r="O1407" s="4" t="n">
        <x:f>ROUND(M1407-N1407,2)</x:f>
        <x:v>261</x:v>
      </x:c>
      <x:c r="P1407" s="6" t="n">
        <x:v>5</x:v>
      </x:c>
      <x:c r="Q1407" t="str">
        <x:v>Yes</x:v>
      </x:c>
    </x:row>
    <x:row r="1408">
      <x:c r="A1408" t="str">
        <x:v>ORD-00893</x:v>
      </x:c>
      <x:c r="B1408" s="3" t="n">
        <x:v>45868.53405505787</x:v>
      </x:c>
      <x:c r="C1408" t="str">
        <x:v>2025-07</x:v>
      </x:c>
      <x:c r="D1408" t="str">
        <x:v>CUS-0463</x:v>
      </x:c>
      <x:c r="E1408" t="str">
        <x:v>Scotland</x:v>
      </x:c>
      <x:c r="F1408" t="str">
        <x:v>Marketplace</x:v>
      </x:c>
      <x:c r="G1408" t="str">
        <x:v>Fashion</x:v>
      </x:c>
      <x:c r="H1408" t="str">
        <x:v>Winter Jacket</x:v>
      </x:c>
      <x:c r="I1408" t="n">
        <x:v>3</x:v>
      </x:c>
      <x:c r="J1408" s="4" t="n">
        <x:v>91.24</x:v>
      </x:c>
      <x:c r="K1408" s="4" t="n">
        <x:v>46</x:v>
      </x:c>
      <x:c r="L1408" s="5" t="n">
        <x:v>0</x:v>
      </x:c>
      <x:c r="M1408" s="4" t="n">
        <x:f>ROUND(I1408*J1408*(1-L1408),2)</x:f>
        <x:v>273.72</x:v>
      </x:c>
      <x:c r="N1408" s="4" t="n">
        <x:f>ROUND(I1408*K1408,2)</x:f>
        <x:v>138</x:v>
      </x:c>
      <x:c r="O1408" s="4" t="n">
        <x:f>ROUND(M1408-N1408,2)</x:f>
        <x:v>135.72</x:v>
      </x:c>
      <x:c r="P1408" s="6" t="n">
        <x:v>4.8</x:v>
      </x:c>
      <x:c r="Q1408" t="str">
        <x:v>No</x:v>
      </x:c>
    </x:row>
    <x:row r="1409">
      <x:c r="A1409" t="str">
        <x:v>ORD-00968</x:v>
      </x:c>
      <x:c r="B1409" s="3" t="n">
        <x:v>45869.685619027776</x:v>
      </x:c>
      <x:c r="C1409" t="str">
        <x:v>2025-07</x:v>
      </x:c>
      <x:c r="D1409" t="str">
        <x:v>CUS-0419</x:v>
      </x:c>
      <x:c r="E1409" t="str">
        <x:v>South West</x:v>
      </x:c>
      <x:c r="F1409" t="str">
        <x:v>Online</x:v>
      </x:c>
      <x:c r="G1409" t="str">
        <x:v>Home</x:v>
      </x:c>
      <x:c r="H1409" t="str">
        <x:v>Desk Lamp</x:v>
      </x:c>
      <x:c r="I1409" t="n">
        <x:v>5</x:v>
      </x:c>
      <x:c r="J1409" s="4" t="n">
        <x:v>33.56</x:v>
      </x:c>
      <x:c r="K1409" s="4" t="n">
        <x:v>17</x:v>
      </x:c>
      <x:c r="L1409" s="5" t="n">
        <x:v>0</x:v>
      </x:c>
      <x:c r="M1409" s="4" t="n">
        <x:f>ROUND(I1409*J1409*(1-L1409),2)</x:f>
        <x:v>167.8</x:v>
      </x:c>
      <x:c r="N1409" s="4" t="n">
        <x:f>ROUND(I1409*K1409,2)</x:f>
        <x:v>85</x:v>
      </x:c>
      <x:c r="O1409" s="4" t="n">
        <x:f>ROUND(M1409-N1409,2)</x:f>
        <x:v>82.8</x:v>
      </x:c>
      <x:c r="P1409" s="6" t="n">
        <x:v>4.5</x:v>
      </x:c>
      <x:c r="Q1409" t="str">
        <x:v>No</x:v>
      </x:c>
    </x:row>
    <x:row r="1410">
      <x:c r="A1410" t="str">
        <x:v>ORD-01071</x:v>
      </x:c>
      <x:c r="B1410" s="3" t="n">
        <x:v>45870.87713868055</x:v>
      </x:c>
      <x:c r="C1410" t="str">
        <x:v>2025-08</x:v>
      </x:c>
      <x:c r="D1410" t="str">
        <x:v>CUS-0490</x:v>
      </x:c>
      <x:c r="E1410" t="str">
        <x:v>South East</x:v>
      </x:c>
      <x:c r="F1410" t="str">
        <x:v>Marketplace</x:v>
      </x:c>
      <x:c r="G1410" t="str">
        <x:v>Home</x:v>
      </x:c>
      <x:c r="H1410" t="str">
        <x:v>Coffee Maker</x:v>
      </x:c>
      <x:c r="I1410" t="n">
        <x:v>5</x:v>
      </x:c>
      <x:c r="J1410" s="4" t="n">
        <x:v>77.86</x:v>
      </x:c>
      <x:c r="K1410" s="4" t="n">
        <x:v>41</x:v>
      </x:c>
      <x:c r="L1410" s="5" t="n">
        <x:v>0</x:v>
      </x:c>
      <x:c r="M1410" s="4" t="n">
        <x:f>ROUND(I1410*J1410*(1-L1410),2)</x:f>
        <x:v>389.3</x:v>
      </x:c>
      <x:c r="N1410" s="4" t="n">
        <x:f>ROUND(I1410*K1410,2)</x:f>
        <x:v>205</x:v>
      </x:c>
      <x:c r="O1410" s="4" t="n">
        <x:f>ROUND(M1410-N1410,2)</x:f>
        <x:v>184.3</x:v>
      </x:c>
      <x:c r="P1410" s="6" t="n">
        <x:v>4</x:v>
      </x:c>
      <x:c r="Q1410" t="str">
        <x:v>No</x:v>
      </x:c>
    </x:row>
    <x:row r="1411">
      <x:c r="A1411" t="str">
        <x:v>ORD-01573</x:v>
      </x:c>
      <x:c r="B1411" s="3" t="n">
        <x:v>45870.934352766206</x:v>
      </x:c>
      <x:c r="C1411" t="str">
        <x:v>2025-08</x:v>
      </x:c>
      <x:c r="D1411" t="str">
        <x:v>CUS-0295</x:v>
      </x:c>
      <x:c r="E1411" t="str">
        <x:v>North West</x:v>
      </x:c>
      <x:c r="F1411" t="str">
        <x:v>Store</x:v>
      </x:c>
      <x:c r="G1411" t="str">
        <x:v>Fashion</x:v>
      </x:c>
      <x:c r="H1411" t="str">
        <x:v>Classic Trainers</x:v>
      </x:c>
      <x:c r="I1411" t="n">
        <x:v>3</x:v>
      </x:c>
      <x:c r="J1411" s="4" t="n">
        <x:v>68.81</x:v>
      </x:c>
      <x:c r="K1411" s="4" t="n">
        <x:v>32</x:v>
      </x:c>
      <x:c r="L1411" s="5" t="n">
        <x:v>0.15</x:v>
      </x:c>
      <x:c r="M1411" s="4" t="n">
        <x:f>ROUND(I1411*J1411*(1-L1411),2)</x:f>
        <x:v>175.47</x:v>
      </x:c>
      <x:c r="N1411" s="4" t="n">
        <x:f>ROUND(I1411*K1411,2)</x:f>
        <x:v>96</x:v>
      </x:c>
      <x:c r="O1411" s="4" t="n">
        <x:f>ROUND(M1411-N1411,2)</x:f>
        <x:v>79.47</x:v>
      </x:c>
      <x:c r="P1411" s="6" t="n">
        <x:v>3.7</x:v>
      </x:c>
      <x:c r="Q1411" t="str">
        <x:v>No</x:v>
      </x:c>
    </x:row>
    <x:row r="1412">
      <x:c r="A1412" t="str">
        <x:v>ORD-01715</x:v>
      </x:c>
      <x:c r="B1412" s="3" t="n">
        <x:v>45871.04760679398</x:v>
      </x:c>
      <x:c r="C1412" t="str">
        <x:v>2025-08</x:v>
      </x:c>
      <x:c r="D1412" t="str">
        <x:v>CUS-0151</x:v>
      </x:c>
      <x:c r="E1412" t="str">
        <x:v>North West</x:v>
      </x:c>
      <x:c r="F1412" t="str">
        <x:v>Marketplace</x:v>
      </x:c>
      <x:c r="G1412" t="str">
        <x:v>Books</x:v>
      </x:c>
      <x:c r="H1412" t="str">
        <x:v>Data Analytics Handbook</x:v>
      </x:c>
      <x:c r="I1412" t="n">
        <x:v>2</x:v>
      </x:c>
      <x:c r="J1412" s="4" t="n">
        <x:v>40.07</x:v>
      </x:c>
      <x:c r="K1412" s="4" t="n">
        <x:v>14</x:v>
      </x:c>
      <x:c r="L1412" s="5" t="n">
        <x:v>0.15</x:v>
      </x:c>
      <x:c r="M1412" s="4" t="n">
        <x:f>ROUND(I1412*J1412*(1-L1412),2)</x:f>
        <x:v>68.12</x:v>
      </x:c>
      <x:c r="N1412" s="4" t="n">
        <x:f>ROUND(I1412*K1412,2)</x:f>
        <x:v>28</x:v>
      </x:c>
      <x:c r="O1412" s="4" t="n">
        <x:f>ROUND(M1412-N1412,2)</x:f>
        <x:v>40.12</x:v>
      </x:c>
      <x:c r="P1412" s="6" t="n">
        <x:v>3.3</x:v>
      </x:c>
      <x:c r="Q1412" t="str">
        <x:v>No</x:v>
      </x:c>
    </x:row>
    <x:row r="1413">
      <x:c r="A1413" t="str">
        <x:v>ORD-00793</x:v>
      </x:c>
      <x:c r="B1413" s="3" t="n">
        <x:v>45871.17780579861</x:v>
      </x:c>
      <x:c r="C1413" t="str">
        <x:v>2025-08</x:v>
      </x:c>
      <x:c r="D1413" t="str">
        <x:v>CUS-0422</x:v>
      </x:c>
      <x:c r="E1413" t="str">
        <x:v>Wales</x:v>
      </x:c>
      <x:c r="F1413" t="str">
        <x:v>Marketplace</x:v>
      </x:c>
      <x:c r="G1413" t="str">
        <x:v>Beauty</x:v>
      </x:c>
      <x:c r="H1413" t="str">
        <x:v>Skin Care Set</x:v>
      </x:c>
      <x:c r="I1413" t="n">
        <x:v>5</x:v>
      </x:c>
      <x:c r="J1413" s="4" t="n">
        <x:v>43.16</x:v>
      </x:c>
      <x:c r="K1413" s="4" t="n">
        <x:v>18</x:v>
      </x:c>
      <x:c r="L1413" s="5" t="n">
        <x:v>0.05</x:v>
      </x:c>
      <x:c r="M1413" s="4" t="n">
        <x:f>ROUND(I1413*J1413*(1-L1413),2)</x:f>
        <x:v>205.01</x:v>
      </x:c>
      <x:c r="N1413" s="4" t="n">
        <x:f>ROUND(I1413*K1413,2)</x:f>
        <x:v>90</x:v>
      </x:c>
      <x:c r="O1413" s="4" t="n">
        <x:f>ROUND(M1413-N1413,2)</x:f>
        <x:v>115.01</x:v>
      </x:c>
      <x:c r="P1413" s="6" t="n">
        <x:v>5</x:v>
      </x:c>
      <x:c r="Q1413" t="str">
        <x:v>No</x:v>
      </x:c>
    </x:row>
    <x:row r="1414">
      <x:c r="A1414" t="str">
        <x:v>ORD-00842</x:v>
      </x:c>
      <x:c r="B1414" s="3" t="n">
        <x:v>45871.225830474534</x:v>
      </x:c>
      <x:c r="C1414" t="str">
        <x:v>2025-08</x:v>
      </x:c>
      <x:c r="D1414" t="str">
        <x:v>CUS-0569</x:v>
      </x:c>
      <x:c r="E1414" t="str">
        <x:v>South East</x:v>
      </x:c>
      <x:c r="F1414" t="str">
        <x:v>Store</x:v>
      </x:c>
      <x:c r="G1414" t="str">
        <x:v>Home</x:v>
      </x:c>
      <x:c r="H1414" t="str">
        <x:v>Air Fryer</x:v>
      </x:c>
      <x:c r="I1414" t="n">
        <x:v>4</x:v>
      </x:c>
      <x:c r="J1414" s="4" t="n">
        <x:v>116.58</x:v>
      </x:c>
      <x:c r="K1414" s="4" t="n">
        <x:v>69</x:v>
      </x:c>
      <x:c r="L1414" s="5" t="n">
        <x:v>0.1</x:v>
      </x:c>
      <x:c r="M1414" s="4" t="n">
        <x:f>ROUND(I1414*J1414*(1-L1414),2)</x:f>
        <x:v>419.69</x:v>
      </x:c>
      <x:c r="N1414" s="4" t="n">
        <x:f>ROUND(I1414*K1414,2)</x:f>
        <x:v>276</x:v>
      </x:c>
      <x:c r="O1414" s="4" t="n">
        <x:f>ROUND(M1414-N1414,2)</x:f>
        <x:v>143.69</x:v>
      </x:c>
      <x:c r="P1414" s="6" t="n">
        <x:v>4.4</x:v>
      </x:c>
      <x:c r="Q1414" t="str">
        <x:v>No</x:v>
      </x:c>
    </x:row>
    <x:row r="1415">
      <x:c r="A1415" t="str">
        <x:v>ORD-00583</x:v>
      </x:c>
      <x:c r="B1415" s="3" t="n">
        <x:v>45871.24418717593</x:v>
      </x:c>
      <x:c r="C1415" t="str">
        <x:v>2025-08</x:v>
      </x:c>
      <x:c r="D1415" t="str">
        <x:v>CUS-0483</x:v>
      </x:c>
      <x:c r="E1415" t="str">
        <x:v>Scotland</x:v>
      </x:c>
      <x:c r="F1415" t="str">
        <x:v>Store</x:v>
      </x:c>
      <x:c r="G1415" t="str">
        <x:v>Electronics</x:v>
      </x:c>
      <x:c r="H1415" t="str">
        <x:v>Bluetooth Speaker</x:v>
      </x:c>
      <x:c r="I1415" t="n">
        <x:v>5</x:v>
      </x:c>
      <x:c r="J1415" s="4" t="n">
        <x:v>62.11</x:v>
      </x:c>
      <x:c r="K1415" s="4" t="n">
        <x:v>34</x:v>
      </x:c>
      <x:c r="L1415" s="5" t="n">
        <x:v>0.05</x:v>
      </x:c>
      <x:c r="M1415" s="4" t="n">
        <x:f>ROUND(I1415*J1415*(1-L1415),2)</x:f>
        <x:v>295.02</x:v>
      </x:c>
      <x:c r="N1415" s="4" t="n">
        <x:f>ROUND(I1415*K1415,2)</x:f>
        <x:v>170</x:v>
      </x:c>
      <x:c r="O1415" s="4" t="n">
        <x:f>ROUND(M1415-N1415,2)</x:f>
        <x:v>125.02</x:v>
      </x:c>
      <x:c r="P1415" s="6" t="n">
        <x:v>3.7</x:v>
      </x:c>
      <x:c r="Q1415" t="str">
        <x:v>No</x:v>
      </x:c>
    </x:row>
    <x:row r="1416">
      <x:c r="A1416" t="str">
        <x:v>ORD-01288</x:v>
      </x:c>
      <x:c r="B1416" s="3" t="n">
        <x:v>45871.33045836806</x:v>
      </x:c>
      <x:c r="C1416" t="str">
        <x:v>2025-08</x:v>
      </x:c>
      <x:c r="D1416" t="str">
        <x:v>CUS-0430</x:v>
      </x:c>
      <x:c r="E1416" t="str">
        <x:v>Scotland</x:v>
      </x:c>
      <x:c r="F1416" t="str">
        <x:v>Online</x:v>
      </x:c>
      <x:c r="G1416" t="str">
        <x:v>Books</x:v>
      </x:c>
      <x:c r="H1416" t="str">
        <x:v>Data Analytics Handbook</x:v>
      </x:c>
      <x:c r="I1416" t="n">
        <x:v>1</x:v>
      </x:c>
      <x:c r="J1416" s="4" t="n">
        <x:v>40.99</x:v>
      </x:c>
      <x:c r="K1416" s="4" t="n">
        <x:v>14</x:v>
      </x:c>
      <x:c r="L1416" s="5" t="n">
        <x:v>0</x:v>
      </x:c>
      <x:c r="M1416" s="4" t="n">
        <x:f>ROUND(I1416*J1416*(1-L1416),2)</x:f>
        <x:v>40.99</x:v>
      </x:c>
      <x:c r="N1416" s="4" t="n">
        <x:f>ROUND(I1416*K1416,2)</x:f>
        <x:v>14</x:v>
      </x:c>
      <x:c r="O1416" s="4" t="n">
        <x:f>ROUND(M1416-N1416,2)</x:f>
        <x:v>26.99</x:v>
      </x:c>
      <x:c r="P1416" s="6" t="n">
        <x:v>5</x:v>
      </x:c>
      <x:c r="Q1416" t="str">
        <x:v>No</x:v>
      </x:c>
    </x:row>
    <x:row r="1417">
      <x:c r="A1417" t="str">
        <x:v>ORD-01588</x:v>
      </x:c>
      <x:c r="B1417" s="3" t="n">
        <x:v>45871.40313734954</x:v>
      </x:c>
      <x:c r="C1417" t="str">
        <x:v>2025-08</x:v>
      </x:c>
      <x:c r="D1417" t="str">
        <x:v>CUS-0358</x:v>
      </x:c>
      <x:c r="E1417" t="str">
        <x:v>Midlands</x:v>
      </x:c>
      <x:c r="F1417" t="str">
        <x:v>Marketplace</x:v>
      </x:c>
      <x:c r="G1417" t="str">
        <x:v>Fashion</x:v>
      </x:c>
      <x:c r="H1417" t="str">
        <x:v>Winter Jacket</x:v>
      </x:c>
      <x:c r="I1417" t="n">
        <x:v>4</x:v>
      </x:c>
      <x:c r="J1417" s="4" t="n">
        <x:v>92.56</x:v>
      </x:c>
      <x:c r="K1417" s="4" t="n">
        <x:v>46</x:v>
      </x:c>
      <x:c r="L1417" s="5" t="n">
        <x:v>0</x:v>
      </x:c>
      <x:c r="M1417" s="4" t="n">
        <x:f>ROUND(I1417*J1417*(1-L1417),2)</x:f>
        <x:v>370.24</x:v>
      </x:c>
      <x:c r="N1417" s="4" t="n">
        <x:f>ROUND(I1417*K1417,2)</x:f>
        <x:v>184</x:v>
      </x:c>
      <x:c r="O1417" s="4" t="n">
        <x:f>ROUND(M1417-N1417,2)</x:f>
        <x:v>186.24</x:v>
      </x:c>
      <x:c r="P1417" s="6" t="n">
        <x:v>3.6</x:v>
      </x:c>
      <x:c r="Q1417" t="str">
        <x:v>No</x:v>
      </x:c>
    </x:row>
    <x:row r="1418">
      <x:c r="A1418" t="str">
        <x:v>ORD-01466</x:v>
      </x:c>
      <x:c r="B1418" s="3" t="n">
        <x:v>45872.13020929398</x:v>
      </x:c>
      <x:c r="C1418" t="str">
        <x:v>2025-08</x:v>
      </x:c>
      <x:c r="D1418" t="str">
        <x:v>CUS-0578</x:v>
      </x:c>
      <x:c r="E1418" t="str">
        <x:v>South East</x:v>
      </x:c>
      <x:c r="F1418" t="str">
        <x:v>Marketplace</x:v>
      </x:c>
      <x:c r="G1418" t="str">
        <x:v>Sports</x:v>
      </x:c>
      <x:c r="H1418" t="str">
        <x:v>Yoga Mat</x:v>
      </x:c>
      <x:c r="I1418" t="n">
        <x:v>5</x:v>
      </x:c>
      <x:c r="J1418" s="4" t="n">
        <x:v>30.39</x:v>
      </x:c>
      <x:c r="K1418" s="4" t="n">
        <x:v>12</x:v>
      </x:c>
      <x:c r="L1418" s="5" t="n">
        <x:v>0.2</x:v>
      </x:c>
      <x:c r="M1418" s="4" t="n">
        <x:f>ROUND(I1418*J1418*(1-L1418),2)</x:f>
        <x:v>121.56</x:v>
      </x:c>
      <x:c r="N1418" s="4" t="n">
        <x:f>ROUND(I1418*K1418,2)</x:f>
        <x:v>60</x:v>
      </x:c>
      <x:c r="O1418" s="4" t="n">
        <x:f>ROUND(M1418-N1418,2)</x:f>
        <x:v>61.56</x:v>
      </x:c>
      <x:c r="P1418" s="6" t="n">
        <x:v>4.3</x:v>
      </x:c>
      <x:c r="Q1418" t="str">
        <x:v>No</x:v>
      </x:c>
    </x:row>
    <x:row r="1419">
      <x:c r="A1419" t="str">
        <x:v>ORD-01561</x:v>
      </x:c>
      <x:c r="B1419" s="3" t="n">
        <x:v>45872.214682233796</x:v>
      </x:c>
      <x:c r="C1419" t="str">
        <x:v>2025-08</x:v>
      </x:c>
      <x:c r="D1419" t="str">
        <x:v>CUS-0294</x:v>
      </x:c>
      <x:c r="E1419" t="str">
        <x:v>South West</x:v>
      </x:c>
      <x:c r="F1419" t="str">
        <x:v>Store</x:v>
      </x:c>
      <x:c r="G1419" t="str">
        <x:v>Electronics</x:v>
      </x:c>
      <x:c r="H1419" t="str">
        <x:v>Smart Watch</x:v>
      </x:c>
      <x:c r="I1419" t="n">
        <x:v>3</x:v>
      </x:c>
      <x:c r="J1419" s="4" t="n">
        <x:v>163.08</x:v>
      </x:c>
      <x:c r="K1419" s="4" t="n">
        <x:v>92</x:v>
      </x:c>
      <x:c r="L1419" s="5" t="n">
        <x:v>0.1</x:v>
      </x:c>
      <x:c r="M1419" s="4" t="n">
        <x:f>ROUND(I1419*J1419*(1-L1419),2)</x:f>
        <x:v>440.32</x:v>
      </x:c>
      <x:c r="N1419" s="4" t="n">
        <x:f>ROUND(I1419*K1419,2)</x:f>
        <x:v>276</x:v>
      </x:c>
      <x:c r="O1419" s="4" t="n">
        <x:f>ROUND(M1419-N1419,2)</x:f>
        <x:v>164.32</x:v>
      </x:c>
      <x:c r="P1419" s="6" t="n">
        <x:v>5</x:v>
      </x:c>
      <x:c r="Q1419" t="str">
        <x:v>Yes</x:v>
      </x:c>
    </x:row>
    <x:row r="1420">
      <x:c r="A1420" t="str">
        <x:v>ORD-00969</x:v>
      </x:c>
      <x:c r="B1420" s="3" t="n">
        <x:v>45872.29528164352</x:v>
      </x:c>
      <x:c r="C1420" t="str">
        <x:v>2025-08</x:v>
      </x:c>
      <x:c r="D1420" t="str">
        <x:v>CUS-0424</x:v>
      </x:c>
      <x:c r="E1420" t="str">
        <x:v>Wales</x:v>
      </x:c>
      <x:c r="F1420" t="str">
        <x:v>Online</x:v>
      </x:c>
      <x:c r="G1420" t="str">
        <x:v>Beauty</x:v>
      </x:c>
      <x:c r="H1420" t="str">
        <x:v>Hair Dryer</x:v>
      </x:c>
      <x:c r="I1420" t="n">
        <x:v>5</x:v>
      </x:c>
      <x:c r="J1420" s="4" t="n">
        <x:v>57.89</x:v>
      </x:c>
      <x:c r="K1420" s="4" t="n">
        <x:v>29</x:v>
      </x:c>
      <x:c r="L1420" s="5" t="n">
        <x:v>0.15</x:v>
      </x:c>
      <x:c r="M1420" s="4" t="n">
        <x:f>ROUND(I1420*J1420*(1-L1420),2)</x:f>
        <x:v>246.03</x:v>
      </x:c>
      <x:c r="N1420" s="4" t="n">
        <x:f>ROUND(I1420*K1420,2)</x:f>
        <x:v>145</x:v>
      </x:c>
      <x:c r="O1420" s="4" t="n">
        <x:f>ROUND(M1420-N1420,2)</x:f>
        <x:v>101.03</x:v>
      </x:c>
      <x:c r="P1420" s="6" t="n">
        <x:v>4.4</x:v>
      </x:c>
      <x:c r="Q1420" t="str">
        <x:v>No</x:v>
      </x:c>
    </x:row>
    <x:row r="1421">
      <x:c r="A1421" t="str">
        <x:v>ORD-01216</x:v>
      </x:c>
      <x:c r="B1421" s="3" t="n">
        <x:v>45873.07232539352</x:v>
      </x:c>
      <x:c r="C1421" t="str">
        <x:v>2025-08</x:v>
      </x:c>
      <x:c r="D1421" t="str">
        <x:v>CUS-0146</x:v>
      </x:c>
      <x:c r="E1421" t="str">
        <x:v>North West</x:v>
      </x:c>
      <x:c r="F1421" t="str">
        <x:v>Store</x:v>
      </x:c>
      <x:c r="G1421" t="str">
        <x:v>Fashion</x:v>
      </x:c>
      <x:c r="H1421" t="str">
        <x:v>Backpack</x:v>
      </x:c>
      <x:c r="I1421" t="n">
        <x:v>5</x:v>
      </x:c>
      <x:c r="J1421" s="4" t="n">
        <x:v>51.1</x:v>
      </x:c>
      <x:c r="K1421" s="4" t="n">
        <x:v>21</x:v>
      </x:c>
      <x:c r="L1421" s="5" t="n">
        <x:v>0.15</x:v>
      </x:c>
      <x:c r="M1421" s="4" t="n">
        <x:f>ROUND(I1421*J1421*(1-L1421),2)</x:f>
        <x:v>217.18</x:v>
      </x:c>
      <x:c r="N1421" s="4" t="n">
        <x:f>ROUND(I1421*K1421,2)</x:f>
        <x:v>105</x:v>
      </x:c>
      <x:c r="O1421" s="4" t="n">
        <x:f>ROUND(M1421-N1421,2)</x:f>
        <x:v>112.18</x:v>
      </x:c>
      <x:c r="P1421" s="6" t="n">
        <x:v>4.6</x:v>
      </x:c>
      <x:c r="Q1421" t="str">
        <x:v>No</x:v>
      </x:c>
    </x:row>
    <x:row r="1422">
      <x:c r="A1422" t="str">
        <x:v>ORD-00707</x:v>
      </x:c>
      <x:c r="B1422" s="3" t="n">
        <x:v>45873.39640061343</x:v>
      </x:c>
      <x:c r="C1422" t="str">
        <x:v>2025-08</x:v>
      </x:c>
      <x:c r="D1422" t="str">
        <x:v>CUS-0253</x:v>
      </x:c>
      <x:c r="E1422" t="str">
        <x:v>South West</x:v>
      </x:c>
      <x:c r="F1422" t="str">
        <x:v>Marketplace</x:v>
      </x:c>
      <x:c r="G1422" t="str">
        <x:v>Fashion</x:v>
      </x:c>
      <x:c r="H1422" t="str">
        <x:v>Winter Jacket</x:v>
      </x:c>
      <x:c r="I1422" t="n">
        <x:v>5</x:v>
      </x:c>
      <x:c r="J1422" s="4" t="n">
        <x:v>98.79</x:v>
      </x:c>
      <x:c r="K1422" s="4" t="n">
        <x:v>46</x:v>
      </x:c>
      <x:c r="L1422" s="5" t="n">
        <x:v>0.05</x:v>
      </x:c>
      <x:c r="M1422" s="4" t="n">
        <x:f>ROUND(I1422*J1422*(1-L1422),2)</x:f>
        <x:v>469.25</x:v>
      </x:c>
      <x:c r="N1422" s="4" t="n">
        <x:f>ROUND(I1422*K1422,2)</x:f>
        <x:v>230</x:v>
      </x:c>
      <x:c r="O1422" s="4" t="n">
        <x:f>ROUND(M1422-N1422,2)</x:f>
        <x:v>239.25</x:v>
      </x:c>
      <x:c r="P1422" s="6" t="n">
        <x:v>3.7</x:v>
      </x:c>
      <x:c r="Q1422" t="str">
        <x:v>No</x:v>
      </x:c>
    </x:row>
    <x:row r="1423">
      <x:c r="A1423" t="str">
        <x:v>ORD-01513</x:v>
      </x:c>
      <x:c r="B1423" s="3" t="n">
        <x:v>45873.39917650463</x:v>
      </x:c>
      <x:c r="C1423" t="str">
        <x:v>2025-08</x:v>
      </x:c>
      <x:c r="D1423" t="str">
        <x:v>CUS-0065</x:v>
      </x:c>
      <x:c r="E1423" t="str">
        <x:v>Midlands</x:v>
      </x:c>
      <x:c r="F1423" t="str">
        <x:v>Online</x:v>
      </x:c>
      <x:c r="G1423" t="str">
        <x:v>Books</x:v>
      </x:c>
      <x:c r="H1423" t="str">
        <x:v>Data Analytics Handbook</x:v>
      </x:c>
      <x:c r="I1423" t="n">
        <x:v>2</x:v>
      </x:c>
      <x:c r="J1423" s="4" t="n">
        <x:v>39.8</x:v>
      </x:c>
      <x:c r="K1423" s="4" t="n">
        <x:v>14</x:v>
      </x:c>
      <x:c r="L1423" s="5" t="n">
        <x:v>0</x:v>
      </x:c>
      <x:c r="M1423" s="4" t="n">
        <x:f>ROUND(I1423*J1423*(1-L1423),2)</x:f>
        <x:v>79.6</x:v>
      </x:c>
      <x:c r="N1423" s="4" t="n">
        <x:f>ROUND(I1423*K1423,2)</x:f>
        <x:v>28</x:v>
      </x:c>
      <x:c r="O1423" s="4" t="n">
        <x:f>ROUND(M1423-N1423,2)</x:f>
        <x:v>51.6</x:v>
      </x:c>
      <x:c r="P1423" s="6" t="n">
        <x:v>5</x:v>
      </x:c>
      <x:c r="Q1423" t="str">
        <x:v>No</x:v>
      </x:c>
    </x:row>
    <x:row r="1424">
      <x:c r="A1424" t="str">
        <x:v>ORD-00647</x:v>
      </x:c>
      <x:c r="B1424" s="3" t="n">
        <x:v>45873.488874560186</x:v>
      </x:c>
      <x:c r="C1424" t="str">
        <x:v>2025-08</x:v>
      </x:c>
      <x:c r="D1424" t="str">
        <x:v>CUS-0364</x:v>
      </x:c>
      <x:c r="E1424" t="str">
        <x:v>Scotland</x:v>
      </x:c>
      <x:c r="F1424" t="str">
        <x:v>Store</x:v>
      </x:c>
      <x:c r="G1424" t="str">
        <x:v>Sports</x:v>
      </x:c>
      <x:c r="H1424" t="str">
        <x:v>Yoga Mat</x:v>
      </x:c>
      <x:c r="I1424" t="n">
        <x:v>2</x:v>
      </x:c>
      <x:c r="J1424" s="4" t="n">
        <x:v>29.89</x:v>
      </x:c>
      <x:c r="K1424" s="4" t="n">
        <x:v>12</x:v>
      </x:c>
      <x:c r="L1424" s="5" t="n">
        <x:v>0</x:v>
      </x:c>
      <x:c r="M1424" s="4" t="n">
        <x:f>ROUND(I1424*J1424*(1-L1424),2)</x:f>
        <x:v>59.78</x:v>
      </x:c>
      <x:c r="N1424" s="4" t="n">
        <x:f>ROUND(I1424*K1424,2)</x:f>
        <x:v>24</x:v>
      </x:c>
      <x:c r="O1424" s="4" t="n">
        <x:f>ROUND(M1424-N1424,2)</x:f>
        <x:v>35.78</x:v>
      </x:c>
      <x:c r="P1424" s="6" t="n">
        <x:v>5</x:v>
      </x:c>
      <x:c r="Q1424" t="str">
        <x:v>Yes</x:v>
      </x:c>
    </x:row>
    <x:row r="1425">
      <x:c r="A1425" t="str">
        <x:v>ORD-00090</x:v>
      </x:c>
      <x:c r="B1425" s="3" t="n">
        <x:v>45873.76263701389</x:v>
      </x:c>
      <x:c r="C1425" t="str">
        <x:v>2025-08</x:v>
      </x:c>
      <x:c r="D1425" t="str">
        <x:v>CUS-0559</x:v>
      </x:c>
      <x:c r="E1425" t="str">
        <x:v>South West</x:v>
      </x:c>
      <x:c r="F1425" t="str">
        <x:v>Marketplace</x:v>
      </x:c>
      <x:c r="G1425" t="str">
        <x:v>Fashion</x:v>
      </x:c>
      <x:c r="H1425" t="str">
        <x:v>Backpack</x:v>
      </x:c>
      <x:c r="I1425" t="n">
        <x:v>3</x:v>
      </x:c>
      <x:c r="J1425" s="4" t="n">
        <x:v>48.54</x:v>
      </x:c>
      <x:c r="K1425" s="4" t="n">
        <x:v>21</x:v>
      </x:c>
      <x:c r="L1425" s="5" t="n">
        <x:v>0</x:v>
      </x:c>
      <x:c r="M1425" s="4" t="n">
        <x:f>ROUND(I1425*J1425*(1-L1425),2)</x:f>
        <x:v>145.62</x:v>
      </x:c>
      <x:c r="N1425" s="4" t="n">
        <x:f>ROUND(I1425*K1425,2)</x:f>
        <x:v>63</x:v>
      </x:c>
      <x:c r="O1425" s="4" t="n">
        <x:f>ROUND(M1425-N1425,2)</x:f>
        <x:v>82.62</x:v>
      </x:c>
      <x:c r="P1425" s="6" t="n">
        <x:v>4.7</x:v>
      </x:c>
      <x:c r="Q1425" t="str">
        <x:v>No</x:v>
      </x:c>
    </x:row>
    <x:row r="1426">
      <x:c r="A1426" t="str">
        <x:v>ORD-00284</x:v>
      </x:c>
      <x:c r="B1426" s="3" t="n">
        <x:v>45874.09609267361</x:v>
      </x:c>
      <x:c r="C1426" t="str">
        <x:v>2025-08</x:v>
      </x:c>
      <x:c r="D1426" t="str">
        <x:v>CUS-0004</x:v>
      </x:c>
      <x:c r="E1426" t="str">
        <x:v>Wales</x:v>
      </x:c>
      <x:c r="F1426" t="str">
        <x:v>Marketplace</x:v>
      </x:c>
      <x:c r="G1426" t="str">
        <x:v>Electronics</x:v>
      </x:c>
      <x:c r="H1426" t="str">
        <x:v>Wireless Headphones</x:v>
      </x:c>
      <x:c r="I1426" t="n">
        <x:v>3</x:v>
      </x:c>
      <x:c r="J1426" s="4" t="n">
        <x:v>88.39</x:v>
      </x:c>
      <x:c r="K1426" s="4" t="n">
        <x:v>48</x:v>
      </x:c>
      <x:c r="L1426" s="5" t="n">
        <x:v>0.15</x:v>
      </x:c>
      <x:c r="M1426" s="4" t="n">
        <x:f>ROUND(I1426*J1426*(1-L1426),2)</x:f>
        <x:v>225.39</x:v>
      </x:c>
      <x:c r="N1426" s="4" t="n">
        <x:f>ROUND(I1426*K1426,2)</x:f>
        <x:v>144</x:v>
      </x:c>
      <x:c r="O1426" s="4" t="n">
        <x:f>ROUND(M1426-N1426,2)</x:f>
        <x:v>81.39</x:v>
      </x:c>
      <x:c r="P1426" s="6" t="n">
        <x:v>4.3</x:v>
      </x:c>
      <x:c r="Q1426" t="str">
        <x:v>No</x:v>
      </x:c>
    </x:row>
    <x:row r="1427">
      <x:c r="A1427" t="str">
        <x:v>ORD-01352</x:v>
      </x:c>
      <x:c r="B1427" s="3" t="n">
        <x:v>45874.678072476854</x:v>
      </x:c>
      <x:c r="C1427" t="str">
        <x:v>2025-08</x:v>
      </x:c>
      <x:c r="D1427" t="str">
        <x:v>CUS-0456</x:v>
      </x:c>
      <x:c r="E1427" t="str">
        <x:v>North East</x:v>
      </x:c>
      <x:c r="F1427" t="str">
        <x:v>Online</x:v>
      </x:c>
      <x:c r="G1427" t="str">
        <x:v>Electronics</x:v>
      </x:c>
      <x:c r="H1427" t="str">
        <x:v>Wireless Headphones</x:v>
      </x:c>
      <x:c r="I1427" t="n">
        <x:v>2</x:v>
      </x:c>
      <x:c r="J1427" s="4" t="n">
        <x:v>91.04</x:v>
      </x:c>
      <x:c r="K1427" s="4" t="n">
        <x:v>48</x:v>
      </x:c>
      <x:c r="L1427" s="5" t="n">
        <x:v>0</x:v>
      </x:c>
      <x:c r="M1427" s="4" t="n">
        <x:f>ROUND(I1427*J1427*(1-L1427),2)</x:f>
        <x:v>182.08</x:v>
      </x:c>
      <x:c r="N1427" s="4" t="n">
        <x:f>ROUND(I1427*K1427,2)</x:f>
        <x:v>96</x:v>
      </x:c>
      <x:c r="O1427" s="4" t="n">
        <x:f>ROUND(M1427-N1427,2)</x:f>
        <x:v>86.08</x:v>
      </x:c>
      <x:c r="P1427" s="6" t="n">
        <x:v>4.6</x:v>
      </x:c>
      <x:c r="Q1427" t="str">
        <x:v>No</x:v>
      </x:c>
    </x:row>
    <x:row r="1428">
      <x:c r="A1428" t="str">
        <x:v>ORD-00253</x:v>
      </x:c>
      <x:c r="B1428" s="3" t="n">
        <x:v>45874.73438472222</x:v>
      </x:c>
      <x:c r="C1428" t="str">
        <x:v>2025-08</x:v>
      </x:c>
      <x:c r="D1428" t="str">
        <x:v>CUS-0210</x:v>
      </x:c>
      <x:c r="E1428" t="str">
        <x:v>London</x:v>
      </x:c>
      <x:c r="F1428" t="str">
        <x:v>Marketplace</x:v>
      </x:c>
      <x:c r="G1428" t="str">
        <x:v>Sports</x:v>
      </x:c>
      <x:c r="H1428" t="str">
        <x:v>Running Shoes</x:v>
      </x:c>
      <x:c r="I1428" t="n">
        <x:v>4</x:v>
      </x:c>
      <x:c r="J1428" s="4" t="n">
        <x:v>81.25</x:v>
      </x:c>
      <x:c r="K1428" s="4" t="n">
        <x:v>38</x:v>
      </x:c>
      <x:c r="L1428" s="5" t="n">
        <x:v>0.1</x:v>
      </x:c>
      <x:c r="M1428" s="4" t="n">
        <x:f>ROUND(I1428*J1428*(1-L1428),2)</x:f>
        <x:v>292.5</x:v>
      </x:c>
      <x:c r="N1428" s="4" t="n">
        <x:f>ROUND(I1428*K1428,2)</x:f>
        <x:v>152</x:v>
      </x:c>
      <x:c r="O1428" s="4" t="n">
        <x:f>ROUND(M1428-N1428,2)</x:f>
        <x:v>140.5</x:v>
      </x:c>
      <x:c r="P1428" s="6" t="n">
        <x:v>3.8</x:v>
      </x:c>
      <x:c r="Q1428" t="str">
        <x:v>No</x:v>
      </x:c>
    </x:row>
    <x:row r="1429">
      <x:c r="A1429" t="str">
        <x:v>ORD-00460</x:v>
      </x:c>
      <x:c r="B1429" s="3" t="n">
        <x:v>45874.88188119213</x:v>
      </x:c>
      <x:c r="C1429" t="str">
        <x:v>2025-08</x:v>
      </x:c>
      <x:c r="D1429" t="str">
        <x:v>CUS-0257</x:v>
      </x:c>
      <x:c r="E1429" t="str">
        <x:v>North East</x:v>
      </x:c>
      <x:c r="F1429" t="str">
        <x:v>Store</x:v>
      </x:c>
      <x:c r="G1429" t="str">
        <x:v>Fashion</x:v>
      </x:c>
      <x:c r="H1429" t="str">
        <x:v>Classic Trainers</x:v>
      </x:c>
      <x:c r="I1429" t="n">
        <x:v>2</x:v>
      </x:c>
      <x:c r="J1429" s="4" t="n">
        <x:v>69.19</x:v>
      </x:c>
      <x:c r="K1429" s="4" t="n">
        <x:v>32</x:v>
      </x:c>
      <x:c r="L1429" s="5" t="n">
        <x:v>0</x:v>
      </x:c>
      <x:c r="M1429" s="4" t="n">
        <x:f>ROUND(I1429*J1429*(1-L1429),2)</x:f>
        <x:v>138.38</x:v>
      </x:c>
      <x:c r="N1429" s="4" t="n">
        <x:f>ROUND(I1429*K1429,2)</x:f>
        <x:v>64</x:v>
      </x:c>
      <x:c r="O1429" s="4" t="n">
        <x:f>ROUND(M1429-N1429,2)</x:f>
        <x:v>74.38</x:v>
      </x:c>
      <x:c r="P1429" s="6" t="n">
        <x:v>3.9</x:v>
      </x:c>
      <x:c r="Q1429" t="str">
        <x:v>No</x:v>
      </x:c>
    </x:row>
    <x:row r="1430">
      <x:c r="A1430" t="str">
        <x:v>ORD-01632</x:v>
      </x:c>
      <x:c r="B1430" s="3" t="n">
        <x:v>45874.946763472224</x:v>
      </x:c>
      <x:c r="C1430" t="str">
        <x:v>2025-08</x:v>
      </x:c>
      <x:c r="D1430" t="str">
        <x:v>CUS-0475</x:v>
      </x:c>
      <x:c r="E1430" t="str">
        <x:v>Wales</x:v>
      </x:c>
      <x:c r="F1430" t="str">
        <x:v>Store</x:v>
      </x:c>
      <x:c r="G1430" t="str">
        <x:v>Fashion</x:v>
      </x:c>
      <x:c r="H1430" t="str">
        <x:v>Backpack</x:v>
      </x:c>
      <x:c r="I1430" t="n">
        <x:v>1</x:v>
      </x:c>
      <x:c r="J1430" s="4" t="n">
        <x:v>51.81</x:v>
      </x:c>
      <x:c r="K1430" s="4" t="n">
        <x:v>21</x:v>
      </x:c>
      <x:c r="L1430" s="5" t="n">
        <x:v>0.15</x:v>
      </x:c>
      <x:c r="M1430" s="4" t="n">
        <x:f>ROUND(I1430*J1430*(1-L1430),2)</x:f>
        <x:v>44.04</x:v>
      </x:c>
      <x:c r="N1430" s="4" t="n">
        <x:f>ROUND(I1430*K1430,2)</x:f>
        <x:v>21</x:v>
      </x:c>
      <x:c r="O1430" s="4" t="n">
        <x:f>ROUND(M1430-N1430,2)</x:f>
        <x:v>23.04</x:v>
      </x:c>
      <x:c r="P1430" s="6" t="n">
        <x:v>4.3</x:v>
      </x:c>
      <x:c r="Q1430" t="str">
        <x:v>No</x:v>
      </x:c>
    </x:row>
    <x:row r="1431">
      <x:c r="A1431" t="str">
        <x:v>ORD-01206</x:v>
      </x:c>
      <x:c r="B1431" s="3" t="n">
        <x:v>45875.21523079861</x:v>
      </x:c>
      <x:c r="C1431" t="str">
        <x:v>2025-08</x:v>
      </x:c>
      <x:c r="D1431" t="str">
        <x:v>CUS-0342</x:v>
      </x:c>
      <x:c r="E1431" t="str">
        <x:v>South West</x:v>
      </x:c>
      <x:c r="F1431" t="str">
        <x:v>Store</x:v>
      </x:c>
      <x:c r="G1431" t="str">
        <x:v>Beauty</x:v>
      </x:c>
      <x:c r="H1431" t="str">
        <x:v>Hair Dryer</x:v>
      </x:c>
      <x:c r="I1431" t="n">
        <x:v>4</x:v>
      </x:c>
      <x:c r="J1431" s="4" t="n">
        <x:v>59.39</x:v>
      </x:c>
      <x:c r="K1431" s="4" t="n">
        <x:v>29</x:v>
      </x:c>
      <x:c r="L1431" s="5" t="n">
        <x:v>0.05</x:v>
      </x:c>
      <x:c r="M1431" s="4" t="n">
        <x:f>ROUND(I1431*J1431*(1-L1431),2)</x:f>
        <x:v>225.68</x:v>
      </x:c>
      <x:c r="N1431" s="4" t="n">
        <x:f>ROUND(I1431*K1431,2)</x:f>
        <x:v>116</x:v>
      </x:c>
      <x:c r="O1431" s="4" t="n">
        <x:f>ROUND(M1431-N1431,2)</x:f>
        <x:v>109.68</x:v>
      </x:c>
      <x:c r="P1431" s="6" t="n">
        <x:v>3.8</x:v>
      </x:c>
      <x:c r="Q1431" t="str">
        <x:v>No</x:v>
      </x:c>
    </x:row>
    <x:row r="1432">
      <x:c r="A1432" t="str">
        <x:v>ORD-01540</x:v>
      </x:c>
      <x:c r="B1432" s="3" t="n">
        <x:v>45875.97625521991</x:v>
      </x:c>
      <x:c r="C1432" t="str">
        <x:v>2025-08</x:v>
      </x:c>
      <x:c r="D1432" t="str">
        <x:v>CUS-0536</x:v>
      </x:c>
      <x:c r="E1432" t="str">
        <x:v>South East</x:v>
      </x:c>
      <x:c r="F1432" t="str">
        <x:v>Store</x:v>
      </x:c>
      <x:c r="G1432" t="str">
        <x:v>Electronics</x:v>
      </x:c>
      <x:c r="H1432" t="str">
        <x:v>Smart Watch</x:v>
      </x:c>
      <x:c r="I1432" t="n">
        <x:v>4</x:v>
      </x:c>
      <x:c r="J1432" s="4" t="n">
        <x:v>154.84</x:v>
      </x:c>
      <x:c r="K1432" s="4" t="n">
        <x:v>92</x:v>
      </x:c>
      <x:c r="L1432" s="5" t="n">
        <x:v>0.15</x:v>
      </x:c>
      <x:c r="M1432" s="4" t="n">
        <x:f>ROUND(I1432*J1432*(1-L1432),2)</x:f>
        <x:v>526.46</x:v>
      </x:c>
      <x:c r="N1432" s="4" t="n">
        <x:f>ROUND(I1432*K1432,2)</x:f>
        <x:v>368</x:v>
      </x:c>
      <x:c r="O1432" s="4" t="n">
        <x:f>ROUND(M1432-N1432,2)</x:f>
        <x:v>158.46</x:v>
      </x:c>
      <x:c r="P1432" s="6" t="n">
        <x:v>5</x:v>
      </x:c>
      <x:c r="Q1432" t="str">
        <x:v>No</x:v>
      </x:c>
    </x:row>
    <x:row r="1433">
      <x:c r="A1433" t="str">
        <x:v>ORD-00864</x:v>
      </x:c>
      <x:c r="B1433" s="3" t="n">
        <x:v>45876.34025927083</x:v>
      </x:c>
      <x:c r="C1433" t="str">
        <x:v>2025-08</x:v>
      </x:c>
      <x:c r="D1433" t="str">
        <x:v>CUS-0073</x:v>
      </x:c>
      <x:c r="E1433" t="str">
        <x:v>Wales</x:v>
      </x:c>
      <x:c r="F1433" t="str">
        <x:v>Marketplace</x:v>
      </x:c>
      <x:c r="G1433" t="str">
        <x:v>Electronics</x:v>
      </x:c>
      <x:c r="H1433" t="str">
        <x:v>Smart Watch</x:v>
      </x:c>
      <x:c r="I1433" t="n">
        <x:v>1</x:v>
      </x:c>
      <x:c r="J1433" s="4" t="n">
        <x:v>157.04</x:v>
      </x:c>
      <x:c r="K1433" s="4" t="n">
        <x:v>92</x:v>
      </x:c>
      <x:c r="L1433" s="5" t="n">
        <x:v>0</x:v>
      </x:c>
      <x:c r="M1433" s="4" t="n">
        <x:f>ROUND(I1433*J1433*(1-L1433),2)</x:f>
        <x:v>157.04</x:v>
      </x:c>
      <x:c r="N1433" s="4" t="n">
        <x:f>ROUND(I1433*K1433,2)</x:f>
        <x:v>92</x:v>
      </x:c>
      <x:c r="O1433" s="4" t="n">
        <x:f>ROUND(M1433-N1433,2)</x:f>
        <x:v>65.04</x:v>
      </x:c>
      <x:c r="P1433" s="6" t="n">
        <x:v>3.4</x:v>
      </x:c>
      <x:c r="Q1433" t="str">
        <x:v>No</x:v>
      </x:c>
    </x:row>
    <x:row r="1434">
      <x:c r="A1434" t="str">
        <x:v>ORD-00410</x:v>
      </x:c>
      <x:c r="B1434" s="3" t="n">
        <x:v>45876.524500775464</x:v>
      </x:c>
      <x:c r="C1434" t="str">
        <x:v>2025-08</x:v>
      </x:c>
      <x:c r="D1434" t="str">
        <x:v>CUS-0055</x:v>
      </x:c>
      <x:c r="E1434" t="str">
        <x:v>South East</x:v>
      </x:c>
      <x:c r="F1434" t="str">
        <x:v>Online</x:v>
      </x:c>
      <x:c r="G1434" t="str">
        <x:v>Home</x:v>
      </x:c>
      <x:c r="H1434" t="str">
        <x:v>Coffee Maker</x:v>
      </x:c>
      <x:c r="I1434" t="n">
        <x:v>5</x:v>
      </x:c>
      <x:c r="J1434" s="4" t="n">
        <x:v>75.83</x:v>
      </x:c>
      <x:c r="K1434" s="4" t="n">
        <x:v>41</x:v>
      </x:c>
      <x:c r="L1434" s="5" t="n">
        <x:v>0.2</x:v>
      </x:c>
      <x:c r="M1434" s="4" t="n">
        <x:f>ROUND(I1434*J1434*(1-L1434),2)</x:f>
        <x:v>303.32</x:v>
      </x:c>
      <x:c r="N1434" s="4" t="n">
        <x:f>ROUND(I1434*K1434,2)</x:f>
        <x:v>205</x:v>
      </x:c>
      <x:c r="O1434" s="4" t="n">
        <x:f>ROUND(M1434-N1434,2)</x:f>
        <x:v>98.32</x:v>
      </x:c>
      <x:c r="P1434" s="6" t="n">
        <x:v>4.3</x:v>
      </x:c>
      <x:c r="Q1434" t="str">
        <x:v>No</x:v>
      </x:c>
    </x:row>
    <x:row r="1435">
      <x:c r="A1435" t="str">
        <x:v>ORD-01454</x:v>
      </x:c>
      <x:c r="B1435" s="3" t="n">
        <x:v>45877.08308505787</x:v>
      </x:c>
      <x:c r="C1435" t="str">
        <x:v>2025-08</x:v>
      </x:c>
      <x:c r="D1435" t="str">
        <x:v>CUS-0268</x:v>
      </x:c>
      <x:c r="E1435" t="str">
        <x:v>Midlands</x:v>
      </x:c>
      <x:c r="F1435" t="str">
        <x:v>Marketplace</x:v>
      </x:c>
      <x:c r="G1435" t="str">
        <x:v>Beauty</x:v>
      </x:c>
      <x:c r="H1435" t="str">
        <x:v>Hair Dryer</x:v>
      </x:c>
      <x:c r="I1435" t="n">
        <x:v>2</x:v>
      </x:c>
      <x:c r="J1435" s="4" t="n">
        <x:v>61.06</x:v>
      </x:c>
      <x:c r="K1435" s="4" t="n">
        <x:v>29</x:v>
      </x:c>
      <x:c r="L1435" s="5" t="n">
        <x:v>0.1</x:v>
      </x:c>
      <x:c r="M1435" s="4" t="n">
        <x:f>ROUND(I1435*J1435*(1-L1435),2)</x:f>
        <x:v>109.91</x:v>
      </x:c>
      <x:c r="N1435" s="4" t="n">
        <x:f>ROUND(I1435*K1435,2)</x:f>
        <x:v>58</x:v>
      </x:c>
      <x:c r="O1435" s="4" t="n">
        <x:f>ROUND(M1435-N1435,2)</x:f>
        <x:v>51.91</x:v>
      </x:c>
      <x:c r="P1435" s="6" t="n">
        <x:v>5</x:v>
      </x:c>
      <x:c r="Q1435" t="str">
        <x:v>No</x:v>
      </x:c>
    </x:row>
    <x:row r="1436">
      <x:c r="A1436" t="str">
        <x:v>ORD-00324</x:v>
      </x:c>
      <x:c r="B1436" s="3" t="n">
        <x:v>45877.12140975695</x:v>
      </x:c>
      <x:c r="C1436" t="str">
        <x:v>2025-08</x:v>
      </x:c>
      <x:c r="D1436" t="str">
        <x:v>CUS-0240</x:v>
      </x:c>
      <x:c r="E1436" t="str">
        <x:v>North East</x:v>
      </x:c>
      <x:c r="F1436" t="str">
        <x:v>Marketplace</x:v>
      </x:c>
      <x:c r="G1436" t="str">
        <x:v>Home</x:v>
      </x:c>
      <x:c r="H1436" t="str">
        <x:v>Coffee Maker</x:v>
      </x:c>
      <x:c r="I1436" t="n">
        <x:v>3</x:v>
      </x:c>
      <x:c r="J1436" s="4" t="n">
        <x:v>73.31</x:v>
      </x:c>
      <x:c r="K1436" s="4" t="n">
        <x:v>41</x:v>
      </x:c>
      <x:c r="L1436" s="5" t="n">
        <x:v>0</x:v>
      </x:c>
      <x:c r="M1436" s="4" t="n">
        <x:f>ROUND(I1436*J1436*(1-L1436),2)</x:f>
        <x:v>219.93</x:v>
      </x:c>
      <x:c r="N1436" s="4" t="n">
        <x:f>ROUND(I1436*K1436,2)</x:f>
        <x:v>123</x:v>
      </x:c>
      <x:c r="O1436" s="4" t="n">
        <x:f>ROUND(M1436-N1436,2)</x:f>
        <x:v>96.93</x:v>
      </x:c>
      <x:c r="P1436" s="6" t="n">
        <x:v>4</x:v>
      </x:c>
      <x:c r="Q1436" t="str">
        <x:v>Yes</x:v>
      </x:c>
    </x:row>
    <x:row r="1437">
      <x:c r="A1437" t="str">
        <x:v>ORD-00495</x:v>
      </x:c>
      <x:c r="B1437" s="3" t="n">
        <x:v>45877.48493076389</x:v>
      </x:c>
      <x:c r="C1437" t="str">
        <x:v>2025-08</x:v>
      </x:c>
      <x:c r="D1437" t="str">
        <x:v>CUS-0392</x:v>
      </x:c>
      <x:c r="E1437" t="str">
        <x:v>South East</x:v>
      </x:c>
      <x:c r="F1437" t="str">
        <x:v>Marketplace</x:v>
      </x:c>
      <x:c r="G1437" t="str">
        <x:v>Electronics</x:v>
      </x:c>
      <x:c r="H1437" t="str">
        <x:v>Bluetooth Speaker</x:v>
      </x:c>
      <x:c r="I1437" t="n">
        <x:v>1</x:v>
      </x:c>
      <x:c r="J1437" s="4" t="n">
        <x:v>63.12</x:v>
      </x:c>
      <x:c r="K1437" s="4" t="n">
        <x:v>34</x:v>
      </x:c>
      <x:c r="L1437" s="5" t="n">
        <x:v>0</x:v>
      </x:c>
      <x:c r="M1437" s="4" t="n">
        <x:f>ROUND(I1437*J1437*(1-L1437),2)</x:f>
        <x:v>63.12</x:v>
      </x:c>
      <x:c r="N1437" s="4" t="n">
        <x:f>ROUND(I1437*K1437,2)</x:f>
        <x:v>34</x:v>
      </x:c>
      <x:c r="O1437" s="4" t="n">
        <x:f>ROUND(M1437-N1437,2)</x:f>
        <x:v>29.12</x:v>
      </x:c>
      <x:c r="P1437" s="6" t="n">
        <x:v>4</x:v>
      </x:c>
      <x:c r="Q1437" t="str">
        <x:v>No</x:v>
      </x:c>
    </x:row>
    <x:row r="1438">
      <x:c r="A1438" t="str">
        <x:v>ORD-01060</x:v>
      </x:c>
      <x:c r="B1438" s="3" t="n">
        <x:v>45877.56042880787</x:v>
      </x:c>
      <x:c r="C1438" t="str">
        <x:v>2025-08</x:v>
      </x:c>
      <x:c r="D1438" t="str">
        <x:v>CUS-0432</x:v>
      </x:c>
      <x:c r="E1438" t="str">
        <x:v>Midlands</x:v>
      </x:c>
      <x:c r="F1438" t="str">
        <x:v>Marketplace</x:v>
      </x:c>
      <x:c r="G1438" t="str">
        <x:v>Home</x:v>
      </x:c>
      <x:c r="H1438" t="str">
        <x:v>Air Fryer</x:v>
      </x:c>
      <x:c r="I1438" t="n">
        <x:v>2</x:v>
      </x:c>
      <x:c r="J1438" s="4" t="n">
        <x:v>121.92</x:v>
      </x:c>
      <x:c r="K1438" s="4" t="n">
        <x:v>69</x:v>
      </x:c>
      <x:c r="L1438" s="5" t="n">
        <x:v>0</x:v>
      </x:c>
      <x:c r="M1438" s="4" t="n">
        <x:f>ROUND(I1438*J1438*(1-L1438),2)</x:f>
        <x:v>243.84</x:v>
      </x:c>
      <x:c r="N1438" s="4" t="n">
        <x:f>ROUND(I1438*K1438,2)</x:f>
        <x:v>138</x:v>
      </x:c>
      <x:c r="O1438" s="4" t="n">
        <x:f>ROUND(M1438-N1438,2)</x:f>
        <x:v>105.84</x:v>
      </x:c>
      <x:c r="P1438" s="6" t="n">
        <x:v>4.7</x:v>
      </x:c>
      <x:c r="Q1438" t="str">
        <x:v>No</x:v>
      </x:c>
    </x:row>
    <x:row r="1439">
      <x:c r="A1439" t="str">
        <x:v>ORD-00488</x:v>
      </x:c>
      <x:c r="B1439" s="3" t="n">
        <x:v>45877.67084032408</x:v>
      </x:c>
      <x:c r="C1439" t="str">
        <x:v>2025-08</x:v>
      </x:c>
      <x:c r="D1439" t="str">
        <x:v>CUS-0496</x:v>
      </x:c>
      <x:c r="E1439" t="str">
        <x:v>South East</x:v>
      </x:c>
      <x:c r="F1439" t="str">
        <x:v>Online</x:v>
      </x:c>
      <x:c r="G1439" t="str">
        <x:v>Electronics</x:v>
      </x:c>
      <x:c r="H1439" t="str">
        <x:v>Wireless Headphones</x:v>
      </x:c>
      <x:c r="I1439" t="n">
        <x:v>1</x:v>
      </x:c>
      <x:c r="J1439" s="4" t="n">
        <x:v>92.58</x:v>
      </x:c>
      <x:c r="K1439" s="4" t="n">
        <x:v>48</x:v>
      </x:c>
      <x:c r="L1439" s="5" t="n">
        <x:v>0</x:v>
      </x:c>
      <x:c r="M1439" s="4" t="n">
        <x:f>ROUND(I1439*J1439*(1-L1439),2)</x:f>
        <x:v>92.58</x:v>
      </x:c>
      <x:c r="N1439" s="4" t="n">
        <x:f>ROUND(I1439*K1439,2)</x:f>
        <x:v>48</x:v>
      </x:c>
      <x:c r="O1439" s="4" t="n">
        <x:f>ROUND(M1439-N1439,2)</x:f>
        <x:v>44.58</x:v>
      </x:c>
      <x:c r="P1439" s="6" t="n">
        <x:v>4.3</x:v>
      </x:c>
      <x:c r="Q1439" t="str">
        <x:v>No</x:v>
      </x:c>
    </x:row>
    <x:row r="1440">
      <x:c r="A1440" t="str">
        <x:v>ORD-00197</x:v>
      </x:c>
      <x:c r="B1440" s="3" t="n">
        <x:v>45877.82495800926</x:v>
      </x:c>
      <x:c r="C1440" t="str">
        <x:v>2025-08</x:v>
      </x:c>
      <x:c r="D1440" t="str">
        <x:v>CUS-0219</x:v>
      </x:c>
      <x:c r="E1440" t="str">
        <x:v>Scotland</x:v>
      </x:c>
      <x:c r="F1440" t="str">
        <x:v>Marketplace</x:v>
      </x:c>
      <x:c r="G1440" t="str">
        <x:v>Sports</x:v>
      </x:c>
      <x:c r="H1440" t="str">
        <x:v>Yoga Mat</x:v>
      </x:c>
      <x:c r="I1440" t="n">
        <x:v>1</x:v>
      </x:c>
      <x:c r="J1440" s="4" t="n">
        <x:v>30.07</x:v>
      </x:c>
      <x:c r="K1440" s="4" t="n">
        <x:v>12</x:v>
      </x:c>
      <x:c r="L1440" s="5" t="n">
        <x:v>0</x:v>
      </x:c>
      <x:c r="M1440" s="4" t="n">
        <x:f>ROUND(I1440*J1440*(1-L1440),2)</x:f>
        <x:v>30.07</x:v>
      </x:c>
      <x:c r="N1440" s="4" t="n">
        <x:f>ROUND(I1440*K1440,2)</x:f>
        <x:v>12</x:v>
      </x:c>
      <x:c r="O1440" s="4" t="n">
        <x:f>ROUND(M1440-N1440,2)</x:f>
        <x:v>18.07</x:v>
      </x:c>
      <x:c r="P1440" s="6" t="n">
        <x:v>4.2</x:v>
      </x:c>
      <x:c r="Q1440" t="str">
        <x:v>Yes</x:v>
      </x:c>
    </x:row>
    <x:row r="1441">
      <x:c r="A1441" t="str">
        <x:v>ORD-00715</x:v>
      </x:c>
      <x:c r="B1441" s="3" t="n">
        <x:v>45879.01043876157</x:v>
      </x:c>
      <x:c r="C1441" t="str">
        <x:v>2025-08</x:v>
      </x:c>
      <x:c r="D1441" t="str">
        <x:v>CUS-0448</x:v>
      </x:c>
      <x:c r="E1441" t="str">
        <x:v>Scotland</x:v>
      </x:c>
      <x:c r="F1441" t="str">
        <x:v>Online</x:v>
      </x:c>
      <x:c r="G1441" t="str">
        <x:v>Sports</x:v>
      </x:c>
      <x:c r="H1441" t="str">
        <x:v>Fitness Tracker</x:v>
      </x:c>
      <x:c r="I1441" t="n">
        <x:v>2</x:v>
      </x:c>
      <x:c r="J1441" s="4" t="n">
        <x:v>52.94</x:v>
      </x:c>
      <x:c r="K1441" s="4" t="n">
        <x:v>27</x:v>
      </x:c>
      <x:c r="L1441" s="5" t="n">
        <x:v>0.2</x:v>
      </x:c>
      <x:c r="M1441" s="4" t="n">
        <x:f>ROUND(I1441*J1441*(1-L1441),2)</x:f>
        <x:v>84.7</x:v>
      </x:c>
      <x:c r="N1441" s="4" t="n">
        <x:f>ROUND(I1441*K1441,2)</x:f>
        <x:v>54</x:v>
      </x:c>
      <x:c r="O1441" s="4" t="n">
        <x:f>ROUND(M1441-N1441,2)</x:f>
        <x:v>30.7</x:v>
      </x:c>
      <x:c r="P1441" s="6" t="n">
        <x:v>4.6</x:v>
      </x:c>
      <x:c r="Q1441" t="str">
        <x:v>No</x:v>
      </x:c>
    </x:row>
    <x:row r="1442">
      <x:c r="A1442" t="str">
        <x:v>ORD-00033</x:v>
      </x:c>
      <x:c r="B1442" s="3" t="n">
        <x:v>45879.401874710646</x:v>
      </x:c>
      <x:c r="C1442" t="str">
        <x:v>2025-08</x:v>
      </x:c>
      <x:c r="D1442" t="str">
        <x:v>CUS-0390</x:v>
      </x:c>
      <x:c r="E1442" t="str">
        <x:v>South East</x:v>
      </x:c>
      <x:c r="F1442" t="str">
        <x:v>Online</x:v>
      </x:c>
      <x:c r="G1442" t="str">
        <x:v>Electronics</x:v>
      </x:c>
      <x:c r="H1442" t="str">
        <x:v>Smart Watch</x:v>
      </x:c>
      <x:c r="I1442" t="n">
        <x:v>5</x:v>
      </x:c>
      <x:c r="J1442" s="4" t="n">
        <x:v>160.91</x:v>
      </x:c>
      <x:c r="K1442" s="4" t="n">
        <x:v>92</x:v>
      </x:c>
      <x:c r="L1442" s="5" t="n">
        <x:v>0.15</x:v>
      </x:c>
      <x:c r="M1442" s="4" t="n">
        <x:f>ROUND(I1442*J1442*(1-L1442),2)</x:f>
        <x:v>683.87</x:v>
      </x:c>
      <x:c r="N1442" s="4" t="n">
        <x:f>ROUND(I1442*K1442,2)</x:f>
        <x:v>460</x:v>
      </x:c>
      <x:c r="O1442" s="4" t="n">
        <x:f>ROUND(M1442-N1442,2)</x:f>
        <x:v>223.87</x:v>
      </x:c>
      <x:c r="P1442" s="6" t="n">
        <x:v>4.8</x:v>
      </x:c>
      <x:c r="Q1442" t="str">
        <x:v>No</x:v>
      </x:c>
    </x:row>
    <x:row r="1443">
      <x:c r="A1443" t="str">
        <x:v>ORD-00122</x:v>
      </x:c>
      <x:c r="B1443" s="3" t="n">
        <x:v>45879.79959228009</x:v>
      </x:c>
      <x:c r="C1443" t="str">
        <x:v>2025-08</x:v>
      </x:c>
      <x:c r="D1443" t="str">
        <x:v>CUS-0497</x:v>
      </x:c>
      <x:c r="E1443" t="str">
        <x:v>Midlands</x:v>
      </x:c>
      <x:c r="F1443" t="str">
        <x:v>Store</x:v>
      </x:c>
      <x:c r="G1443" t="str">
        <x:v>Books</x:v>
      </x:c>
      <x:c r="H1443" t="str">
        <x:v>Business Intelligence Guide</x:v>
      </x:c>
      <x:c r="I1443" t="n">
        <x:v>4</x:v>
      </x:c>
      <x:c r="J1443" s="4" t="n">
        <x:v>33.38</x:v>
      </x:c>
      <x:c r="K1443" s="4" t="n">
        <x:v>12</x:v>
      </x:c>
      <x:c r="L1443" s="5" t="n">
        <x:v>0</x:v>
      </x:c>
      <x:c r="M1443" s="4" t="n">
        <x:f>ROUND(I1443*J1443*(1-L1443),2)</x:f>
        <x:v>133.52</x:v>
      </x:c>
      <x:c r="N1443" s="4" t="n">
        <x:f>ROUND(I1443*K1443,2)</x:f>
        <x:v>48</x:v>
      </x:c>
      <x:c r="O1443" s="4" t="n">
        <x:f>ROUND(M1443-N1443,2)</x:f>
        <x:v>85.52</x:v>
      </x:c>
      <x:c r="P1443" s="6" t="n">
        <x:v>3.6</x:v>
      </x:c>
      <x:c r="Q1443" t="str">
        <x:v>No</x:v>
      </x:c>
    </x:row>
    <x:row r="1444">
      <x:c r="A1444" t="str">
        <x:v>ORD-00802</x:v>
      </x:c>
      <x:c r="B1444" s="3" t="n">
        <x:v>45880.072378784724</x:v>
      </x:c>
      <x:c r="C1444" t="str">
        <x:v>2025-08</x:v>
      </x:c>
      <x:c r="D1444" t="str">
        <x:v>CUS-0062</x:v>
      </x:c>
      <x:c r="E1444" t="str">
        <x:v>London</x:v>
      </x:c>
      <x:c r="F1444" t="str">
        <x:v>Marketplace</x:v>
      </x:c>
      <x:c r="G1444" t="str">
        <x:v>Books</x:v>
      </x:c>
      <x:c r="H1444" t="str">
        <x:v>Business Intelligence Guide</x:v>
      </x:c>
      <x:c r="I1444" t="n">
        <x:v>2</x:v>
      </x:c>
      <x:c r="J1444" s="4" t="n">
        <x:v>34.06</x:v>
      </x:c>
      <x:c r="K1444" s="4" t="n">
        <x:v>12</x:v>
      </x:c>
      <x:c r="L1444" s="5" t="n">
        <x:v>0.05</x:v>
      </x:c>
      <x:c r="M1444" s="4" t="n">
        <x:f>ROUND(I1444*J1444*(1-L1444),2)</x:f>
        <x:v>64.71</x:v>
      </x:c>
      <x:c r="N1444" s="4" t="n">
        <x:f>ROUND(I1444*K1444,2)</x:f>
        <x:v>24</x:v>
      </x:c>
      <x:c r="O1444" s="4" t="n">
        <x:f>ROUND(M1444-N1444,2)</x:f>
        <x:v>40.71</x:v>
      </x:c>
      <x:c r="P1444" s="6" t="n">
        <x:v>3.6</x:v>
      </x:c>
      <x:c r="Q1444" t="str">
        <x:v>No</x:v>
      </x:c>
    </x:row>
    <x:row r="1445">
      <x:c r="A1445" t="str">
        <x:v>ORD-01336</x:v>
      </x:c>
      <x:c r="B1445" s="3" t="n">
        <x:v>45880.207407546295</x:v>
      </x:c>
      <x:c r="C1445" t="str">
        <x:v>2025-08</x:v>
      </x:c>
      <x:c r="D1445" t="str">
        <x:v>CUS-0548</x:v>
      </x:c>
      <x:c r="E1445" t="str">
        <x:v>South West</x:v>
      </x:c>
      <x:c r="F1445" t="str">
        <x:v>Store</x:v>
      </x:c>
      <x:c r="G1445" t="str">
        <x:v>Beauty</x:v>
      </x:c>
      <x:c r="H1445" t="str">
        <x:v>Hair Dryer</x:v>
      </x:c>
      <x:c r="I1445" t="n">
        <x:v>2</x:v>
      </x:c>
      <x:c r="J1445" s="4" t="n">
        <x:v>60.97</x:v>
      </x:c>
      <x:c r="K1445" s="4" t="n">
        <x:v>29</x:v>
      </x:c>
      <x:c r="L1445" s="5" t="n">
        <x:v>0.15</x:v>
      </x:c>
      <x:c r="M1445" s="4" t="n">
        <x:f>ROUND(I1445*J1445*(1-L1445),2)</x:f>
        <x:v>103.65</x:v>
      </x:c>
      <x:c r="N1445" s="4" t="n">
        <x:f>ROUND(I1445*K1445,2)</x:f>
        <x:v>58</x:v>
      </x:c>
      <x:c r="O1445" s="4" t="n">
        <x:f>ROUND(M1445-N1445,2)</x:f>
        <x:v>45.65</x:v>
      </x:c>
      <x:c r="P1445" s="6" t="n">
        <x:v>3.8</x:v>
      </x:c>
      <x:c r="Q1445" t="str">
        <x:v>No</x:v>
      </x:c>
    </x:row>
    <x:row r="1446">
      <x:c r="A1446" t="str">
        <x:v>ORD-01033</x:v>
      </x:c>
      <x:c r="B1446" s="3" t="n">
        <x:v>45880.38964039352</x:v>
      </x:c>
      <x:c r="C1446" t="str">
        <x:v>2025-08</x:v>
      </x:c>
      <x:c r="D1446" t="str">
        <x:v>CUS-0532</x:v>
      </x:c>
      <x:c r="E1446" t="str">
        <x:v>London</x:v>
      </x:c>
      <x:c r="F1446" t="str">
        <x:v>Store</x:v>
      </x:c>
      <x:c r="G1446" t="str">
        <x:v>Home</x:v>
      </x:c>
      <x:c r="H1446" t="str">
        <x:v>Desk Lamp</x:v>
      </x:c>
      <x:c r="I1446" t="n">
        <x:v>1</x:v>
      </x:c>
      <x:c r="J1446" s="4" t="n">
        <x:v>34.99</x:v>
      </x:c>
      <x:c r="K1446" s="4" t="n">
        <x:v>17</x:v>
      </x:c>
      <x:c r="L1446" s="5" t="n">
        <x:v>0.05</x:v>
      </x:c>
      <x:c r="M1446" s="4" t="n">
        <x:f>ROUND(I1446*J1446*(1-L1446),2)</x:f>
        <x:v>33.24</x:v>
      </x:c>
      <x:c r="N1446" s="4" t="n">
        <x:f>ROUND(I1446*K1446,2)</x:f>
        <x:v>17</x:v>
      </x:c>
      <x:c r="O1446" s="4" t="n">
        <x:f>ROUND(M1446-N1446,2)</x:f>
        <x:v>16.24</x:v>
      </x:c>
      <x:c r="P1446" s="6" t="n">
        <x:v>4.1</x:v>
      </x:c>
      <x:c r="Q1446" t="str">
        <x:v>No</x:v>
      </x:c>
    </x:row>
    <x:row r="1447">
      <x:c r="A1447" t="str">
        <x:v>ORD-00763</x:v>
      </x:c>
      <x:c r="B1447" s="3" t="n">
        <x:v>45881.684099502316</x:v>
      </x:c>
      <x:c r="C1447" t="str">
        <x:v>2025-08</x:v>
      </x:c>
      <x:c r="D1447" t="str">
        <x:v>CUS-0513</x:v>
      </x:c>
      <x:c r="E1447" t="str">
        <x:v>South West</x:v>
      </x:c>
      <x:c r="F1447" t="str">
        <x:v>Marketplace</x:v>
      </x:c>
      <x:c r="G1447" t="str">
        <x:v>Books</x:v>
      </x:c>
      <x:c r="H1447" t="str">
        <x:v>Business Intelligence Guide</x:v>
      </x:c>
      <x:c r="I1447" t="n">
        <x:v>3</x:v>
      </x:c>
      <x:c r="J1447" s="4" t="n">
        <x:v>33.62</x:v>
      </x:c>
      <x:c r="K1447" s="4" t="n">
        <x:v>12</x:v>
      </x:c>
      <x:c r="L1447" s="5" t="n">
        <x:v>0.05</x:v>
      </x:c>
      <x:c r="M1447" s="4" t="n">
        <x:f>ROUND(I1447*J1447*(1-L1447),2)</x:f>
        <x:v>95.82</x:v>
      </x:c>
      <x:c r="N1447" s="4" t="n">
        <x:f>ROUND(I1447*K1447,2)</x:f>
        <x:v>36</x:v>
      </x:c>
      <x:c r="O1447" s="4" t="n">
        <x:f>ROUND(M1447-N1447,2)</x:f>
        <x:v>59.82</x:v>
      </x:c>
      <x:c r="P1447" s="6" t="n">
        <x:v>4.8</x:v>
      </x:c>
      <x:c r="Q1447" t="str">
        <x:v>No</x:v>
      </x:c>
    </x:row>
    <x:row r="1448">
      <x:c r="A1448" t="str">
        <x:v>ORD-00233</x:v>
      </x:c>
      <x:c r="B1448" s="3" t="n">
        <x:v>45882.694862986114</x:v>
      </x:c>
      <x:c r="C1448" t="str">
        <x:v>2025-08</x:v>
      </x:c>
      <x:c r="D1448" t="str">
        <x:v>CUS-0506</x:v>
      </x:c>
      <x:c r="E1448" t="str">
        <x:v>London</x:v>
      </x:c>
      <x:c r="F1448" t="str">
        <x:v>Online</x:v>
      </x:c>
      <x:c r="G1448" t="str">
        <x:v>Fashion</x:v>
      </x:c>
      <x:c r="H1448" t="str">
        <x:v>Backpack</x:v>
      </x:c>
      <x:c r="I1448" t="n">
        <x:v>4</x:v>
      </x:c>
      <x:c r="J1448" s="4" t="n">
        <x:v>50.79</x:v>
      </x:c>
      <x:c r="K1448" s="4" t="n">
        <x:v>21</x:v>
      </x:c>
      <x:c r="L1448" s="5" t="n">
        <x:v>0.15</x:v>
      </x:c>
      <x:c r="M1448" s="4" t="n">
        <x:f>ROUND(I1448*J1448*(1-L1448),2)</x:f>
        <x:v>172.69</x:v>
      </x:c>
      <x:c r="N1448" s="4" t="n">
        <x:f>ROUND(I1448*K1448,2)</x:f>
        <x:v>84</x:v>
      </x:c>
      <x:c r="O1448" s="4" t="n">
        <x:f>ROUND(M1448-N1448,2)</x:f>
        <x:v>88.69</x:v>
      </x:c>
      <x:c r="P1448" s="6" t="n">
        <x:v>4.6</x:v>
      </x:c>
      <x:c r="Q1448" t="str">
        <x:v>No</x:v>
      </x:c>
    </x:row>
    <x:row r="1449">
      <x:c r="A1449" t="str">
        <x:v>ORD-00814</x:v>
      </x:c>
      <x:c r="B1449" s="3" t="n">
        <x:v>45882.80270086806</x:v>
      </x:c>
      <x:c r="C1449" t="str">
        <x:v>2025-08</x:v>
      </x:c>
      <x:c r="D1449" t="str">
        <x:v>CUS-0098</x:v>
      </x:c>
      <x:c r="E1449" t="str">
        <x:v>London</x:v>
      </x:c>
      <x:c r="F1449" t="str">
        <x:v>Marketplace</x:v>
      </x:c>
      <x:c r="G1449" t="str">
        <x:v>Sports</x:v>
      </x:c>
      <x:c r="H1449" t="str">
        <x:v>Fitness Tracker</x:v>
      </x:c>
      <x:c r="I1449" t="n">
        <x:v>1</x:v>
      </x:c>
      <x:c r="J1449" s="4" t="n">
        <x:v>53.81</x:v>
      </x:c>
      <x:c r="K1449" s="4" t="n">
        <x:v>27</x:v>
      </x:c>
      <x:c r="L1449" s="5" t="n">
        <x:v>0.2</x:v>
      </x:c>
      <x:c r="M1449" s="4" t="n">
        <x:f>ROUND(I1449*J1449*(1-L1449),2)</x:f>
        <x:v>43.05</x:v>
      </x:c>
      <x:c r="N1449" s="4" t="n">
        <x:f>ROUND(I1449*K1449,2)</x:f>
        <x:v>27</x:v>
      </x:c>
      <x:c r="O1449" s="4" t="n">
        <x:f>ROUND(M1449-N1449,2)</x:f>
        <x:v>16.05</x:v>
      </x:c>
      <x:c r="P1449" s="6" t="n">
        <x:v>4.9</x:v>
      </x:c>
      <x:c r="Q1449" t="str">
        <x:v>No</x:v>
      </x:c>
    </x:row>
    <x:row r="1450">
      <x:c r="A1450" t="str">
        <x:v>ORD-00717</x:v>
      </x:c>
      <x:c r="B1450" s="3" t="n">
        <x:v>45883.748492673614</x:v>
      </x:c>
      <x:c r="C1450" t="str">
        <x:v>2025-08</x:v>
      </x:c>
      <x:c r="D1450" t="str">
        <x:v>CUS-0043</x:v>
      </x:c>
      <x:c r="E1450" t="str">
        <x:v>South West</x:v>
      </x:c>
      <x:c r="F1450" t="str">
        <x:v>Marketplace</x:v>
      </x:c>
      <x:c r="G1450" t="str">
        <x:v>Electronics</x:v>
      </x:c>
      <x:c r="H1450" t="str">
        <x:v>Bluetooth Speaker</x:v>
      </x:c>
      <x:c r="I1450" t="n">
        <x:v>4</x:v>
      </x:c>
      <x:c r="J1450" s="4" t="n">
        <x:v>67.52</x:v>
      </x:c>
      <x:c r="K1450" s="4" t="n">
        <x:v>34</x:v>
      </x:c>
      <x:c r="L1450" s="5" t="n">
        <x:v>0</x:v>
      </x:c>
      <x:c r="M1450" s="4" t="n">
        <x:f>ROUND(I1450*J1450*(1-L1450),2)</x:f>
        <x:v>270.08</x:v>
      </x:c>
      <x:c r="N1450" s="4" t="n">
        <x:f>ROUND(I1450*K1450,2)</x:f>
        <x:v>136</x:v>
      </x:c>
      <x:c r="O1450" s="4" t="n">
        <x:f>ROUND(M1450-N1450,2)</x:f>
        <x:v>134.08</x:v>
      </x:c>
      <x:c r="P1450" s="6" t="n">
        <x:v>5</x:v>
      </x:c>
      <x:c r="Q1450" t="str">
        <x:v>No</x:v>
      </x:c>
    </x:row>
    <x:row r="1451">
      <x:c r="A1451" t="str">
        <x:v>ORD-01711</x:v>
      </x:c>
      <x:c r="B1451" s="3" t="n">
        <x:v>45883.92555208333</x:v>
      </x:c>
      <x:c r="C1451" t="str">
        <x:v>2025-08</x:v>
      </x:c>
      <x:c r="D1451" t="str">
        <x:v>CUS-0086</x:v>
      </x:c>
      <x:c r="E1451" t="str">
        <x:v>South East</x:v>
      </x:c>
      <x:c r="F1451" t="str">
        <x:v>Store</x:v>
      </x:c>
      <x:c r="G1451" t="str">
        <x:v>Beauty</x:v>
      </x:c>
      <x:c r="H1451" t="str">
        <x:v>Hair Dryer</x:v>
      </x:c>
      <x:c r="I1451" t="n">
        <x:v>4</x:v>
      </x:c>
      <x:c r="J1451" s="4" t="n">
        <x:v>57.13</x:v>
      </x:c>
      <x:c r="K1451" s="4" t="n">
        <x:v>29</x:v>
      </x:c>
      <x:c r="L1451" s="5" t="n">
        <x:v>0.15</x:v>
      </x:c>
      <x:c r="M1451" s="4" t="n">
        <x:f>ROUND(I1451*J1451*(1-L1451),2)</x:f>
        <x:v>194.24</x:v>
      </x:c>
      <x:c r="N1451" s="4" t="n">
        <x:f>ROUND(I1451*K1451,2)</x:f>
        <x:v>116</x:v>
      </x:c>
      <x:c r="O1451" s="4" t="n">
        <x:f>ROUND(M1451-N1451,2)</x:f>
        <x:v>78.24</x:v>
      </x:c>
      <x:c r="P1451" s="6" t="n">
        <x:v>3.7</x:v>
      </x:c>
      <x:c r="Q1451" t="str">
        <x:v>No</x:v>
      </x:c>
    </x:row>
    <x:row r="1452">
      <x:c r="A1452" t="str">
        <x:v>ORD-00883</x:v>
      </x:c>
      <x:c r="B1452" s="3" t="n">
        <x:v>45883.947407037034</x:v>
      </x:c>
      <x:c r="C1452" t="str">
        <x:v>2025-08</x:v>
      </x:c>
      <x:c r="D1452" t="str">
        <x:v>CUS-0375</x:v>
      </x:c>
      <x:c r="E1452" t="str">
        <x:v>North East</x:v>
      </x:c>
      <x:c r="F1452" t="str">
        <x:v>Online</x:v>
      </x:c>
      <x:c r="G1452" t="str">
        <x:v>Fashion</x:v>
      </x:c>
      <x:c r="H1452" t="str">
        <x:v>Backpack</x:v>
      </x:c>
      <x:c r="I1452" t="n">
        <x:v>4</x:v>
      </x:c>
      <x:c r="J1452" s="4" t="n">
        <x:v>51.16</x:v>
      </x:c>
      <x:c r="K1452" s="4" t="n">
        <x:v>21</x:v>
      </x:c>
      <x:c r="L1452" s="5" t="n">
        <x:v>0</x:v>
      </x:c>
      <x:c r="M1452" s="4" t="n">
        <x:f>ROUND(I1452*J1452*(1-L1452),2)</x:f>
        <x:v>204.64</x:v>
      </x:c>
      <x:c r="N1452" s="4" t="n">
        <x:f>ROUND(I1452*K1452,2)</x:f>
        <x:v>84</x:v>
      </x:c>
      <x:c r="O1452" s="4" t="n">
        <x:f>ROUND(M1452-N1452,2)</x:f>
        <x:v>120.64</x:v>
      </x:c>
      <x:c r="P1452" s="6" t="n">
        <x:v>3.4</x:v>
      </x:c>
      <x:c r="Q1452" t="str">
        <x:v>No</x:v>
      </x:c>
    </x:row>
    <x:row r="1453">
      <x:c r="A1453" t="str">
        <x:v>ORD-00860</x:v>
      </x:c>
      <x:c r="B1453" s="3" t="n">
        <x:v>45884.20868376157</x:v>
      </x:c>
      <x:c r="C1453" t="str">
        <x:v>2025-08</x:v>
      </x:c>
      <x:c r="D1453" t="str">
        <x:v>CUS-0582</x:v>
      </x:c>
      <x:c r="E1453" t="str">
        <x:v>Midlands</x:v>
      </x:c>
      <x:c r="F1453" t="str">
        <x:v>Store</x:v>
      </x:c>
      <x:c r="G1453" t="str">
        <x:v>Sports</x:v>
      </x:c>
      <x:c r="H1453" t="str">
        <x:v>Yoga Mat</x:v>
      </x:c>
      <x:c r="I1453" t="n">
        <x:v>5</x:v>
      </x:c>
      <x:c r="J1453" s="4" t="n">
        <x:v>29.26</x:v>
      </x:c>
      <x:c r="K1453" s="4" t="n">
        <x:v>12</x:v>
      </x:c>
      <x:c r="L1453" s="5" t="n">
        <x:v>0.1</x:v>
      </x:c>
      <x:c r="M1453" s="4" t="n">
        <x:f>ROUND(I1453*J1453*(1-L1453),2)</x:f>
        <x:v>131.67</x:v>
      </x:c>
      <x:c r="N1453" s="4" t="n">
        <x:f>ROUND(I1453*K1453,2)</x:f>
        <x:v>60</x:v>
      </x:c>
      <x:c r="O1453" s="4" t="n">
        <x:f>ROUND(M1453-N1453,2)</x:f>
        <x:v>71.67</x:v>
      </x:c>
      <x:c r="P1453" s="6" t="n">
        <x:v>4</x:v>
      </x:c>
      <x:c r="Q1453" t="str">
        <x:v>No</x:v>
      </x:c>
    </x:row>
    <x:row r="1454">
      <x:c r="A1454" t="str">
        <x:v>ORD-01210</x:v>
      </x:c>
      <x:c r="B1454" s="3" t="n">
        <x:v>45884.2409087037</x:v>
      </x:c>
      <x:c r="C1454" t="str">
        <x:v>2025-08</x:v>
      </x:c>
      <x:c r="D1454" t="str">
        <x:v>CUS-0518</x:v>
      </x:c>
      <x:c r="E1454" t="str">
        <x:v>North East</x:v>
      </x:c>
      <x:c r="F1454" t="str">
        <x:v>Marketplace</x:v>
      </x:c>
      <x:c r="G1454" t="str">
        <x:v>Books</x:v>
      </x:c>
      <x:c r="H1454" t="str">
        <x:v>Data Analytics Handbook</x:v>
      </x:c>
      <x:c r="I1454" t="n">
        <x:v>5</x:v>
      </x:c>
      <x:c r="J1454" s="4" t="n">
        <x:v>39.63</x:v>
      </x:c>
      <x:c r="K1454" s="4" t="n">
        <x:v>14</x:v>
      </x:c>
      <x:c r="L1454" s="5" t="n">
        <x:v>0.1</x:v>
      </x:c>
      <x:c r="M1454" s="4" t="n">
        <x:f>ROUND(I1454*J1454*(1-L1454),2)</x:f>
        <x:v>178.34</x:v>
      </x:c>
      <x:c r="N1454" s="4" t="n">
        <x:f>ROUND(I1454*K1454,2)</x:f>
        <x:v>70</x:v>
      </x:c>
      <x:c r="O1454" s="4" t="n">
        <x:f>ROUND(M1454-N1454,2)</x:f>
        <x:v>108.34</x:v>
      </x:c>
      <x:c r="P1454" s="6" t="n">
        <x:v>4.6</x:v>
      </x:c>
      <x:c r="Q1454" t="str">
        <x:v>No</x:v>
      </x:c>
    </x:row>
    <x:row r="1455">
      <x:c r="A1455" t="str">
        <x:v>ORD-00352</x:v>
      </x:c>
      <x:c r="B1455" s="3" t="n">
        <x:v>45885.52690621528</x:v>
      </x:c>
      <x:c r="C1455" t="str">
        <x:v>2025-08</x:v>
      </x:c>
      <x:c r="D1455" t="str">
        <x:v>CUS-0035</x:v>
      </x:c>
      <x:c r="E1455" t="str">
        <x:v>Wales</x:v>
      </x:c>
      <x:c r="F1455" t="str">
        <x:v>Online</x:v>
      </x:c>
      <x:c r="G1455" t="str">
        <x:v>Home</x:v>
      </x:c>
      <x:c r="H1455" t="str">
        <x:v>Coffee Maker</x:v>
      </x:c>
      <x:c r="I1455" t="n">
        <x:v>4</x:v>
      </x:c>
      <x:c r="J1455" s="4" t="n">
        <x:v>72.69</x:v>
      </x:c>
      <x:c r="K1455" s="4" t="n">
        <x:v>41</x:v>
      </x:c>
      <x:c r="L1455" s="5" t="n">
        <x:v>0</x:v>
      </x:c>
      <x:c r="M1455" s="4" t="n">
        <x:f>ROUND(I1455*J1455*(1-L1455),2)</x:f>
        <x:v>290.76</x:v>
      </x:c>
      <x:c r="N1455" s="4" t="n">
        <x:f>ROUND(I1455*K1455,2)</x:f>
        <x:v>164</x:v>
      </x:c>
      <x:c r="O1455" s="4" t="n">
        <x:f>ROUND(M1455-N1455,2)</x:f>
        <x:v>126.76</x:v>
      </x:c>
      <x:c r="P1455" s="6" t="n">
        <x:v>4.6</x:v>
      </x:c>
      <x:c r="Q1455" t="str">
        <x:v>No</x:v>
      </x:c>
    </x:row>
    <x:row r="1456">
      <x:c r="A1456" t="str">
        <x:v>ORD-00390</x:v>
      </x:c>
      <x:c r="B1456" s="3" t="n">
        <x:v>45885.62983988426</x:v>
      </x:c>
      <x:c r="C1456" t="str">
        <x:v>2025-08</x:v>
      </x:c>
      <x:c r="D1456" t="str">
        <x:v>CUS-0158</x:v>
      </x:c>
      <x:c r="E1456" t="str">
        <x:v>North West</x:v>
      </x:c>
      <x:c r="F1456" t="str">
        <x:v>Online</x:v>
      </x:c>
      <x:c r="G1456" t="str">
        <x:v>Books</x:v>
      </x:c>
      <x:c r="H1456" t="str">
        <x:v>Data Analytics Handbook</x:v>
      </x:c>
      <x:c r="I1456" t="n">
        <x:v>5</x:v>
      </x:c>
      <x:c r="J1456" s="4" t="n">
        <x:v>40.99</x:v>
      </x:c>
      <x:c r="K1456" s="4" t="n">
        <x:v>14</x:v>
      </x:c>
      <x:c r="L1456" s="5" t="n">
        <x:v>0.1</x:v>
      </x:c>
      <x:c r="M1456" s="4" t="n">
        <x:f>ROUND(I1456*J1456*(1-L1456),2)</x:f>
        <x:v>184.46</x:v>
      </x:c>
      <x:c r="N1456" s="4" t="n">
        <x:f>ROUND(I1456*K1456,2)</x:f>
        <x:v>70</x:v>
      </x:c>
      <x:c r="O1456" s="4" t="n">
        <x:f>ROUND(M1456-N1456,2)</x:f>
        <x:v>114.46</x:v>
      </x:c>
      <x:c r="P1456" s="6" t="n">
        <x:v>4.6</x:v>
      </x:c>
      <x:c r="Q1456" t="str">
        <x:v>No</x:v>
      </x:c>
    </x:row>
    <x:row r="1457">
      <x:c r="A1457" t="str">
        <x:v>ORD-00999</x:v>
      </x:c>
      <x:c r="B1457" s="3" t="n">
        <x:v>45885.816554398145</x:v>
      </x:c>
      <x:c r="C1457" t="str">
        <x:v>2025-08</x:v>
      </x:c>
      <x:c r="D1457" t="str">
        <x:v>CUS-0505</x:v>
      </x:c>
      <x:c r="E1457" t="str">
        <x:v>Wales</x:v>
      </x:c>
      <x:c r="F1457" t="str">
        <x:v>Marketplace</x:v>
      </x:c>
      <x:c r="G1457" t="str">
        <x:v>Fashion</x:v>
      </x:c>
      <x:c r="H1457" t="str">
        <x:v>Backpack</x:v>
      </x:c>
      <x:c r="I1457" t="n">
        <x:v>3</x:v>
      </x:c>
      <x:c r="J1457" s="4" t="n">
        <x:v>50.66</x:v>
      </x:c>
      <x:c r="K1457" s="4" t="n">
        <x:v>21</x:v>
      </x:c>
      <x:c r="L1457" s="5" t="n">
        <x:v>0.15</x:v>
      </x:c>
      <x:c r="M1457" s="4" t="n">
        <x:f>ROUND(I1457*J1457*(1-L1457),2)</x:f>
        <x:v>129.18</x:v>
      </x:c>
      <x:c r="N1457" s="4" t="n">
        <x:f>ROUND(I1457*K1457,2)</x:f>
        <x:v>63</x:v>
      </x:c>
      <x:c r="O1457" s="4" t="n">
        <x:f>ROUND(M1457-N1457,2)</x:f>
        <x:v>66.18</x:v>
      </x:c>
      <x:c r="P1457" s="6" t="n">
        <x:v>3.6</x:v>
      </x:c>
      <x:c r="Q1457" t="str">
        <x:v>No</x:v>
      </x:c>
    </x:row>
    <x:row r="1458">
      <x:c r="A1458" t="str">
        <x:v>ORD-01482</x:v>
      </x:c>
      <x:c r="B1458" s="3" t="n">
        <x:v>45886.913818877314</x:v>
      </x:c>
      <x:c r="C1458" t="str">
        <x:v>2025-08</x:v>
      </x:c>
      <x:c r="D1458" t="str">
        <x:v>CUS-0298</x:v>
      </x:c>
      <x:c r="E1458" t="str">
        <x:v>Midlands</x:v>
      </x:c>
      <x:c r="F1458" t="str">
        <x:v>Marketplace</x:v>
      </x:c>
      <x:c r="G1458" t="str">
        <x:v>Fashion</x:v>
      </x:c>
      <x:c r="H1458" t="str">
        <x:v>Winter Jacket</x:v>
      </x:c>
      <x:c r="I1458" t="n">
        <x:v>3</x:v>
      </x:c>
      <x:c r="J1458" s="4" t="n">
        <x:v>99.04</x:v>
      </x:c>
      <x:c r="K1458" s="4" t="n">
        <x:v>46</x:v>
      </x:c>
      <x:c r="L1458" s="5" t="n">
        <x:v>0.1</x:v>
      </x:c>
      <x:c r="M1458" s="4" t="n">
        <x:f>ROUND(I1458*J1458*(1-L1458),2)</x:f>
        <x:v>267.41</x:v>
      </x:c>
      <x:c r="N1458" s="4" t="n">
        <x:f>ROUND(I1458*K1458,2)</x:f>
        <x:v>138</x:v>
      </x:c>
      <x:c r="O1458" s="4" t="n">
        <x:f>ROUND(M1458-N1458,2)</x:f>
        <x:v>129.41</x:v>
      </x:c>
      <x:c r="P1458" s="6" t="n">
        <x:v>4.7</x:v>
      </x:c>
      <x:c r="Q1458" t="str">
        <x:v>No</x:v>
      </x:c>
    </x:row>
    <x:row r="1459">
      <x:c r="A1459" t="str">
        <x:v>ORD-00312</x:v>
      </x:c>
      <x:c r="B1459" s="3" t="n">
        <x:v>45887.731397222225</x:v>
      </x:c>
      <x:c r="C1459" t="str">
        <x:v>2025-08</x:v>
      </x:c>
      <x:c r="D1459" t="str">
        <x:v>CUS-0205</x:v>
      </x:c>
      <x:c r="E1459" t="str">
        <x:v>Midlands</x:v>
      </x:c>
      <x:c r="F1459" t="str">
        <x:v>Marketplace</x:v>
      </x:c>
      <x:c r="G1459" t="str">
        <x:v>Beauty</x:v>
      </x:c>
      <x:c r="H1459" t="str">
        <x:v>Hair Dryer</x:v>
      </x:c>
      <x:c r="I1459" t="n">
        <x:v>1</x:v>
      </x:c>
      <x:c r="J1459" s="4" t="n">
        <x:v>59.28</x:v>
      </x:c>
      <x:c r="K1459" s="4" t="n">
        <x:v>29</x:v>
      </x:c>
      <x:c r="L1459" s="5" t="n">
        <x:v>0.2</x:v>
      </x:c>
      <x:c r="M1459" s="4" t="n">
        <x:f>ROUND(I1459*J1459*(1-L1459),2)</x:f>
        <x:v>47.42</x:v>
      </x:c>
      <x:c r="N1459" s="4" t="n">
        <x:f>ROUND(I1459*K1459,2)</x:f>
        <x:v>29</x:v>
      </x:c>
      <x:c r="O1459" s="4" t="n">
        <x:f>ROUND(M1459-N1459,2)</x:f>
        <x:v>18.42</x:v>
      </x:c>
      <x:c r="P1459" s="6" t="n">
        <x:v>4.6</x:v>
      </x:c>
      <x:c r="Q1459" t="str">
        <x:v>Yes</x:v>
      </x:c>
    </x:row>
    <x:row r="1460">
      <x:c r="A1460" t="str">
        <x:v>ORD-00746</x:v>
      </x:c>
      <x:c r="B1460" s="3" t="n">
        <x:v>45887.92825431713</x:v>
      </x:c>
      <x:c r="C1460" t="str">
        <x:v>2025-08</x:v>
      </x:c>
      <x:c r="D1460" t="str">
        <x:v>CUS-0368</x:v>
      </x:c>
      <x:c r="E1460" t="str">
        <x:v>South West</x:v>
      </x:c>
      <x:c r="F1460" t="str">
        <x:v>Marketplace</x:v>
      </x:c>
      <x:c r="G1460" t="str">
        <x:v>Fashion</x:v>
      </x:c>
      <x:c r="H1460" t="str">
        <x:v>Classic Trainers</x:v>
      </x:c>
      <x:c r="I1460" t="n">
        <x:v>2</x:v>
      </x:c>
      <x:c r="J1460" s="4" t="n">
        <x:v>67.76</x:v>
      </x:c>
      <x:c r="K1460" s="4" t="n">
        <x:v>32</x:v>
      </x:c>
      <x:c r="L1460" s="5" t="n">
        <x:v>0</x:v>
      </x:c>
      <x:c r="M1460" s="4" t="n">
        <x:f>ROUND(I1460*J1460*(1-L1460),2)</x:f>
        <x:v>135.52</x:v>
      </x:c>
      <x:c r="N1460" s="4" t="n">
        <x:f>ROUND(I1460*K1460,2)</x:f>
        <x:v>64</x:v>
      </x:c>
      <x:c r="O1460" s="4" t="n">
        <x:f>ROUND(M1460-N1460,2)</x:f>
        <x:v>71.52</x:v>
      </x:c>
      <x:c r="P1460" s="6" t="n">
        <x:v>5</x:v>
      </x:c>
      <x:c r="Q1460" t="str">
        <x:v>No</x:v>
      </x:c>
    </x:row>
    <x:row r="1461">
      <x:c r="A1461" t="str">
        <x:v>ORD-00250</x:v>
      </x:c>
      <x:c r="B1461" s="3" t="n">
        <x:v>45888.135722060186</x:v>
      </x:c>
      <x:c r="C1461" t="str">
        <x:v>2025-08</x:v>
      </x:c>
      <x:c r="D1461" t="str">
        <x:v>CUS-0395</x:v>
      </x:c>
      <x:c r="E1461" t="str">
        <x:v>South East</x:v>
      </x:c>
      <x:c r="F1461" t="str">
        <x:v>Marketplace</x:v>
      </x:c>
      <x:c r="G1461" t="str">
        <x:v>Beauty</x:v>
      </x:c>
      <x:c r="H1461" t="str">
        <x:v>Skin Care Set</x:v>
      </x:c>
      <x:c r="I1461" t="n">
        <x:v>5</x:v>
      </x:c>
      <x:c r="J1461" s="4" t="n">
        <x:v>46.51</x:v>
      </x:c>
      <x:c r="K1461" s="4" t="n">
        <x:v>18</x:v>
      </x:c>
      <x:c r="L1461" s="5" t="n">
        <x:v>0.1</x:v>
      </x:c>
      <x:c r="M1461" s="4" t="n">
        <x:f>ROUND(I1461*J1461*(1-L1461),2)</x:f>
        <x:v>209.3</x:v>
      </x:c>
      <x:c r="N1461" s="4" t="n">
        <x:f>ROUND(I1461*K1461,2)</x:f>
        <x:v>90</x:v>
      </x:c>
      <x:c r="O1461" s="4" t="n">
        <x:f>ROUND(M1461-N1461,2)</x:f>
        <x:v>119.3</x:v>
      </x:c>
      <x:c r="P1461" s="6" t="n">
        <x:v>3.8</x:v>
      </x:c>
      <x:c r="Q1461" t="str">
        <x:v>No</x:v>
      </x:c>
    </x:row>
    <x:row r="1462">
      <x:c r="A1462" t="str">
        <x:v>ORD-00546</x:v>
      </x:c>
      <x:c r="B1462" s="3" t="n">
        <x:v>45888.16749896991</x:v>
      </x:c>
      <x:c r="C1462" t="str">
        <x:v>2025-08</x:v>
      </x:c>
      <x:c r="D1462" t="str">
        <x:v>CUS-0199</x:v>
      </x:c>
      <x:c r="E1462" t="str">
        <x:v>South East</x:v>
      </x:c>
      <x:c r="F1462" t="str">
        <x:v>Online</x:v>
      </x:c>
      <x:c r="G1462" t="str">
        <x:v>Home</x:v>
      </x:c>
      <x:c r="H1462" t="str">
        <x:v>Coffee Maker</x:v>
      </x:c>
      <x:c r="I1462" t="n">
        <x:v>5</x:v>
      </x:c>
      <x:c r="J1462" s="4" t="n">
        <x:v>74.37</x:v>
      </x:c>
      <x:c r="K1462" s="4" t="n">
        <x:v>41</x:v>
      </x:c>
      <x:c r="L1462" s="5" t="n">
        <x:v>0.1</x:v>
      </x:c>
      <x:c r="M1462" s="4" t="n">
        <x:f>ROUND(I1462*J1462*(1-L1462),2)</x:f>
        <x:v>334.67</x:v>
      </x:c>
      <x:c r="N1462" s="4" t="n">
        <x:f>ROUND(I1462*K1462,2)</x:f>
        <x:v>205</x:v>
      </x:c>
      <x:c r="O1462" s="4" t="n">
        <x:f>ROUND(M1462-N1462,2)</x:f>
        <x:v>129.67</x:v>
      </x:c>
      <x:c r="P1462" s="6" t="n">
        <x:v>4.9</x:v>
      </x:c>
      <x:c r="Q1462" t="str">
        <x:v>No</x:v>
      </x:c>
    </x:row>
    <x:row r="1463">
      <x:c r="A1463" t="str">
        <x:v>ORD-00148</x:v>
      </x:c>
      <x:c r="B1463" s="3" t="n">
        <x:v>45889.73817383102</x:v>
      </x:c>
      <x:c r="C1463" t="str">
        <x:v>2025-08</x:v>
      </x:c>
      <x:c r="D1463" t="str">
        <x:v>CUS-0119</x:v>
      </x:c>
      <x:c r="E1463" t="str">
        <x:v>Midlands</x:v>
      </x:c>
      <x:c r="F1463" t="str">
        <x:v>Store</x:v>
      </x:c>
      <x:c r="G1463" t="str">
        <x:v>Fashion</x:v>
      </x:c>
      <x:c r="H1463" t="str">
        <x:v>Winter Jacket</x:v>
      </x:c>
      <x:c r="I1463" t="n">
        <x:v>4</x:v>
      </x:c>
      <x:c r="J1463" s="4" t="n">
        <x:v>90.82</x:v>
      </x:c>
      <x:c r="K1463" s="4" t="n">
        <x:v>46</x:v>
      </x:c>
      <x:c r="L1463" s="5" t="n">
        <x:v>0.15</x:v>
      </x:c>
      <x:c r="M1463" s="4" t="n">
        <x:f>ROUND(I1463*J1463*(1-L1463),2)</x:f>
        <x:v>308.79</x:v>
      </x:c>
      <x:c r="N1463" s="4" t="n">
        <x:f>ROUND(I1463*K1463,2)</x:f>
        <x:v>184</x:v>
      </x:c>
      <x:c r="O1463" s="4" t="n">
        <x:f>ROUND(M1463-N1463,2)</x:f>
        <x:v>124.79</x:v>
      </x:c>
      <x:c r="P1463" s="6" t="n">
        <x:v>4.9</x:v>
      </x:c>
      <x:c r="Q1463" t="str">
        <x:v>No</x:v>
      </x:c>
    </x:row>
    <x:row r="1464">
      <x:c r="A1464" t="str">
        <x:v>ORD-01065</x:v>
      </x:c>
      <x:c r="B1464" s="3" t="n">
        <x:v>45891.12991592593</x:v>
      </x:c>
      <x:c r="C1464" t="str">
        <x:v>2025-08</x:v>
      </x:c>
      <x:c r="D1464" t="str">
        <x:v>CUS-0063</x:v>
      </x:c>
      <x:c r="E1464" t="str">
        <x:v>London</x:v>
      </x:c>
      <x:c r="F1464" t="str">
        <x:v>Marketplace</x:v>
      </x:c>
      <x:c r="G1464" t="str">
        <x:v>Electronics</x:v>
      </x:c>
      <x:c r="H1464" t="str">
        <x:v>Wireless Headphones</x:v>
      </x:c>
      <x:c r="I1464" t="n">
        <x:v>4</x:v>
      </x:c>
      <x:c r="J1464" s="4" t="n">
        <x:v>90.68</x:v>
      </x:c>
      <x:c r="K1464" s="4" t="n">
        <x:v>48</x:v>
      </x:c>
      <x:c r="L1464" s="5" t="n">
        <x:v>0.1</x:v>
      </x:c>
      <x:c r="M1464" s="4" t="n">
        <x:f>ROUND(I1464*J1464*(1-L1464),2)</x:f>
        <x:v>326.45</x:v>
      </x:c>
      <x:c r="N1464" s="4" t="n">
        <x:f>ROUND(I1464*K1464,2)</x:f>
        <x:v>192</x:v>
      </x:c>
      <x:c r="O1464" s="4" t="n">
        <x:f>ROUND(M1464-N1464,2)</x:f>
        <x:v>134.45</x:v>
      </x:c>
      <x:c r="P1464" s="6" t="n">
        <x:v>4.9</x:v>
      </x:c>
      <x:c r="Q1464" t="str">
        <x:v>No</x:v>
      </x:c>
    </x:row>
    <x:row r="1465">
      <x:c r="A1465" t="str">
        <x:v>ORD-01478</x:v>
      </x:c>
      <x:c r="B1465" s="3" t="n">
        <x:v>45891.85268668982</x:v>
      </x:c>
      <x:c r="C1465" t="str">
        <x:v>2025-08</x:v>
      </x:c>
      <x:c r="D1465" t="str">
        <x:v>CUS-0393</x:v>
      </x:c>
      <x:c r="E1465" t="str">
        <x:v>London</x:v>
      </x:c>
      <x:c r="F1465" t="str">
        <x:v>Store</x:v>
      </x:c>
      <x:c r="G1465" t="str">
        <x:v>Electronics</x:v>
      </x:c>
      <x:c r="H1465" t="str">
        <x:v>Smart Watch</x:v>
      </x:c>
      <x:c r="I1465" t="n">
        <x:v>3</x:v>
      </x:c>
      <x:c r="J1465" s="4" t="n">
        <x:v>155.66</x:v>
      </x:c>
      <x:c r="K1465" s="4" t="n">
        <x:v>92</x:v>
      </x:c>
      <x:c r="L1465" s="5" t="n">
        <x:v>0</x:v>
      </x:c>
      <x:c r="M1465" s="4" t="n">
        <x:f>ROUND(I1465*J1465*(1-L1465),2)</x:f>
        <x:v>466.98</x:v>
      </x:c>
      <x:c r="N1465" s="4" t="n">
        <x:f>ROUND(I1465*K1465,2)</x:f>
        <x:v>276</x:v>
      </x:c>
      <x:c r="O1465" s="4" t="n">
        <x:f>ROUND(M1465-N1465,2)</x:f>
        <x:v>190.98</x:v>
      </x:c>
      <x:c r="P1465" s="6" t="n">
        <x:v>4.4</x:v>
      </x:c>
      <x:c r="Q1465" t="str">
        <x:v>No</x:v>
      </x:c>
    </x:row>
    <x:row r="1466">
      <x:c r="A1466" t="str">
        <x:v>ORD-01186</x:v>
      </x:c>
      <x:c r="B1466" s="3" t="n">
        <x:v>45893.48237184028</x:v>
      </x:c>
      <x:c r="C1466" t="str">
        <x:v>2025-08</x:v>
      </x:c>
      <x:c r="D1466" t="str">
        <x:v>CUS-0241</x:v>
      </x:c>
      <x:c r="E1466" t="str">
        <x:v>South East</x:v>
      </x:c>
      <x:c r="F1466" t="str">
        <x:v>Store</x:v>
      </x:c>
      <x:c r="G1466" t="str">
        <x:v>Electronics</x:v>
      </x:c>
      <x:c r="H1466" t="str">
        <x:v>Wireless Headphones</x:v>
      </x:c>
      <x:c r="I1466" t="n">
        <x:v>4</x:v>
      </x:c>
      <x:c r="J1466" s="4" t="n">
        <x:v>90.08</x:v>
      </x:c>
      <x:c r="K1466" s="4" t="n">
        <x:v>48</x:v>
      </x:c>
      <x:c r="L1466" s="5" t="n">
        <x:v>0.2</x:v>
      </x:c>
      <x:c r="M1466" s="4" t="n">
        <x:f>ROUND(I1466*J1466*(1-L1466),2)</x:f>
        <x:v>288.26</x:v>
      </x:c>
      <x:c r="N1466" s="4" t="n">
        <x:f>ROUND(I1466*K1466,2)</x:f>
        <x:v>192</x:v>
      </x:c>
      <x:c r="O1466" s="4" t="n">
        <x:f>ROUND(M1466-N1466,2)</x:f>
        <x:v>96.26</x:v>
      </x:c>
      <x:c r="P1466" s="6" t="n">
        <x:v>4.6</x:v>
      </x:c>
      <x:c r="Q1466" t="str">
        <x:v>Yes</x:v>
      </x:c>
    </x:row>
    <x:row r="1467">
      <x:c r="A1467" t="str">
        <x:v>ORD-00592</x:v>
      </x:c>
      <x:c r="B1467" s="3" t="n">
        <x:v>45894.52227163195</x:v>
      </x:c>
      <x:c r="C1467" t="str">
        <x:v>2025-08</x:v>
      </x:c>
      <x:c r="D1467" t="str">
        <x:v>CUS-0292</x:v>
      </x:c>
      <x:c r="E1467" t="str">
        <x:v>Scotland</x:v>
      </x:c>
      <x:c r="F1467" t="str">
        <x:v>Online</x:v>
      </x:c>
      <x:c r="G1467" t="str">
        <x:v>Electronics</x:v>
      </x:c>
      <x:c r="H1467" t="str">
        <x:v>Bluetooth Speaker</x:v>
      </x:c>
      <x:c r="I1467" t="n">
        <x:v>4</x:v>
      </x:c>
      <x:c r="J1467" s="4" t="n">
        <x:v>65.36</x:v>
      </x:c>
      <x:c r="K1467" s="4" t="n">
        <x:v>34</x:v>
      </x:c>
      <x:c r="L1467" s="5" t="n">
        <x:v>0.1</x:v>
      </x:c>
      <x:c r="M1467" s="4" t="n">
        <x:f>ROUND(I1467*J1467*(1-L1467),2)</x:f>
        <x:v>235.3</x:v>
      </x:c>
      <x:c r="N1467" s="4" t="n">
        <x:f>ROUND(I1467*K1467,2)</x:f>
        <x:v>136</x:v>
      </x:c>
      <x:c r="O1467" s="4" t="n">
        <x:f>ROUND(M1467-N1467,2)</x:f>
        <x:v>99.3</x:v>
      </x:c>
      <x:c r="P1467" s="6" t="n">
        <x:v>4.9</x:v>
      </x:c>
      <x:c r="Q1467" t="str">
        <x:v>No</x:v>
      </x:c>
    </x:row>
    <x:row r="1468">
      <x:c r="A1468" t="str">
        <x:v>ORD-00960</x:v>
      </x:c>
      <x:c r="B1468" s="3" t="n">
        <x:v>45894.52996771991</x:v>
      </x:c>
      <x:c r="C1468" t="str">
        <x:v>2025-08</x:v>
      </x:c>
      <x:c r="D1468" t="str">
        <x:v>CUS-0513</x:v>
      </x:c>
      <x:c r="E1468" t="str">
        <x:v>Midlands</x:v>
      </x:c>
      <x:c r="F1468" t="str">
        <x:v>Marketplace</x:v>
      </x:c>
      <x:c r="G1468" t="str">
        <x:v>Fashion</x:v>
      </x:c>
      <x:c r="H1468" t="str">
        <x:v>Classic Trainers</x:v>
      </x:c>
      <x:c r="I1468" t="n">
        <x:v>4</x:v>
      </x:c>
      <x:c r="J1468" s="4" t="n">
        <x:v>71.1</x:v>
      </x:c>
      <x:c r="K1468" s="4" t="n">
        <x:v>32</x:v>
      </x:c>
      <x:c r="L1468" s="5" t="n">
        <x:v>0</x:v>
      </x:c>
      <x:c r="M1468" s="4" t="n">
        <x:f>ROUND(I1468*J1468*(1-L1468),2)</x:f>
        <x:v>284.4</x:v>
      </x:c>
      <x:c r="N1468" s="4" t="n">
        <x:f>ROUND(I1468*K1468,2)</x:f>
        <x:v>128</x:v>
      </x:c>
      <x:c r="O1468" s="4" t="n">
        <x:f>ROUND(M1468-N1468,2)</x:f>
        <x:v>156.4</x:v>
      </x:c>
      <x:c r="P1468" s="6" t="n">
        <x:v>4.1</x:v>
      </x:c>
      <x:c r="Q1468" t="str">
        <x:v>No</x:v>
      </x:c>
    </x:row>
    <x:row r="1469">
      <x:c r="A1469" t="str">
        <x:v>ORD-01228</x:v>
      </x:c>
      <x:c r="B1469" s="3" t="n">
        <x:v>45894.88902778935</x:v>
      </x:c>
      <x:c r="C1469" t="str">
        <x:v>2025-08</x:v>
      </x:c>
      <x:c r="D1469" t="str">
        <x:v>CUS-0047</x:v>
      </x:c>
      <x:c r="E1469" t="str">
        <x:v>London</x:v>
      </x:c>
      <x:c r="F1469" t="str">
        <x:v>Marketplace</x:v>
      </x:c>
      <x:c r="G1469" t="str">
        <x:v>Sports</x:v>
      </x:c>
      <x:c r="H1469" t="str">
        <x:v>Yoga Mat</x:v>
      </x:c>
      <x:c r="I1469" t="n">
        <x:v>4</x:v>
      </x:c>
      <x:c r="J1469" s="4" t="n">
        <x:v>28.68</x:v>
      </x:c>
      <x:c r="K1469" s="4" t="n">
        <x:v>12</x:v>
      </x:c>
      <x:c r="L1469" s="5" t="n">
        <x:v>0</x:v>
      </x:c>
      <x:c r="M1469" s="4" t="n">
        <x:f>ROUND(I1469*J1469*(1-L1469),2)</x:f>
        <x:v>114.72</x:v>
      </x:c>
      <x:c r="N1469" s="4" t="n">
        <x:f>ROUND(I1469*K1469,2)</x:f>
        <x:v>48</x:v>
      </x:c>
      <x:c r="O1469" s="4" t="n">
        <x:f>ROUND(M1469-N1469,2)</x:f>
        <x:v>66.72</x:v>
      </x:c>
      <x:c r="P1469" s="6" t="n">
        <x:v>4.1</x:v>
      </x:c>
      <x:c r="Q1469" t="str">
        <x:v>Yes</x:v>
      </x:c>
    </x:row>
    <x:row r="1470">
      <x:c r="A1470" t="str">
        <x:v>ORD-00688</x:v>
      </x:c>
      <x:c r="B1470" s="3" t="n">
        <x:v>45894.89110681713</x:v>
      </x:c>
      <x:c r="C1470" t="str">
        <x:v>2025-08</x:v>
      </x:c>
      <x:c r="D1470" t="str">
        <x:v>CUS-0323</x:v>
      </x:c>
      <x:c r="E1470" t="str">
        <x:v>Wales</x:v>
      </x:c>
      <x:c r="F1470" t="str">
        <x:v>Store</x:v>
      </x:c>
      <x:c r="G1470" t="str">
        <x:v>Home</x:v>
      </x:c>
      <x:c r="H1470" t="str">
        <x:v>Coffee Maker</x:v>
      </x:c>
      <x:c r="I1470" t="n">
        <x:v>1</x:v>
      </x:c>
      <x:c r="J1470" s="4" t="n">
        <x:v>77.6</x:v>
      </x:c>
      <x:c r="K1470" s="4" t="n">
        <x:v>41</x:v>
      </x:c>
      <x:c r="L1470" s="5" t="n">
        <x:v>0.05</x:v>
      </x:c>
      <x:c r="M1470" s="4" t="n">
        <x:f>ROUND(I1470*J1470*(1-L1470),2)</x:f>
        <x:v>73.72</x:v>
      </x:c>
      <x:c r="N1470" s="4" t="n">
        <x:f>ROUND(I1470*K1470,2)</x:f>
        <x:v>41</x:v>
      </x:c>
      <x:c r="O1470" s="4" t="n">
        <x:f>ROUND(M1470-N1470,2)</x:f>
        <x:v>32.72</x:v>
      </x:c>
      <x:c r="P1470" s="6" t="n">
        <x:v>4.5</x:v>
      </x:c>
      <x:c r="Q1470" t="str">
        <x:v>Yes</x:v>
      </x:c>
    </x:row>
    <x:row r="1471">
      <x:c r="A1471" t="str">
        <x:v>ORD-01119</x:v>
      </x:c>
      <x:c r="B1471" s="3" t="n">
        <x:v>45895.24087959491</x:v>
      </x:c>
      <x:c r="C1471" t="str">
        <x:v>2025-08</x:v>
      </x:c>
      <x:c r="D1471" t="str">
        <x:v>CUS-0027</x:v>
      </x:c>
      <x:c r="E1471" t="str">
        <x:v>South East</x:v>
      </x:c>
      <x:c r="F1471" t="str">
        <x:v>Online</x:v>
      </x:c>
      <x:c r="G1471" t="str">
        <x:v>Fashion</x:v>
      </x:c>
      <x:c r="H1471" t="str">
        <x:v>Classic Trainers</x:v>
      </x:c>
      <x:c r="I1471" t="n">
        <x:v>5</x:v>
      </x:c>
      <x:c r="J1471" s="4" t="n">
        <x:v>70.73</x:v>
      </x:c>
      <x:c r="K1471" s="4" t="n">
        <x:v>32</x:v>
      </x:c>
      <x:c r="L1471" s="5" t="n">
        <x:v>0.05</x:v>
      </x:c>
      <x:c r="M1471" s="4" t="n">
        <x:f>ROUND(I1471*J1471*(1-L1471),2)</x:f>
        <x:v>335.97</x:v>
      </x:c>
      <x:c r="N1471" s="4" t="n">
        <x:f>ROUND(I1471*K1471,2)</x:f>
        <x:v>160</x:v>
      </x:c>
      <x:c r="O1471" s="4" t="n">
        <x:f>ROUND(M1471-N1471,2)</x:f>
        <x:v>175.97</x:v>
      </x:c>
      <x:c r="P1471" s="6" t="n">
        <x:v>4.3</x:v>
      </x:c>
      <x:c r="Q1471" t="str">
        <x:v>No</x:v>
      </x:c>
    </x:row>
    <x:row r="1472">
      <x:c r="A1472" t="str">
        <x:v>ORD-00055</x:v>
      </x:c>
      <x:c r="B1472" s="3" t="n">
        <x:v>45896.30687331018</x:v>
      </x:c>
      <x:c r="C1472" t="str">
        <x:v>2025-08</x:v>
      </x:c>
      <x:c r="D1472" t="str">
        <x:v>CUS-0405</x:v>
      </x:c>
      <x:c r="E1472" t="str">
        <x:v>Midlands</x:v>
      </x:c>
      <x:c r="F1472" t="str">
        <x:v>Marketplace</x:v>
      </x:c>
      <x:c r="G1472" t="str">
        <x:v>Sports</x:v>
      </x:c>
      <x:c r="H1472" t="str">
        <x:v>Running Shoes</x:v>
      </x:c>
      <x:c r="I1472" t="n">
        <x:v>1</x:v>
      </x:c>
      <x:c r="J1472" s="4" t="n">
        <x:v>80.41</x:v>
      </x:c>
      <x:c r="K1472" s="4" t="n">
        <x:v>38</x:v>
      </x:c>
      <x:c r="L1472" s="5" t="n">
        <x:v>0</x:v>
      </x:c>
      <x:c r="M1472" s="4" t="n">
        <x:f>ROUND(I1472*J1472*(1-L1472),2)</x:f>
        <x:v>80.41</x:v>
      </x:c>
      <x:c r="N1472" s="4" t="n">
        <x:f>ROUND(I1472*K1472,2)</x:f>
        <x:v>38</x:v>
      </x:c>
      <x:c r="O1472" s="4" t="n">
        <x:f>ROUND(M1472-N1472,2)</x:f>
        <x:v>42.41</x:v>
      </x:c>
      <x:c r="P1472" s="6" t="n">
        <x:v>3.8</x:v>
      </x:c>
      <x:c r="Q1472" t="str">
        <x:v>No</x:v>
      </x:c>
    </x:row>
    <x:row r="1473">
      <x:c r="A1473" t="str">
        <x:v>ORD-00147</x:v>
      </x:c>
      <x:c r="B1473" s="3" t="n">
        <x:v>45896.93696039352</x:v>
      </x:c>
      <x:c r="C1473" t="str">
        <x:v>2025-08</x:v>
      </x:c>
      <x:c r="D1473" t="str">
        <x:v>CUS-0065</x:v>
      </x:c>
      <x:c r="E1473" t="str">
        <x:v>South West</x:v>
      </x:c>
      <x:c r="F1473" t="str">
        <x:v>Marketplace</x:v>
      </x:c>
      <x:c r="G1473" t="str">
        <x:v>Electronics</x:v>
      </x:c>
      <x:c r="H1473" t="str">
        <x:v>Smart Watch</x:v>
      </x:c>
      <x:c r="I1473" t="n">
        <x:v>3</x:v>
      </x:c>
      <x:c r="J1473" s="4" t="n">
        <x:v>167.34</x:v>
      </x:c>
      <x:c r="K1473" s="4" t="n">
        <x:v>92</x:v>
      </x:c>
      <x:c r="L1473" s="5" t="n">
        <x:v>0.1</x:v>
      </x:c>
      <x:c r="M1473" s="4" t="n">
        <x:f>ROUND(I1473*J1473*(1-L1473),2)</x:f>
        <x:v>451.82</x:v>
      </x:c>
      <x:c r="N1473" s="4" t="n">
        <x:f>ROUND(I1473*K1473,2)</x:f>
        <x:v>276</x:v>
      </x:c>
      <x:c r="O1473" s="4" t="n">
        <x:f>ROUND(M1473-N1473,2)</x:f>
        <x:v>175.82</x:v>
      </x:c>
      <x:c r="P1473" s="6" t="n">
        <x:v>3.2</x:v>
      </x:c>
      <x:c r="Q1473" t="str">
        <x:v>No</x:v>
      </x:c>
    </x:row>
    <x:row r="1474">
      <x:c r="A1474" t="str">
        <x:v>ORD-00719</x:v>
      </x:c>
      <x:c r="B1474" s="3" t="n">
        <x:v>45897.25231872685</x:v>
      </x:c>
      <x:c r="C1474" t="str">
        <x:v>2025-08</x:v>
      </x:c>
      <x:c r="D1474" t="str">
        <x:v>CUS-0069</x:v>
      </x:c>
      <x:c r="E1474" t="str">
        <x:v>London</x:v>
      </x:c>
      <x:c r="F1474" t="str">
        <x:v>Online</x:v>
      </x:c>
      <x:c r="G1474" t="str">
        <x:v>Electronics</x:v>
      </x:c>
      <x:c r="H1474" t="str">
        <x:v>Bluetooth Speaker</x:v>
      </x:c>
      <x:c r="I1474" t="n">
        <x:v>4</x:v>
      </x:c>
      <x:c r="J1474" s="4" t="n">
        <x:v>66.4</x:v>
      </x:c>
      <x:c r="K1474" s="4" t="n">
        <x:v>34</x:v>
      </x:c>
      <x:c r="L1474" s="5" t="n">
        <x:v>0</x:v>
      </x:c>
      <x:c r="M1474" s="4" t="n">
        <x:f>ROUND(I1474*J1474*(1-L1474),2)</x:f>
        <x:v>265.6</x:v>
      </x:c>
      <x:c r="N1474" s="4" t="n">
        <x:f>ROUND(I1474*K1474,2)</x:f>
        <x:v>136</x:v>
      </x:c>
      <x:c r="O1474" s="4" t="n">
        <x:f>ROUND(M1474-N1474,2)</x:f>
        <x:v>129.6</x:v>
      </x:c>
      <x:c r="P1474" s="6" t="n">
        <x:v>3.6</x:v>
      </x:c>
      <x:c r="Q1474" t="str">
        <x:v>No</x:v>
      </x:c>
    </x:row>
    <x:row r="1475">
      <x:c r="A1475" t="str">
        <x:v>ORD-01250</x:v>
      </x:c>
      <x:c r="B1475" s="3" t="n">
        <x:v>45897.36778673611</x:v>
      </x:c>
      <x:c r="C1475" t="str">
        <x:v>2025-08</x:v>
      </x:c>
      <x:c r="D1475" t="str">
        <x:v>CUS-0352</x:v>
      </x:c>
      <x:c r="E1475" t="str">
        <x:v>Midlands</x:v>
      </x:c>
      <x:c r="F1475" t="str">
        <x:v>Marketplace</x:v>
      </x:c>
      <x:c r="G1475" t="str">
        <x:v>Sports</x:v>
      </x:c>
      <x:c r="H1475" t="str">
        <x:v>Yoga Mat</x:v>
      </x:c>
      <x:c r="I1475" t="n">
        <x:v>1</x:v>
      </x:c>
      <x:c r="J1475" s="4" t="n">
        <x:v>28.73</x:v>
      </x:c>
      <x:c r="K1475" s="4" t="n">
        <x:v>12</x:v>
      </x:c>
      <x:c r="L1475" s="5" t="n">
        <x:v>0</x:v>
      </x:c>
      <x:c r="M1475" s="4" t="n">
        <x:f>ROUND(I1475*J1475*(1-L1475),2)</x:f>
        <x:v>28.73</x:v>
      </x:c>
      <x:c r="N1475" s="4" t="n">
        <x:f>ROUND(I1475*K1475,2)</x:f>
        <x:v>12</x:v>
      </x:c>
      <x:c r="O1475" s="4" t="n">
        <x:f>ROUND(M1475-N1475,2)</x:f>
        <x:v>16.73</x:v>
      </x:c>
      <x:c r="P1475" s="6" t="n">
        <x:v>3.9</x:v>
      </x:c>
      <x:c r="Q1475" t="str">
        <x:v>No</x:v>
      </x:c>
    </x:row>
    <x:row r="1476">
      <x:c r="A1476" t="str">
        <x:v>ORD-00919</x:v>
      </x:c>
      <x:c r="B1476" s="3" t="n">
        <x:v>45898.37300082176</x:v>
      </x:c>
      <x:c r="C1476" t="str">
        <x:v>2025-08</x:v>
      </x:c>
      <x:c r="D1476" t="str">
        <x:v>CUS-0123</x:v>
      </x:c>
      <x:c r="E1476" t="str">
        <x:v>South West</x:v>
      </x:c>
      <x:c r="F1476" t="str">
        <x:v>Marketplace</x:v>
      </x:c>
      <x:c r="G1476" t="str">
        <x:v>Sports</x:v>
      </x:c>
      <x:c r="H1476" t="str">
        <x:v>Fitness Tracker</x:v>
      </x:c>
      <x:c r="I1476" t="n">
        <x:v>4</x:v>
      </x:c>
      <x:c r="J1476" s="4" t="n">
        <x:v>52.52</x:v>
      </x:c>
      <x:c r="K1476" s="4" t="n">
        <x:v>27</x:v>
      </x:c>
      <x:c r="L1476" s="5" t="n">
        <x:v>0.2</x:v>
      </x:c>
      <x:c r="M1476" s="4" t="n">
        <x:f>ROUND(I1476*J1476*(1-L1476),2)</x:f>
        <x:v>168.06</x:v>
      </x:c>
      <x:c r="N1476" s="4" t="n">
        <x:f>ROUND(I1476*K1476,2)</x:f>
        <x:v>108</x:v>
      </x:c>
      <x:c r="O1476" s="4" t="n">
        <x:f>ROUND(M1476-N1476,2)</x:f>
        <x:v>60.06</x:v>
      </x:c>
      <x:c r="P1476" s="6" t="n">
        <x:v>3.4</x:v>
      </x:c>
      <x:c r="Q1476" t="str">
        <x:v>No</x:v>
      </x:c>
    </x:row>
    <x:row r="1477">
      <x:c r="A1477" t="str">
        <x:v>ORD-01468</x:v>
      </x:c>
      <x:c r="B1477" s="3" t="n">
        <x:v>45899.277233125</x:v>
      </x:c>
      <x:c r="C1477" t="str">
        <x:v>2025-08</x:v>
      </x:c>
      <x:c r="D1477" t="str">
        <x:v>CUS-0408</x:v>
      </x:c>
      <x:c r="E1477" t="str">
        <x:v>Scotland</x:v>
      </x:c>
      <x:c r="F1477" t="str">
        <x:v>Marketplace</x:v>
      </x:c>
      <x:c r="G1477" t="str">
        <x:v>Home</x:v>
      </x:c>
      <x:c r="H1477" t="str">
        <x:v>Desk Lamp</x:v>
      </x:c>
      <x:c r="I1477" t="n">
        <x:v>4</x:v>
      </x:c>
      <x:c r="J1477" s="4" t="n">
        <x:v>35.2</x:v>
      </x:c>
      <x:c r="K1477" s="4" t="n">
        <x:v>17</x:v>
      </x:c>
      <x:c r="L1477" s="5" t="n">
        <x:v>0</x:v>
      </x:c>
      <x:c r="M1477" s="4" t="n">
        <x:f>ROUND(I1477*J1477*(1-L1477),2)</x:f>
        <x:v>140.8</x:v>
      </x:c>
      <x:c r="N1477" s="4" t="n">
        <x:f>ROUND(I1477*K1477,2)</x:f>
        <x:v>68</x:v>
      </x:c>
      <x:c r="O1477" s="4" t="n">
        <x:f>ROUND(M1477-N1477,2)</x:f>
        <x:v>72.8</x:v>
      </x:c>
      <x:c r="P1477" s="6" t="n">
        <x:v>4.4</x:v>
      </x:c>
      <x:c r="Q1477" t="str">
        <x:v>Yes</x:v>
      </x:c>
    </x:row>
    <x:row r="1478">
      <x:c r="A1478" t="str">
        <x:v>ORD-01551</x:v>
      </x:c>
      <x:c r="B1478" s="3" t="n">
        <x:v>45899.55644266204</x:v>
      </x:c>
      <x:c r="C1478" t="str">
        <x:v>2025-08</x:v>
      </x:c>
      <x:c r="D1478" t="str">
        <x:v>CUS-0525</x:v>
      </x:c>
      <x:c r="E1478" t="str">
        <x:v>South East</x:v>
      </x:c>
      <x:c r="F1478" t="str">
        <x:v>Store</x:v>
      </x:c>
      <x:c r="G1478" t="str">
        <x:v>Books</x:v>
      </x:c>
      <x:c r="H1478" t="str">
        <x:v>Business Intelligence Guide</x:v>
      </x:c>
      <x:c r="I1478" t="n">
        <x:v>5</x:v>
      </x:c>
      <x:c r="J1478" s="4" t="n">
        <x:v>35.35</x:v>
      </x:c>
      <x:c r="K1478" s="4" t="n">
        <x:v>12</x:v>
      </x:c>
      <x:c r="L1478" s="5" t="n">
        <x:v>0.1</x:v>
      </x:c>
      <x:c r="M1478" s="4" t="n">
        <x:f>ROUND(I1478*J1478*(1-L1478),2)</x:f>
        <x:v>159.08</x:v>
      </x:c>
      <x:c r="N1478" s="4" t="n">
        <x:f>ROUND(I1478*K1478,2)</x:f>
        <x:v>60</x:v>
      </x:c>
      <x:c r="O1478" s="4" t="n">
        <x:f>ROUND(M1478-N1478,2)</x:f>
        <x:v>99.08</x:v>
      </x:c>
      <x:c r="P1478" s="6" t="n">
        <x:v>3.9</x:v>
      </x:c>
      <x:c r="Q1478" t="str">
        <x:v>No</x:v>
      </x:c>
    </x:row>
    <x:row r="1479">
      <x:c r="A1479" t="str">
        <x:v>ORD-00453</x:v>
      </x:c>
      <x:c r="B1479" s="3" t="n">
        <x:v>45899.94066659722</x:v>
      </x:c>
      <x:c r="C1479" t="str">
        <x:v>2025-08</x:v>
      </x:c>
      <x:c r="D1479" t="str">
        <x:v>CUS-0613</x:v>
      </x:c>
      <x:c r="E1479" t="str">
        <x:v>Scotland</x:v>
      </x:c>
      <x:c r="F1479" t="str">
        <x:v>Marketplace</x:v>
      </x:c>
      <x:c r="G1479" t="str">
        <x:v>Electronics</x:v>
      </x:c>
      <x:c r="H1479" t="str">
        <x:v>Wireless Headphones</x:v>
      </x:c>
      <x:c r="I1479" t="n">
        <x:v>4</x:v>
      </x:c>
      <x:c r="J1479" s="4" t="n">
        <x:v>88.69</x:v>
      </x:c>
      <x:c r="K1479" s="4" t="n">
        <x:v>48</x:v>
      </x:c>
      <x:c r="L1479" s="5" t="n">
        <x:v>0.2</x:v>
      </x:c>
      <x:c r="M1479" s="4" t="n">
        <x:f>ROUND(I1479*J1479*(1-L1479),2)</x:f>
        <x:v>283.81</x:v>
      </x:c>
      <x:c r="N1479" s="4" t="n">
        <x:f>ROUND(I1479*K1479,2)</x:f>
        <x:v>192</x:v>
      </x:c>
      <x:c r="O1479" s="4" t="n">
        <x:f>ROUND(M1479-N1479,2)</x:f>
        <x:v>91.81</x:v>
      </x:c>
      <x:c r="P1479" s="6" t="n">
        <x:v>5</x:v>
      </x:c>
      <x:c r="Q1479" t="str">
        <x:v>No</x:v>
      </x:c>
    </x:row>
    <x:row r="1480">
      <x:c r="A1480" t="str">
        <x:v>ORD-00732</x:v>
      </x:c>
      <x:c r="B1480" s="3" t="n">
        <x:v>45900.146340520834</x:v>
      </x:c>
      <x:c r="C1480" t="str">
        <x:v>2025-08</x:v>
      </x:c>
      <x:c r="D1480" t="str">
        <x:v>CUS-0538</x:v>
      </x:c>
      <x:c r="E1480" t="str">
        <x:v>Wales</x:v>
      </x:c>
      <x:c r="F1480" t="str">
        <x:v>Marketplace</x:v>
      </x:c>
      <x:c r="G1480" t="str">
        <x:v>Electronics</x:v>
      </x:c>
      <x:c r="H1480" t="str">
        <x:v>Wireless Headphones</x:v>
      </x:c>
      <x:c r="I1480" t="n">
        <x:v>1</x:v>
      </x:c>
      <x:c r="J1480" s="4" t="n">
        <x:v>88.57</x:v>
      </x:c>
      <x:c r="K1480" s="4" t="n">
        <x:v>48</x:v>
      </x:c>
      <x:c r="L1480" s="5" t="n">
        <x:v>0.15</x:v>
      </x:c>
      <x:c r="M1480" s="4" t="n">
        <x:f>ROUND(I1480*J1480*(1-L1480),2)</x:f>
        <x:v>75.28</x:v>
      </x:c>
      <x:c r="N1480" s="4" t="n">
        <x:f>ROUND(I1480*K1480,2)</x:f>
        <x:v>48</x:v>
      </x:c>
      <x:c r="O1480" s="4" t="n">
        <x:f>ROUND(M1480-N1480,2)</x:f>
        <x:v>27.28</x:v>
      </x:c>
      <x:c r="P1480" s="6" t="n">
        <x:v>4.2</x:v>
      </x:c>
      <x:c r="Q1480" t="str">
        <x:v>No</x:v>
      </x:c>
    </x:row>
    <x:row r="1481">
      <x:c r="A1481" t="str">
        <x:v>ORD-01257</x:v>
      </x:c>
      <x:c r="B1481" s="3" t="n">
        <x:v>45900.28077474537</x:v>
      </x:c>
      <x:c r="C1481" t="str">
        <x:v>2025-08</x:v>
      </x:c>
      <x:c r="D1481" t="str">
        <x:v>CUS-0548</x:v>
      </x:c>
      <x:c r="E1481" t="str">
        <x:v>Midlands</x:v>
      </x:c>
      <x:c r="F1481" t="str">
        <x:v>Online</x:v>
      </x:c>
      <x:c r="G1481" t="str">
        <x:v>Sports</x:v>
      </x:c>
      <x:c r="H1481" t="str">
        <x:v>Fitness Tracker</x:v>
      </x:c>
      <x:c r="I1481" t="n">
        <x:v>5</x:v>
      </x:c>
      <x:c r="J1481" s="4" t="n">
        <x:v>53.83</x:v>
      </x:c>
      <x:c r="K1481" s="4" t="n">
        <x:v>27</x:v>
      </x:c>
      <x:c r="L1481" s="5" t="n">
        <x:v>0</x:v>
      </x:c>
      <x:c r="M1481" s="4" t="n">
        <x:f>ROUND(I1481*J1481*(1-L1481),2)</x:f>
        <x:v>269.15</x:v>
      </x:c>
      <x:c r="N1481" s="4" t="n">
        <x:f>ROUND(I1481*K1481,2)</x:f>
        <x:v>135</x:v>
      </x:c>
      <x:c r="O1481" s="4" t="n">
        <x:f>ROUND(M1481-N1481,2)</x:f>
        <x:v>134.15</x:v>
      </x:c>
      <x:c r="P1481" s="6" t="n">
        <x:v>3.8</x:v>
      </x:c>
      <x:c r="Q1481" t="str">
        <x:v>No</x:v>
      </x:c>
    </x:row>
    <x:row r="1482">
      <x:c r="A1482" t="str">
        <x:v>ORD-01189</x:v>
      </x:c>
      <x:c r="B1482" s="3" t="n">
        <x:v>45901.13008309028</x:v>
      </x:c>
      <x:c r="C1482" t="str">
        <x:v>2025-09</x:v>
      </x:c>
      <x:c r="D1482" t="str">
        <x:v>CUS-0280</x:v>
      </x:c>
      <x:c r="E1482" t="str">
        <x:v>Midlands</x:v>
      </x:c>
      <x:c r="F1482" t="str">
        <x:v>Marketplace</x:v>
      </x:c>
      <x:c r="G1482" t="str">
        <x:v>Electronics</x:v>
      </x:c>
      <x:c r="H1482" t="str">
        <x:v>Bluetooth Speaker</x:v>
      </x:c>
      <x:c r="I1482" t="n">
        <x:v>2</x:v>
      </x:c>
      <x:c r="J1482" s="4" t="n">
        <x:v>62.44</x:v>
      </x:c>
      <x:c r="K1482" s="4" t="n">
        <x:v>34</x:v>
      </x:c>
      <x:c r="L1482" s="5" t="n">
        <x:v>0.05</x:v>
      </x:c>
      <x:c r="M1482" s="4" t="n">
        <x:f>ROUND(I1482*J1482*(1-L1482),2)</x:f>
        <x:v>118.64</x:v>
      </x:c>
      <x:c r="N1482" s="4" t="n">
        <x:f>ROUND(I1482*K1482,2)</x:f>
        <x:v>68</x:v>
      </x:c>
      <x:c r="O1482" s="4" t="n">
        <x:f>ROUND(M1482-N1482,2)</x:f>
        <x:v>50.64</x:v>
      </x:c>
      <x:c r="P1482" s="6" t="n">
        <x:v>4.9</x:v>
      </x:c>
      <x:c r="Q1482" t="str">
        <x:v>Yes</x:v>
      </x:c>
    </x:row>
    <x:row r="1483">
      <x:c r="A1483" t="str">
        <x:v>ORD-01264</x:v>
      </x:c>
      <x:c r="B1483" s="3" t="n">
        <x:v>45901.33969071759</x:v>
      </x:c>
      <x:c r="C1483" t="str">
        <x:v>2025-09</x:v>
      </x:c>
      <x:c r="D1483" t="str">
        <x:v>CUS-0155</x:v>
      </x:c>
      <x:c r="E1483" t="str">
        <x:v>South West</x:v>
      </x:c>
      <x:c r="F1483" t="str">
        <x:v>Store</x:v>
      </x:c>
      <x:c r="G1483" t="str">
        <x:v>Electronics</x:v>
      </x:c>
      <x:c r="H1483" t="str">
        <x:v>Smart Watch</x:v>
      </x:c>
      <x:c r="I1483" t="n">
        <x:v>5</x:v>
      </x:c>
      <x:c r="J1483" s="4" t="n">
        <x:v>164.8</x:v>
      </x:c>
      <x:c r="K1483" s="4" t="n">
        <x:v>92</x:v>
      </x:c>
      <x:c r="L1483" s="5" t="n">
        <x:v>0</x:v>
      </x:c>
      <x:c r="M1483" s="4" t="n">
        <x:f>ROUND(I1483*J1483*(1-L1483),2)</x:f>
        <x:v>824</x:v>
      </x:c>
      <x:c r="N1483" s="4" t="n">
        <x:f>ROUND(I1483*K1483,2)</x:f>
        <x:v>460</x:v>
      </x:c>
      <x:c r="O1483" s="4" t="n">
        <x:f>ROUND(M1483-N1483,2)</x:f>
        <x:v>364</x:v>
      </x:c>
      <x:c r="P1483" s="6" t="n">
        <x:v>3.3</x:v>
      </x:c>
      <x:c r="Q1483" t="str">
        <x:v>No</x:v>
      </x:c>
    </x:row>
    <x:row r="1484">
      <x:c r="A1484" t="str">
        <x:v>ORD-00751</x:v>
      </x:c>
      <x:c r="B1484" s="3" t="n">
        <x:v>45901.417675034725</x:v>
      </x:c>
      <x:c r="C1484" t="str">
        <x:v>2025-09</x:v>
      </x:c>
      <x:c r="D1484" t="str">
        <x:v>CUS-0325</x:v>
      </x:c>
      <x:c r="E1484" t="str">
        <x:v>Wales</x:v>
      </x:c>
      <x:c r="F1484" t="str">
        <x:v>Online</x:v>
      </x:c>
      <x:c r="G1484" t="str">
        <x:v>Books</x:v>
      </x:c>
      <x:c r="H1484" t="str">
        <x:v>Data Analytics Handbook</x:v>
      </x:c>
      <x:c r="I1484" t="n">
        <x:v>4</x:v>
      </x:c>
      <x:c r="J1484" s="4" t="n">
        <x:v>40.88</x:v>
      </x:c>
      <x:c r="K1484" s="4" t="n">
        <x:v>14</x:v>
      </x:c>
      <x:c r="L1484" s="5" t="n">
        <x:v>0.05</x:v>
      </x:c>
      <x:c r="M1484" s="4" t="n">
        <x:f>ROUND(I1484*J1484*(1-L1484),2)</x:f>
        <x:v>155.34</x:v>
      </x:c>
      <x:c r="N1484" s="4" t="n">
        <x:f>ROUND(I1484*K1484,2)</x:f>
        <x:v>56</x:v>
      </x:c>
      <x:c r="O1484" s="4" t="n">
        <x:f>ROUND(M1484-N1484,2)</x:f>
        <x:v>99.34</x:v>
      </x:c>
      <x:c r="P1484" s="6" t="n">
        <x:v>4.1</x:v>
      </x:c>
      <x:c r="Q1484" t="str">
        <x:v>No</x:v>
      </x:c>
    </x:row>
    <x:row r="1485">
      <x:c r="A1485" t="str">
        <x:v>ORD-00168</x:v>
      </x:c>
      <x:c r="B1485" s="3" t="n">
        <x:v>45901.606521608795</x:v>
      </x:c>
      <x:c r="C1485" t="str">
        <x:v>2025-09</x:v>
      </x:c>
      <x:c r="D1485" t="str">
        <x:v>CUS-0007</x:v>
      </x:c>
      <x:c r="E1485" t="str">
        <x:v>Scotland</x:v>
      </x:c>
      <x:c r="F1485" t="str">
        <x:v>Store</x:v>
      </x:c>
      <x:c r="G1485" t="str">
        <x:v>Sports</x:v>
      </x:c>
      <x:c r="H1485" t="str">
        <x:v>Yoga Mat</x:v>
      </x:c>
      <x:c r="I1485" t="n">
        <x:v>1</x:v>
      </x:c>
      <x:c r="J1485" s="4" t="n">
        <x:v>31.31</x:v>
      </x:c>
      <x:c r="K1485" s="4" t="n">
        <x:v>12</x:v>
      </x:c>
      <x:c r="L1485" s="5" t="n">
        <x:v>0.1</x:v>
      </x:c>
      <x:c r="M1485" s="4" t="n">
        <x:f>ROUND(I1485*J1485*(1-L1485),2)</x:f>
        <x:v>28.18</x:v>
      </x:c>
      <x:c r="N1485" s="4" t="n">
        <x:f>ROUND(I1485*K1485,2)</x:f>
        <x:v>12</x:v>
      </x:c>
      <x:c r="O1485" s="4" t="n">
        <x:f>ROUND(M1485-N1485,2)</x:f>
        <x:v>16.18</x:v>
      </x:c>
      <x:c r="P1485" s="6" t="n">
        <x:v>3.4</x:v>
      </x:c>
      <x:c r="Q1485" t="str">
        <x:v>No</x:v>
      </x:c>
    </x:row>
    <x:row r="1486">
      <x:c r="A1486" t="str">
        <x:v>ORD-00749</x:v>
      </x:c>
      <x:c r="B1486" s="3" t="n">
        <x:v>45902.27939568287</x:v>
      </x:c>
      <x:c r="C1486" t="str">
        <x:v>2025-09</x:v>
      </x:c>
      <x:c r="D1486" t="str">
        <x:v>CUS-0535</x:v>
      </x:c>
      <x:c r="E1486" t="str">
        <x:v>South West</x:v>
      </x:c>
      <x:c r="F1486" t="str">
        <x:v>Store</x:v>
      </x:c>
      <x:c r="G1486" t="str">
        <x:v>Beauty</x:v>
      </x:c>
      <x:c r="H1486" t="str">
        <x:v>Skin Care Set</x:v>
      </x:c>
      <x:c r="I1486" t="n">
        <x:v>1</x:v>
      </x:c>
      <x:c r="J1486" s="4" t="n">
        <x:v>46.22</x:v>
      </x:c>
      <x:c r="K1486" s="4" t="n">
        <x:v>18</x:v>
      </x:c>
      <x:c r="L1486" s="5" t="n">
        <x:v>0.2</x:v>
      </x:c>
      <x:c r="M1486" s="4" t="n">
        <x:f>ROUND(I1486*J1486*(1-L1486),2)</x:f>
        <x:v>36.98</x:v>
      </x:c>
      <x:c r="N1486" s="4" t="n">
        <x:f>ROUND(I1486*K1486,2)</x:f>
        <x:v>18</x:v>
      </x:c>
      <x:c r="O1486" s="4" t="n">
        <x:f>ROUND(M1486-N1486,2)</x:f>
        <x:v>18.98</x:v>
      </x:c>
      <x:c r="P1486" s="6" t="n">
        <x:v>4.6</x:v>
      </x:c>
      <x:c r="Q1486" t="str">
        <x:v>No</x:v>
      </x:c>
    </x:row>
    <x:row r="1487">
      <x:c r="A1487" t="str">
        <x:v>ORD-00532</x:v>
      </x:c>
      <x:c r="B1487" s="3" t="n">
        <x:v>45902.63508056713</x:v>
      </x:c>
      <x:c r="C1487" t="str">
        <x:v>2025-09</x:v>
      </x:c>
      <x:c r="D1487" t="str">
        <x:v>CUS-0358</x:v>
      </x:c>
      <x:c r="E1487" t="str">
        <x:v>Wales</x:v>
      </x:c>
      <x:c r="F1487" t="str">
        <x:v>Store</x:v>
      </x:c>
      <x:c r="G1487" t="str">
        <x:v>Beauty</x:v>
      </x:c>
      <x:c r="H1487" t="str">
        <x:v>Skin Care Set</x:v>
      </x:c>
      <x:c r="I1487" t="n">
        <x:v>5</x:v>
      </x:c>
      <x:c r="J1487" s="4" t="n">
        <x:v>43.23</x:v>
      </x:c>
      <x:c r="K1487" s="4" t="n">
        <x:v>18</x:v>
      </x:c>
      <x:c r="L1487" s="5" t="n">
        <x:v>0.15</x:v>
      </x:c>
      <x:c r="M1487" s="4" t="n">
        <x:f>ROUND(I1487*J1487*(1-L1487),2)</x:f>
        <x:v>183.73</x:v>
      </x:c>
      <x:c r="N1487" s="4" t="n">
        <x:f>ROUND(I1487*K1487,2)</x:f>
        <x:v>90</x:v>
      </x:c>
      <x:c r="O1487" s="4" t="n">
        <x:f>ROUND(M1487-N1487,2)</x:f>
        <x:v>93.73</x:v>
      </x:c>
      <x:c r="P1487" s="6" t="n">
        <x:v>5</x:v>
      </x:c>
      <x:c r="Q1487" t="str">
        <x:v>Yes</x:v>
      </x:c>
    </x:row>
    <x:row r="1488">
      <x:c r="A1488" t="str">
        <x:v>ORD-00010</x:v>
      </x:c>
      <x:c r="B1488" s="3" t="n">
        <x:v>45903.48175988426</x:v>
      </x:c>
      <x:c r="C1488" t="str">
        <x:v>2025-09</x:v>
      </x:c>
      <x:c r="D1488" t="str">
        <x:v>CUS-0536</x:v>
      </x:c>
      <x:c r="E1488" t="str">
        <x:v>Wales</x:v>
      </x:c>
      <x:c r="F1488" t="str">
        <x:v>Store</x:v>
      </x:c>
      <x:c r="G1488" t="str">
        <x:v>Home</x:v>
      </x:c>
      <x:c r="H1488" t="str">
        <x:v>Desk Lamp</x:v>
      </x:c>
      <x:c r="I1488" t="n">
        <x:v>2</x:v>
      </x:c>
      <x:c r="J1488" s="4" t="n">
        <x:v>34.49</x:v>
      </x:c>
      <x:c r="K1488" s="4" t="n">
        <x:v>17</x:v>
      </x:c>
      <x:c r="L1488" s="5" t="n">
        <x:v>0</x:v>
      </x:c>
      <x:c r="M1488" s="4" t="n">
        <x:f>ROUND(I1488*J1488*(1-L1488),2)</x:f>
        <x:v>68.98</x:v>
      </x:c>
      <x:c r="N1488" s="4" t="n">
        <x:f>ROUND(I1488*K1488,2)</x:f>
        <x:v>34</x:v>
      </x:c>
      <x:c r="O1488" s="4" t="n">
        <x:f>ROUND(M1488-N1488,2)</x:f>
        <x:v>34.98</x:v>
      </x:c>
      <x:c r="P1488" s="6" t="n">
        <x:v>4.5</x:v>
      </x:c>
      <x:c r="Q1488" t="str">
        <x:v>No</x:v>
      </x:c>
    </x:row>
    <x:row r="1489">
      <x:c r="A1489" t="str">
        <x:v>ORD-01005</x:v>
      </x:c>
      <x:c r="B1489" s="3" t="n">
        <x:v>45903.54862295139</x:v>
      </x:c>
      <x:c r="C1489" t="str">
        <x:v>2025-09</x:v>
      </x:c>
      <x:c r="D1489" t="str">
        <x:v>CUS-0324</x:v>
      </x:c>
      <x:c r="E1489" t="str">
        <x:v>Midlands</x:v>
      </x:c>
      <x:c r="F1489" t="str">
        <x:v>Online</x:v>
      </x:c>
      <x:c r="G1489" t="str">
        <x:v>Beauty</x:v>
      </x:c>
      <x:c r="H1489" t="str">
        <x:v>Hair Dryer</x:v>
      </x:c>
      <x:c r="I1489" t="n">
        <x:v>2</x:v>
      </x:c>
      <x:c r="J1489" s="4" t="n">
        <x:v>58.35</x:v>
      </x:c>
      <x:c r="K1489" s="4" t="n">
        <x:v>29</x:v>
      </x:c>
      <x:c r="L1489" s="5" t="n">
        <x:v>0.1</x:v>
      </x:c>
      <x:c r="M1489" s="4" t="n">
        <x:f>ROUND(I1489*J1489*(1-L1489),2)</x:f>
        <x:v>105.03</x:v>
      </x:c>
      <x:c r="N1489" s="4" t="n">
        <x:f>ROUND(I1489*K1489,2)</x:f>
        <x:v>58</x:v>
      </x:c>
      <x:c r="O1489" s="4" t="n">
        <x:f>ROUND(M1489-N1489,2)</x:f>
        <x:v>47.03</x:v>
      </x:c>
      <x:c r="P1489" s="6" t="n">
        <x:v>4.8</x:v>
      </x:c>
      <x:c r="Q1489" t="str">
        <x:v>No</x:v>
      </x:c>
    </x:row>
    <x:row r="1490">
      <x:c r="A1490" t="str">
        <x:v>ORD-00666</x:v>
      </x:c>
      <x:c r="B1490" s="3" t="n">
        <x:v>45904.04606454861</x:v>
      </x:c>
      <x:c r="C1490" t="str">
        <x:v>2025-09</x:v>
      </x:c>
      <x:c r="D1490" t="str">
        <x:v>CUS-0119</x:v>
      </x:c>
      <x:c r="E1490" t="str">
        <x:v>South West</x:v>
      </x:c>
      <x:c r="F1490" t="str">
        <x:v>Store</x:v>
      </x:c>
      <x:c r="G1490" t="str">
        <x:v>Electronics</x:v>
      </x:c>
      <x:c r="H1490" t="str">
        <x:v>Smart Watch</x:v>
      </x:c>
      <x:c r="I1490" t="n">
        <x:v>3</x:v>
      </x:c>
      <x:c r="J1490" s="4" t="n">
        <x:v>155.94</x:v>
      </x:c>
      <x:c r="K1490" s="4" t="n">
        <x:v>92</x:v>
      </x:c>
      <x:c r="L1490" s="5" t="n">
        <x:v>0</x:v>
      </x:c>
      <x:c r="M1490" s="4" t="n">
        <x:f>ROUND(I1490*J1490*(1-L1490),2)</x:f>
        <x:v>467.82</x:v>
      </x:c>
      <x:c r="N1490" s="4" t="n">
        <x:f>ROUND(I1490*K1490,2)</x:f>
        <x:v>276</x:v>
      </x:c>
      <x:c r="O1490" s="4" t="n">
        <x:f>ROUND(M1490-N1490,2)</x:f>
        <x:v>191.82</x:v>
      </x:c>
      <x:c r="P1490" s="6" t="n">
        <x:v>4.4</x:v>
      </x:c>
      <x:c r="Q1490" t="str">
        <x:v>No</x:v>
      </x:c>
    </x:row>
    <x:row r="1491">
      <x:c r="A1491" t="str">
        <x:v>ORD-01146</x:v>
      </x:c>
      <x:c r="B1491" s="3" t="n">
        <x:v>45904.24986101852</x:v>
      </x:c>
      <x:c r="C1491" t="str">
        <x:v>2025-09</x:v>
      </x:c>
      <x:c r="D1491" t="str">
        <x:v>CUS-0517</x:v>
      </x:c>
      <x:c r="E1491" t="str">
        <x:v>South West</x:v>
      </x:c>
      <x:c r="F1491" t="str">
        <x:v>Store</x:v>
      </x:c>
      <x:c r="G1491" t="str">
        <x:v>Beauty</x:v>
      </x:c>
      <x:c r="H1491" t="str">
        <x:v>Skin Care Set</x:v>
      </x:c>
      <x:c r="I1491" t="n">
        <x:v>1</x:v>
      </x:c>
      <x:c r="J1491" s="4" t="n">
        <x:v>44.32</x:v>
      </x:c>
      <x:c r="K1491" s="4" t="n">
        <x:v>18</x:v>
      </x:c>
      <x:c r="L1491" s="5" t="n">
        <x:v>0</x:v>
      </x:c>
      <x:c r="M1491" s="4" t="n">
        <x:f>ROUND(I1491*J1491*(1-L1491),2)</x:f>
        <x:v>44.32</x:v>
      </x:c>
      <x:c r="N1491" s="4" t="n">
        <x:f>ROUND(I1491*K1491,2)</x:f>
        <x:v>18</x:v>
      </x:c>
      <x:c r="O1491" s="4" t="n">
        <x:f>ROUND(M1491-N1491,2)</x:f>
        <x:v>26.32</x:v>
      </x:c>
      <x:c r="P1491" s="6" t="n">
        <x:v>3.8</x:v>
      </x:c>
      <x:c r="Q1491" t="str">
        <x:v>No</x:v>
      </x:c>
    </x:row>
    <x:row r="1492">
      <x:c r="A1492" t="str">
        <x:v>ORD-00473</x:v>
      </x:c>
      <x:c r="B1492" s="3" t="n">
        <x:v>45904.28690655093</x:v>
      </x:c>
      <x:c r="C1492" t="str">
        <x:v>2025-09</x:v>
      </x:c>
      <x:c r="D1492" t="str">
        <x:v>CUS-0498</x:v>
      </x:c>
      <x:c r="E1492" t="str">
        <x:v>South East</x:v>
      </x:c>
      <x:c r="F1492" t="str">
        <x:v>Marketplace</x:v>
      </x:c>
      <x:c r="G1492" t="str">
        <x:v>Home</x:v>
      </x:c>
      <x:c r="H1492" t="str">
        <x:v>Coffee Maker</x:v>
      </x:c>
      <x:c r="I1492" t="n">
        <x:v>4</x:v>
      </x:c>
      <x:c r="J1492" s="4" t="n">
        <x:v>73.96</x:v>
      </x:c>
      <x:c r="K1492" s="4" t="n">
        <x:v>41</x:v>
      </x:c>
      <x:c r="L1492" s="5" t="n">
        <x:v>0.1</x:v>
      </x:c>
      <x:c r="M1492" s="4" t="n">
        <x:f>ROUND(I1492*J1492*(1-L1492),2)</x:f>
        <x:v>266.26</x:v>
      </x:c>
      <x:c r="N1492" s="4" t="n">
        <x:f>ROUND(I1492*K1492,2)</x:f>
        <x:v>164</x:v>
      </x:c>
      <x:c r="O1492" s="4" t="n">
        <x:f>ROUND(M1492-N1492,2)</x:f>
        <x:v>102.26</x:v>
      </x:c>
      <x:c r="P1492" s="6" t="n">
        <x:v>5</x:v>
      </x:c>
      <x:c r="Q1492" t="str">
        <x:v>No</x:v>
      </x:c>
    </x:row>
    <x:row r="1493">
      <x:c r="A1493" t="str">
        <x:v>ORD-00710</x:v>
      </x:c>
      <x:c r="B1493" s="3" t="n">
        <x:v>45904.89052681713</x:v>
      </x:c>
      <x:c r="C1493" t="str">
        <x:v>2025-09</x:v>
      </x:c>
      <x:c r="D1493" t="str">
        <x:v>CUS-0019</x:v>
      </x:c>
      <x:c r="E1493" t="str">
        <x:v>Midlands</x:v>
      </x:c>
      <x:c r="F1493" t="str">
        <x:v>Marketplace</x:v>
      </x:c>
      <x:c r="G1493" t="str">
        <x:v>Fashion</x:v>
      </x:c>
      <x:c r="H1493" t="str">
        <x:v>Winter Jacket</x:v>
      </x:c>
      <x:c r="I1493" t="n">
        <x:v>5</x:v>
      </x:c>
      <x:c r="J1493" s="4" t="n">
        <x:v>96.47</x:v>
      </x:c>
      <x:c r="K1493" s="4" t="n">
        <x:v>46</x:v>
      </x:c>
      <x:c r="L1493" s="5" t="n">
        <x:v>0.05</x:v>
      </x:c>
      <x:c r="M1493" s="4" t="n">
        <x:f>ROUND(I1493*J1493*(1-L1493),2)</x:f>
        <x:v>458.23</x:v>
      </x:c>
      <x:c r="N1493" s="4" t="n">
        <x:f>ROUND(I1493*K1493,2)</x:f>
        <x:v>230</x:v>
      </x:c>
      <x:c r="O1493" s="4" t="n">
        <x:f>ROUND(M1493-N1493,2)</x:f>
        <x:v>228.23</x:v>
      </x:c>
      <x:c r="P1493" s="6" t="n">
        <x:v>5</x:v>
      </x:c>
      <x:c r="Q1493" t="str">
        <x:v>No</x:v>
      </x:c>
    </x:row>
    <x:row r="1494">
      <x:c r="A1494" t="str">
        <x:v>ORD-00350</x:v>
      </x:c>
      <x:c r="B1494" s="3" t="n">
        <x:v>45905.08977363426</x:v>
      </x:c>
      <x:c r="C1494" t="str">
        <x:v>2025-09</x:v>
      </x:c>
      <x:c r="D1494" t="str">
        <x:v>CUS-0418</x:v>
      </x:c>
      <x:c r="E1494" t="str">
        <x:v>Wales</x:v>
      </x:c>
      <x:c r="F1494" t="str">
        <x:v>Store</x:v>
      </x:c>
      <x:c r="G1494" t="str">
        <x:v>Books</x:v>
      </x:c>
      <x:c r="H1494" t="str">
        <x:v>Data Analytics Handbook</x:v>
      </x:c>
      <x:c r="I1494" t="n">
        <x:v>2</x:v>
      </x:c>
      <x:c r="J1494" s="4" t="n">
        <x:v>41.61</x:v>
      </x:c>
      <x:c r="K1494" s="4" t="n">
        <x:v>14</x:v>
      </x:c>
      <x:c r="L1494" s="5" t="n">
        <x:v>0.15</x:v>
      </x:c>
      <x:c r="M1494" s="4" t="n">
        <x:f>ROUND(I1494*J1494*(1-L1494),2)</x:f>
        <x:v>70.74</x:v>
      </x:c>
      <x:c r="N1494" s="4" t="n">
        <x:f>ROUND(I1494*K1494,2)</x:f>
        <x:v>28</x:v>
      </x:c>
      <x:c r="O1494" s="4" t="n">
        <x:f>ROUND(M1494-N1494,2)</x:f>
        <x:v>42.74</x:v>
      </x:c>
      <x:c r="P1494" s="6" t="n">
        <x:v>4.5</x:v>
      </x:c>
      <x:c r="Q1494" t="str">
        <x:v>No</x:v>
      </x:c>
    </x:row>
    <x:row r="1495">
      <x:c r="A1495" t="str">
        <x:v>ORD-01199</x:v>
      </x:c>
      <x:c r="B1495" s="3" t="n">
        <x:v>45905.121342847226</x:v>
      </x:c>
      <x:c r="C1495" t="str">
        <x:v>2025-09</x:v>
      </x:c>
      <x:c r="D1495" t="str">
        <x:v>CUS-0391</x:v>
      </x:c>
      <x:c r="E1495" t="str">
        <x:v>North East</x:v>
      </x:c>
      <x:c r="F1495" t="str">
        <x:v>Online</x:v>
      </x:c>
      <x:c r="G1495" t="str">
        <x:v>Books</x:v>
      </x:c>
      <x:c r="H1495" t="str">
        <x:v>Data Analytics Handbook</x:v>
      </x:c>
      <x:c r="I1495" t="n">
        <x:v>3</x:v>
      </x:c>
      <x:c r="J1495" s="4" t="n">
        <x:v>38.99</x:v>
      </x:c>
      <x:c r="K1495" s="4" t="n">
        <x:v>14</x:v>
      </x:c>
      <x:c r="L1495" s="5" t="n">
        <x:v>0</x:v>
      </x:c>
      <x:c r="M1495" s="4" t="n">
        <x:f>ROUND(I1495*J1495*(1-L1495),2)</x:f>
        <x:v>116.97</x:v>
      </x:c>
      <x:c r="N1495" s="4" t="n">
        <x:f>ROUND(I1495*K1495,2)</x:f>
        <x:v>42</x:v>
      </x:c>
      <x:c r="O1495" s="4" t="n">
        <x:f>ROUND(M1495-N1495,2)</x:f>
        <x:v>74.97</x:v>
      </x:c>
      <x:c r="P1495" s="6" t="n">
        <x:v>4.7</x:v>
      </x:c>
      <x:c r="Q1495" t="str">
        <x:v>No</x:v>
      </x:c>
    </x:row>
    <x:row r="1496">
      <x:c r="A1496" t="str">
        <x:v>ORD-01608</x:v>
      </x:c>
      <x:c r="B1496" s="3" t="n">
        <x:v>45905.73484972222</x:v>
      </x:c>
      <x:c r="C1496" t="str">
        <x:v>2025-09</x:v>
      </x:c>
      <x:c r="D1496" t="str">
        <x:v>CUS-0260</x:v>
      </x:c>
      <x:c r="E1496" t="str">
        <x:v>Wales</x:v>
      </x:c>
      <x:c r="F1496" t="str">
        <x:v>Online</x:v>
      </x:c>
      <x:c r="G1496" t="str">
        <x:v>Beauty</x:v>
      </x:c>
      <x:c r="H1496" t="str">
        <x:v>Skin Care Set</x:v>
      </x:c>
      <x:c r="I1496" t="n">
        <x:v>5</x:v>
      </x:c>
      <x:c r="J1496" s="4" t="n">
        <x:v>45.94</x:v>
      </x:c>
      <x:c r="K1496" s="4" t="n">
        <x:v>18</x:v>
      </x:c>
      <x:c r="L1496" s="5" t="n">
        <x:v>0</x:v>
      </x:c>
      <x:c r="M1496" s="4" t="n">
        <x:f>ROUND(I1496*J1496*(1-L1496),2)</x:f>
        <x:v>229.7</x:v>
      </x:c>
      <x:c r="N1496" s="4" t="n">
        <x:f>ROUND(I1496*K1496,2)</x:f>
        <x:v>90</x:v>
      </x:c>
      <x:c r="O1496" s="4" t="n">
        <x:f>ROUND(M1496-N1496,2)</x:f>
        <x:v>139.7</x:v>
      </x:c>
      <x:c r="P1496" s="6" t="n">
        <x:v>4.6</x:v>
      </x:c>
      <x:c r="Q1496" t="str">
        <x:v>No</x:v>
      </x:c>
    </x:row>
    <x:row r="1497">
      <x:c r="A1497" t="str">
        <x:v>ORD-00876</x:v>
      </x:c>
      <x:c r="B1497" s="3" t="n">
        <x:v>45906.03600429398</x:v>
      </x:c>
      <x:c r="C1497" t="str">
        <x:v>2025-09</x:v>
      </x:c>
      <x:c r="D1497" t="str">
        <x:v>CUS-0324</x:v>
      </x:c>
      <x:c r="E1497" t="str">
        <x:v>South East</x:v>
      </x:c>
      <x:c r="F1497" t="str">
        <x:v>Online</x:v>
      </x:c>
      <x:c r="G1497" t="str">
        <x:v>Sports</x:v>
      </x:c>
      <x:c r="H1497" t="str">
        <x:v>Yoga Mat</x:v>
      </x:c>
      <x:c r="I1497" t="n">
        <x:v>1</x:v>
      </x:c>
      <x:c r="J1497" s="4" t="n">
        <x:v>28.74</x:v>
      </x:c>
      <x:c r="K1497" s="4" t="n">
        <x:v>12</x:v>
      </x:c>
      <x:c r="L1497" s="5" t="n">
        <x:v>0</x:v>
      </x:c>
      <x:c r="M1497" s="4" t="n">
        <x:f>ROUND(I1497*J1497*(1-L1497),2)</x:f>
        <x:v>28.74</x:v>
      </x:c>
      <x:c r="N1497" s="4" t="n">
        <x:f>ROUND(I1497*K1497,2)</x:f>
        <x:v>12</x:v>
      </x:c>
      <x:c r="O1497" s="4" t="n">
        <x:f>ROUND(M1497-N1497,2)</x:f>
        <x:v>16.74</x:v>
      </x:c>
      <x:c r="P1497" s="6" t="n">
        <x:v>4.4</x:v>
      </x:c>
      <x:c r="Q1497" t="str">
        <x:v>No</x:v>
      </x:c>
    </x:row>
    <x:row r="1498">
      <x:c r="A1498" t="str">
        <x:v>ORD-00808</x:v>
      </x:c>
      <x:c r="B1498" s="3" t="n">
        <x:v>45906.45564854167</x:v>
      </x:c>
      <x:c r="C1498" t="str">
        <x:v>2025-09</x:v>
      </x:c>
      <x:c r="D1498" t="str">
        <x:v>CUS-0037</x:v>
      </x:c>
      <x:c r="E1498" t="str">
        <x:v>South East</x:v>
      </x:c>
      <x:c r="F1498" t="str">
        <x:v>Store</x:v>
      </x:c>
      <x:c r="G1498" t="str">
        <x:v>Home</x:v>
      </x:c>
      <x:c r="H1498" t="str">
        <x:v>Desk Lamp</x:v>
      </x:c>
      <x:c r="I1498" t="n">
        <x:v>2</x:v>
      </x:c>
      <x:c r="J1498" s="4" t="n">
        <x:v>36.39</x:v>
      </x:c>
      <x:c r="K1498" s="4" t="n">
        <x:v>17</x:v>
      </x:c>
      <x:c r="L1498" s="5" t="n">
        <x:v>0.15</x:v>
      </x:c>
      <x:c r="M1498" s="4" t="n">
        <x:f>ROUND(I1498*J1498*(1-L1498),2)</x:f>
        <x:v>61.86</x:v>
      </x:c>
      <x:c r="N1498" s="4" t="n">
        <x:f>ROUND(I1498*K1498,2)</x:f>
        <x:v>34</x:v>
      </x:c>
      <x:c r="O1498" s="4" t="n">
        <x:f>ROUND(M1498-N1498,2)</x:f>
        <x:v>27.86</x:v>
      </x:c>
      <x:c r="P1498" s="6" t="n">
        <x:v>3.4</x:v>
      </x:c>
      <x:c r="Q1498" t="str">
        <x:v>Yes</x:v>
      </x:c>
    </x:row>
    <x:row r="1499">
      <x:c r="A1499" t="str">
        <x:v>ORD-01499</x:v>
      </x:c>
      <x:c r="B1499" s="3" t="n">
        <x:v>45906.63299790509</x:v>
      </x:c>
      <x:c r="C1499" t="str">
        <x:v>2025-09</x:v>
      </x:c>
      <x:c r="D1499" t="str">
        <x:v>CUS-0297</x:v>
      </x:c>
      <x:c r="E1499" t="str">
        <x:v>London</x:v>
      </x:c>
      <x:c r="F1499" t="str">
        <x:v>Online</x:v>
      </x:c>
      <x:c r="G1499" t="str">
        <x:v>Fashion</x:v>
      </x:c>
      <x:c r="H1499" t="str">
        <x:v>Classic Trainers</x:v>
      </x:c>
      <x:c r="I1499" t="n">
        <x:v>1</x:v>
      </x:c>
      <x:c r="J1499" s="4" t="n">
        <x:v>67.77</x:v>
      </x:c>
      <x:c r="K1499" s="4" t="n">
        <x:v>32</x:v>
      </x:c>
      <x:c r="L1499" s="5" t="n">
        <x:v>0.05</x:v>
      </x:c>
      <x:c r="M1499" s="4" t="n">
        <x:f>ROUND(I1499*J1499*(1-L1499),2)</x:f>
        <x:v>64.38</x:v>
      </x:c>
      <x:c r="N1499" s="4" t="n">
        <x:f>ROUND(I1499*K1499,2)</x:f>
        <x:v>32</x:v>
      </x:c>
      <x:c r="O1499" s="4" t="n">
        <x:f>ROUND(M1499-N1499,2)</x:f>
        <x:v>32.38</x:v>
      </x:c>
      <x:c r="P1499" s="6" t="n">
        <x:v>3.9</x:v>
      </x:c>
      <x:c r="Q1499" t="str">
        <x:v>No</x:v>
      </x:c>
    </x:row>
    <x:row r="1500">
      <x:c r="A1500" t="str">
        <x:v>ORD-00281</x:v>
      </x:c>
      <x:c r="B1500" s="3" t="n">
        <x:v>45906.78456915509</x:v>
      </x:c>
      <x:c r="C1500" t="str">
        <x:v>2025-09</x:v>
      </x:c>
      <x:c r="D1500" t="str">
        <x:v>CUS-0145</x:v>
      </x:c>
      <x:c r="E1500" t="str">
        <x:v>Scotland</x:v>
      </x:c>
      <x:c r="F1500" t="str">
        <x:v>Online</x:v>
      </x:c>
      <x:c r="G1500" t="str">
        <x:v>Home</x:v>
      </x:c>
      <x:c r="H1500" t="str">
        <x:v>Desk Lamp</x:v>
      </x:c>
      <x:c r="I1500" t="n">
        <x:v>1</x:v>
      </x:c>
      <x:c r="J1500" s="4" t="n">
        <x:v>34.43</x:v>
      </x:c>
      <x:c r="K1500" s="4" t="n">
        <x:v>17</x:v>
      </x:c>
      <x:c r="L1500" s="5" t="n">
        <x:v>0</x:v>
      </x:c>
      <x:c r="M1500" s="4" t="n">
        <x:f>ROUND(I1500*J1500*(1-L1500),2)</x:f>
        <x:v>34.43</x:v>
      </x:c>
      <x:c r="N1500" s="4" t="n">
        <x:f>ROUND(I1500*K1500,2)</x:f>
        <x:v>17</x:v>
      </x:c>
      <x:c r="O1500" s="4" t="n">
        <x:f>ROUND(M1500-N1500,2)</x:f>
        <x:v>17.43</x:v>
      </x:c>
      <x:c r="P1500" s="6" t="n">
        <x:v>3.8</x:v>
      </x:c>
      <x:c r="Q1500" t="str">
        <x:v>No</x:v>
      </x:c>
    </x:row>
    <x:row r="1501">
      <x:c r="A1501" t="str">
        <x:v>ORD-00993</x:v>
      </x:c>
      <x:c r="B1501" s="3" t="n">
        <x:v>45907.35200392361</x:v>
      </x:c>
      <x:c r="C1501" t="str">
        <x:v>2025-09</x:v>
      </x:c>
      <x:c r="D1501" t="str">
        <x:v>CUS-0334</x:v>
      </x:c>
      <x:c r="E1501" t="str">
        <x:v>South East</x:v>
      </x:c>
      <x:c r="F1501" t="str">
        <x:v>Marketplace</x:v>
      </x:c>
      <x:c r="G1501" t="str">
        <x:v>Electronics</x:v>
      </x:c>
      <x:c r="H1501" t="str">
        <x:v>Bluetooth Speaker</x:v>
      </x:c>
      <x:c r="I1501" t="n">
        <x:v>4</x:v>
      </x:c>
      <x:c r="J1501" s="4" t="n">
        <x:v>67.74</x:v>
      </x:c>
      <x:c r="K1501" s="4" t="n">
        <x:v>34</x:v>
      </x:c>
      <x:c r="L1501" s="5" t="n">
        <x:v>0.2</x:v>
      </x:c>
      <x:c r="M1501" s="4" t="n">
        <x:f>ROUND(I1501*J1501*(1-L1501),2)</x:f>
        <x:v>216.77</x:v>
      </x:c>
      <x:c r="N1501" s="4" t="n">
        <x:f>ROUND(I1501*K1501,2)</x:f>
        <x:v>136</x:v>
      </x:c>
      <x:c r="O1501" s="4" t="n">
        <x:f>ROUND(M1501-N1501,2)</x:f>
        <x:v>80.77</x:v>
      </x:c>
      <x:c r="P1501" s="6" t="n">
        <x:v>5</x:v>
      </x:c>
      <x:c r="Q1501" t="str">
        <x:v>No</x:v>
      </x:c>
    </x:row>
    <x:row r="1502">
      <x:c r="A1502" t="str">
        <x:v>ORD-00092</x:v>
      </x:c>
      <x:c r="B1502" s="3" t="n">
        <x:v>45907.60989287037</x:v>
      </x:c>
      <x:c r="C1502" t="str">
        <x:v>2025-09</x:v>
      </x:c>
      <x:c r="D1502" t="str">
        <x:v>CUS-0274</x:v>
      </x:c>
      <x:c r="E1502" t="str">
        <x:v>North West</x:v>
      </x:c>
      <x:c r="F1502" t="str">
        <x:v>Online</x:v>
      </x:c>
      <x:c r="G1502" t="str">
        <x:v>Home</x:v>
      </x:c>
      <x:c r="H1502" t="str">
        <x:v>Coffee Maker</x:v>
      </x:c>
      <x:c r="I1502" t="n">
        <x:v>5</x:v>
      </x:c>
      <x:c r="J1502" s="4" t="n">
        <x:v>75.98</x:v>
      </x:c>
      <x:c r="K1502" s="4" t="n">
        <x:v>41</x:v>
      </x:c>
      <x:c r="L1502" s="5" t="n">
        <x:v>0.1</x:v>
      </x:c>
      <x:c r="M1502" s="4" t="n">
        <x:f>ROUND(I1502*J1502*(1-L1502),2)</x:f>
        <x:v>341.91</x:v>
      </x:c>
      <x:c r="N1502" s="4" t="n">
        <x:f>ROUND(I1502*K1502,2)</x:f>
        <x:v>205</x:v>
      </x:c>
      <x:c r="O1502" s="4" t="n">
        <x:f>ROUND(M1502-N1502,2)</x:f>
        <x:v>136.91</x:v>
      </x:c>
      <x:c r="P1502" s="6" t="n">
        <x:v>3.5</x:v>
      </x:c>
      <x:c r="Q1502" t="str">
        <x:v>No</x:v>
      </x:c>
    </x:row>
    <x:row r="1503">
      <x:c r="A1503" t="str">
        <x:v>ORD-00043</x:v>
      </x:c>
      <x:c r="B1503" s="3" t="n">
        <x:v>45907.8647890625</x:v>
      </x:c>
      <x:c r="C1503" t="str">
        <x:v>2025-09</x:v>
      </x:c>
      <x:c r="D1503" t="str">
        <x:v>CUS-0400</x:v>
      </x:c>
      <x:c r="E1503" t="str">
        <x:v>Wales</x:v>
      </x:c>
      <x:c r="F1503" t="str">
        <x:v>Online</x:v>
      </x:c>
      <x:c r="G1503" t="str">
        <x:v>Sports</x:v>
      </x:c>
      <x:c r="H1503" t="str">
        <x:v>Running Shoes</x:v>
      </x:c>
      <x:c r="I1503" t="n">
        <x:v>1</x:v>
      </x:c>
      <x:c r="J1503" s="4" t="n">
        <x:v>80.46</x:v>
      </x:c>
      <x:c r="K1503" s="4" t="n">
        <x:v>38</x:v>
      </x:c>
      <x:c r="L1503" s="5" t="n">
        <x:v>0</x:v>
      </x:c>
      <x:c r="M1503" s="4" t="n">
        <x:f>ROUND(I1503*J1503*(1-L1503),2)</x:f>
        <x:v>80.46</x:v>
      </x:c>
      <x:c r="N1503" s="4" t="n">
        <x:f>ROUND(I1503*K1503,2)</x:f>
        <x:v>38</x:v>
      </x:c>
      <x:c r="O1503" s="4" t="n">
        <x:f>ROUND(M1503-N1503,2)</x:f>
        <x:v>42.46</x:v>
      </x:c>
      <x:c r="P1503" s="6" t="n">
        <x:v>3.7</x:v>
      </x:c>
      <x:c r="Q1503" t="str">
        <x:v>No</x:v>
      </x:c>
    </x:row>
    <x:row r="1504">
      <x:c r="A1504" t="str">
        <x:v>ORD-00320</x:v>
      </x:c>
      <x:c r="B1504" s="3" t="n">
        <x:v>45907.8734753588</x:v>
      </x:c>
      <x:c r="C1504" t="str">
        <x:v>2025-09</x:v>
      </x:c>
      <x:c r="D1504" t="str">
        <x:v>CUS-0139</x:v>
      </x:c>
      <x:c r="E1504" t="str">
        <x:v>South West</x:v>
      </x:c>
      <x:c r="F1504" t="str">
        <x:v>Store</x:v>
      </x:c>
      <x:c r="G1504" t="str">
        <x:v>Home</x:v>
      </x:c>
      <x:c r="H1504" t="str">
        <x:v>Coffee Maker</x:v>
      </x:c>
      <x:c r="I1504" t="n">
        <x:v>4</x:v>
      </x:c>
      <x:c r="J1504" s="4" t="n">
        <x:v>73.62</x:v>
      </x:c>
      <x:c r="K1504" s="4" t="n">
        <x:v>41</x:v>
      </x:c>
      <x:c r="L1504" s="5" t="n">
        <x:v>0.15</x:v>
      </x:c>
      <x:c r="M1504" s="4" t="n">
        <x:f>ROUND(I1504*J1504*(1-L1504),2)</x:f>
        <x:v>250.31</x:v>
      </x:c>
      <x:c r="N1504" s="4" t="n">
        <x:f>ROUND(I1504*K1504,2)</x:f>
        <x:v>164</x:v>
      </x:c>
      <x:c r="O1504" s="4" t="n">
        <x:f>ROUND(M1504-N1504,2)</x:f>
        <x:v>86.31</x:v>
      </x:c>
      <x:c r="P1504" s="6" t="n">
        <x:v>4.6</x:v>
      </x:c>
      <x:c r="Q1504" t="str">
        <x:v>No</x:v>
      </x:c>
    </x:row>
    <x:row r="1505">
      <x:c r="A1505" t="str">
        <x:v>ORD-00673</x:v>
      </x:c>
      <x:c r="B1505" s="3" t="n">
        <x:v>45908.79177408565</x:v>
      </x:c>
      <x:c r="C1505" t="str">
        <x:v>2025-09</x:v>
      </x:c>
      <x:c r="D1505" t="str">
        <x:v>CUS-0191</x:v>
      </x:c>
      <x:c r="E1505" t="str">
        <x:v>South West</x:v>
      </x:c>
      <x:c r="F1505" t="str">
        <x:v>Marketplace</x:v>
      </x:c>
      <x:c r="G1505" t="str">
        <x:v>Electronics</x:v>
      </x:c>
      <x:c r="H1505" t="str">
        <x:v>Smart Watch</x:v>
      </x:c>
      <x:c r="I1505" t="n">
        <x:v>2</x:v>
      </x:c>
      <x:c r="J1505" s="4" t="n">
        <x:v>156.8</x:v>
      </x:c>
      <x:c r="K1505" s="4" t="n">
        <x:v>92</x:v>
      </x:c>
      <x:c r="L1505" s="5" t="n">
        <x:v>0.05</x:v>
      </x:c>
      <x:c r="M1505" s="4" t="n">
        <x:f>ROUND(I1505*J1505*(1-L1505),2)</x:f>
        <x:v>297.92</x:v>
      </x:c>
      <x:c r="N1505" s="4" t="n">
        <x:f>ROUND(I1505*K1505,2)</x:f>
        <x:v>184</x:v>
      </x:c>
      <x:c r="O1505" s="4" t="n">
        <x:f>ROUND(M1505-N1505,2)</x:f>
        <x:v>113.92</x:v>
      </x:c>
      <x:c r="P1505" s="6" t="n">
        <x:v>5</x:v>
      </x:c>
      <x:c r="Q1505" t="str">
        <x:v>No</x:v>
      </x:c>
    </x:row>
    <x:row r="1506">
      <x:c r="A1506" t="str">
        <x:v>ORD-00089</x:v>
      </x:c>
      <x:c r="B1506" s="3" t="n">
        <x:v>45908.803258368054</x:v>
      </x:c>
      <x:c r="C1506" t="str">
        <x:v>2025-09</x:v>
      </x:c>
      <x:c r="D1506" t="str">
        <x:v>CUS-0384</x:v>
      </x:c>
      <x:c r="E1506" t="str">
        <x:v>Midlands</x:v>
      </x:c>
      <x:c r="F1506" t="str">
        <x:v>Marketplace</x:v>
      </x:c>
      <x:c r="G1506" t="str">
        <x:v>Home</x:v>
      </x:c>
      <x:c r="H1506" t="str">
        <x:v>Air Fryer</x:v>
      </x:c>
      <x:c r="I1506" t="n">
        <x:v>1</x:v>
      </x:c>
      <x:c r="J1506" s="4" t="n">
        <x:v>119.06</x:v>
      </x:c>
      <x:c r="K1506" s="4" t="n">
        <x:v>69</x:v>
      </x:c>
      <x:c r="L1506" s="5" t="n">
        <x:v>0.15</x:v>
      </x:c>
      <x:c r="M1506" s="4" t="n">
        <x:f>ROUND(I1506*J1506*(1-L1506),2)</x:f>
        <x:v>101.2</x:v>
      </x:c>
      <x:c r="N1506" s="4" t="n">
        <x:f>ROUND(I1506*K1506,2)</x:f>
        <x:v>69</x:v>
      </x:c>
      <x:c r="O1506" s="4" t="n">
        <x:f>ROUND(M1506-N1506,2)</x:f>
        <x:v>32.2</x:v>
      </x:c>
      <x:c r="P1506" s="6" t="n">
        <x:v>4.6</x:v>
      </x:c>
      <x:c r="Q1506" t="str">
        <x:v>No</x:v>
      </x:c>
    </x:row>
    <x:row r="1507">
      <x:c r="A1507" t="str">
        <x:v>ORD-00136</x:v>
      </x:c>
      <x:c r="B1507" s="3" t="n">
        <x:v>45908.995615092594</x:v>
      </x:c>
      <x:c r="C1507" t="str">
        <x:v>2025-09</x:v>
      </x:c>
      <x:c r="D1507" t="str">
        <x:v>CUS-0548</x:v>
      </x:c>
      <x:c r="E1507" t="str">
        <x:v>Wales</x:v>
      </x:c>
      <x:c r="F1507" t="str">
        <x:v>Marketplace</x:v>
      </x:c>
      <x:c r="G1507" t="str">
        <x:v>Books</x:v>
      </x:c>
      <x:c r="H1507" t="str">
        <x:v>Data Analytics Handbook</x:v>
      </x:c>
      <x:c r="I1507" t="n">
        <x:v>3</x:v>
      </x:c>
      <x:c r="J1507" s="4" t="n">
        <x:v>38.4</x:v>
      </x:c>
      <x:c r="K1507" s="4" t="n">
        <x:v>14</x:v>
      </x:c>
      <x:c r="L1507" s="5" t="n">
        <x:v>0.05</x:v>
      </x:c>
      <x:c r="M1507" s="4" t="n">
        <x:f>ROUND(I1507*J1507*(1-L1507),2)</x:f>
        <x:v>109.44</x:v>
      </x:c>
      <x:c r="N1507" s="4" t="n">
        <x:f>ROUND(I1507*K1507,2)</x:f>
        <x:v>42</x:v>
      </x:c>
      <x:c r="O1507" s="4" t="n">
        <x:f>ROUND(M1507-N1507,2)</x:f>
        <x:v>67.44</x:v>
      </x:c>
      <x:c r="P1507" s="6" t="n">
        <x:v>3.6</x:v>
      </x:c>
      <x:c r="Q1507" t="str">
        <x:v>No</x:v>
      </x:c>
    </x:row>
    <x:row r="1508">
      <x:c r="A1508" t="str">
        <x:v>ORD-00300</x:v>
      </x:c>
      <x:c r="B1508" s="3" t="n">
        <x:v>45909.432133599534</x:v>
      </x:c>
      <x:c r="C1508" t="str">
        <x:v>2025-09</x:v>
      </x:c>
      <x:c r="D1508" t="str">
        <x:v>CUS-0481</x:v>
      </x:c>
      <x:c r="E1508" t="str">
        <x:v>London</x:v>
      </x:c>
      <x:c r="F1508" t="str">
        <x:v>Marketplace</x:v>
      </x:c>
      <x:c r="G1508" t="str">
        <x:v>Home</x:v>
      </x:c>
      <x:c r="H1508" t="str">
        <x:v>Coffee Maker</x:v>
      </x:c>
      <x:c r="I1508" t="n">
        <x:v>4</x:v>
      </x:c>
      <x:c r="J1508" s="4" t="n">
        <x:v>78.01</x:v>
      </x:c>
      <x:c r="K1508" s="4" t="n">
        <x:v>41</x:v>
      </x:c>
      <x:c r="L1508" s="5" t="n">
        <x:v>0</x:v>
      </x:c>
      <x:c r="M1508" s="4" t="n">
        <x:f>ROUND(I1508*J1508*(1-L1508),2)</x:f>
        <x:v>312.04</x:v>
      </x:c>
      <x:c r="N1508" s="4" t="n">
        <x:f>ROUND(I1508*K1508,2)</x:f>
        <x:v>164</x:v>
      </x:c>
      <x:c r="O1508" s="4" t="n">
        <x:f>ROUND(M1508-N1508,2)</x:f>
        <x:v>148.04</x:v>
      </x:c>
      <x:c r="P1508" s="6" t="n">
        <x:v>4.2</x:v>
      </x:c>
      <x:c r="Q1508" t="str">
        <x:v>No</x:v>
      </x:c>
    </x:row>
    <x:row r="1509">
      <x:c r="A1509" t="str">
        <x:v>ORD-00871</x:v>
      </x:c>
      <x:c r="B1509" s="3" t="n">
        <x:v>45909.46408150463</x:v>
      </x:c>
      <x:c r="C1509" t="str">
        <x:v>2025-09</x:v>
      </x:c>
      <x:c r="D1509" t="str">
        <x:v>CUS-0051</x:v>
      </x:c>
      <x:c r="E1509" t="str">
        <x:v>North West</x:v>
      </x:c>
      <x:c r="F1509" t="str">
        <x:v>Marketplace</x:v>
      </x:c>
      <x:c r="G1509" t="str">
        <x:v>Electronics</x:v>
      </x:c>
      <x:c r="H1509" t="str">
        <x:v>Smart Watch</x:v>
      </x:c>
      <x:c r="I1509" t="n">
        <x:v>5</x:v>
      </x:c>
      <x:c r="J1509" s="4" t="n">
        <x:v>163.52</x:v>
      </x:c>
      <x:c r="K1509" s="4" t="n">
        <x:v>92</x:v>
      </x:c>
      <x:c r="L1509" s="5" t="n">
        <x:v>0.2</x:v>
      </x:c>
      <x:c r="M1509" s="4" t="n">
        <x:f>ROUND(I1509*J1509*(1-L1509),2)</x:f>
        <x:v>654.08</x:v>
      </x:c>
      <x:c r="N1509" s="4" t="n">
        <x:f>ROUND(I1509*K1509,2)</x:f>
        <x:v>460</x:v>
      </x:c>
      <x:c r="O1509" s="4" t="n">
        <x:f>ROUND(M1509-N1509,2)</x:f>
        <x:v>194.08</x:v>
      </x:c>
      <x:c r="P1509" s="6" t="n">
        <x:v>4.2</x:v>
      </x:c>
      <x:c r="Q1509" t="str">
        <x:v>No</x:v>
      </x:c>
    </x:row>
    <x:row r="1510">
      <x:c r="A1510" t="str">
        <x:v>ORD-00613</x:v>
      </x:c>
      <x:c r="B1510" s="3" t="n">
        <x:v>45909.50374144676</x:v>
      </x:c>
      <x:c r="C1510" t="str">
        <x:v>2025-09</x:v>
      </x:c>
      <x:c r="D1510" t="str">
        <x:v>CUS-0164</x:v>
      </x:c>
      <x:c r="E1510" t="str">
        <x:v>North East</x:v>
      </x:c>
      <x:c r="F1510" t="str">
        <x:v>Store</x:v>
      </x:c>
      <x:c r="G1510" t="str">
        <x:v>Sports</x:v>
      </x:c>
      <x:c r="H1510" t="str">
        <x:v>Fitness Tracker</x:v>
      </x:c>
      <x:c r="I1510" t="n">
        <x:v>4</x:v>
      </x:c>
      <x:c r="J1510" s="4" t="n">
        <x:v>52.9</x:v>
      </x:c>
      <x:c r="K1510" s="4" t="n">
        <x:v>27</x:v>
      </x:c>
      <x:c r="L1510" s="5" t="n">
        <x:v>0.15</x:v>
      </x:c>
      <x:c r="M1510" s="4" t="n">
        <x:f>ROUND(I1510*J1510*(1-L1510),2)</x:f>
        <x:v>179.86</x:v>
      </x:c>
      <x:c r="N1510" s="4" t="n">
        <x:f>ROUND(I1510*K1510,2)</x:f>
        <x:v>108</x:v>
      </x:c>
      <x:c r="O1510" s="4" t="n">
        <x:f>ROUND(M1510-N1510,2)</x:f>
        <x:v>71.86</x:v>
      </x:c>
      <x:c r="P1510" s="6" t="n">
        <x:v>4.7</x:v>
      </x:c>
      <x:c r="Q1510" t="str">
        <x:v>No</x:v>
      </x:c>
    </x:row>
    <x:row r="1511">
      <x:c r="A1511" t="str">
        <x:v>ORD-00038</x:v>
      </x:c>
      <x:c r="B1511" s="3" t="n">
        <x:v>45910.379695428244</x:v>
      </x:c>
      <x:c r="C1511" t="str">
        <x:v>2025-09</x:v>
      </x:c>
      <x:c r="D1511" t="str">
        <x:v>CUS-0314</x:v>
      </x:c>
      <x:c r="E1511" t="str">
        <x:v>South East</x:v>
      </x:c>
      <x:c r="F1511" t="str">
        <x:v>Store</x:v>
      </x:c>
      <x:c r="G1511" t="str">
        <x:v>Beauty</x:v>
      </x:c>
      <x:c r="H1511" t="str">
        <x:v>Hair Dryer</x:v>
      </x:c>
      <x:c r="I1511" t="n">
        <x:v>5</x:v>
      </x:c>
      <x:c r="J1511" s="4" t="n">
        <x:v>62.96</x:v>
      </x:c>
      <x:c r="K1511" s="4" t="n">
        <x:v>29</x:v>
      </x:c>
      <x:c r="L1511" s="5" t="n">
        <x:v>0.2</x:v>
      </x:c>
      <x:c r="M1511" s="4" t="n">
        <x:f>ROUND(I1511*J1511*(1-L1511),2)</x:f>
        <x:v>251.84</x:v>
      </x:c>
      <x:c r="N1511" s="4" t="n">
        <x:f>ROUND(I1511*K1511,2)</x:f>
        <x:v>145</x:v>
      </x:c>
      <x:c r="O1511" s="4" t="n">
        <x:f>ROUND(M1511-N1511,2)</x:f>
        <x:v>106.84</x:v>
      </x:c>
      <x:c r="P1511" s="6" t="n">
        <x:v>3.7</x:v>
      </x:c>
      <x:c r="Q1511" t="str">
        <x:v>No</x:v>
      </x:c>
    </x:row>
    <x:row r="1512">
      <x:c r="A1512" t="str">
        <x:v>ORD-01133</x:v>
      </x:c>
      <x:c r="B1512" s="3" t="n">
        <x:v>45910.75519703704</x:v>
      </x:c>
      <x:c r="C1512" t="str">
        <x:v>2025-09</x:v>
      </x:c>
      <x:c r="D1512" t="str">
        <x:v>CUS-0429</x:v>
      </x:c>
      <x:c r="E1512" t="str">
        <x:v>Wales</x:v>
      </x:c>
      <x:c r="F1512" t="str">
        <x:v>Marketplace</x:v>
      </x:c>
      <x:c r="G1512" t="str">
        <x:v>Electronics</x:v>
      </x:c>
      <x:c r="H1512" t="str">
        <x:v>Wireless Headphones</x:v>
      </x:c>
      <x:c r="I1512" t="n">
        <x:v>5</x:v>
      </x:c>
      <x:c r="J1512" s="4" t="n">
        <x:v>86.76</x:v>
      </x:c>
      <x:c r="K1512" s="4" t="n">
        <x:v>48</x:v>
      </x:c>
      <x:c r="L1512" s="5" t="n">
        <x:v>0</x:v>
      </x:c>
      <x:c r="M1512" s="4" t="n">
        <x:f>ROUND(I1512*J1512*(1-L1512),2)</x:f>
        <x:v>433.8</x:v>
      </x:c>
      <x:c r="N1512" s="4" t="n">
        <x:f>ROUND(I1512*K1512,2)</x:f>
        <x:v>240</x:v>
      </x:c>
      <x:c r="O1512" s="4" t="n">
        <x:f>ROUND(M1512-N1512,2)</x:f>
        <x:v>193.8</x:v>
      </x:c>
      <x:c r="P1512" s="6" t="n">
        <x:v>3.5</x:v>
      </x:c>
      <x:c r="Q1512" t="str">
        <x:v>No</x:v>
      </x:c>
    </x:row>
    <x:row r="1513">
      <x:c r="A1513" t="str">
        <x:v>ORD-00176</x:v>
      </x:c>
      <x:c r="B1513" s="3" t="n">
        <x:v>45911.00615951389</x:v>
      </x:c>
      <x:c r="C1513" t="str">
        <x:v>2025-09</x:v>
      </x:c>
      <x:c r="D1513" t="str">
        <x:v>CUS-0603</x:v>
      </x:c>
      <x:c r="E1513" t="str">
        <x:v>North East</x:v>
      </x:c>
      <x:c r="F1513" t="str">
        <x:v>Marketplace</x:v>
      </x:c>
      <x:c r="G1513" t="str">
        <x:v>Home</x:v>
      </x:c>
      <x:c r="H1513" t="str">
        <x:v>Air Fryer</x:v>
      </x:c>
      <x:c r="I1513" t="n">
        <x:v>5</x:v>
      </x:c>
      <x:c r="J1513" s="4" t="n">
        <x:v>118.31</x:v>
      </x:c>
      <x:c r="K1513" s="4" t="n">
        <x:v>69</x:v>
      </x:c>
      <x:c r="L1513" s="5" t="n">
        <x:v>0.2</x:v>
      </x:c>
      <x:c r="M1513" s="4" t="n">
        <x:f>ROUND(I1513*J1513*(1-L1513),2)</x:f>
        <x:v>473.24</x:v>
      </x:c>
      <x:c r="N1513" s="4" t="n">
        <x:f>ROUND(I1513*K1513,2)</x:f>
        <x:v>345</x:v>
      </x:c>
      <x:c r="O1513" s="4" t="n">
        <x:f>ROUND(M1513-N1513,2)</x:f>
        <x:v>128.24</x:v>
      </x:c>
      <x:c r="P1513" s="6" t="n">
        <x:v>4.3</x:v>
      </x:c>
      <x:c r="Q1513" t="str">
        <x:v>Yes</x:v>
      </x:c>
    </x:row>
    <x:row r="1514">
      <x:c r="A1514" t="str">
        <x:v>ORD-00272</x:v>
      </x:c>
      <x:c r="B1514" s="3" t="n">
        <x:v>45911.01019519676</x:v>
      </x:c>
      <x:c r="C1514" t="str">
        <x:v>2025-09</x:v>
      </x:c>
      <x:c r="D1514" t="str">
        <x:v>CUS-0320</x:v>
      </x:c>
      <x:c r="E1514" t="str">
        <x:v>Midlands</x:v>
      </x:c>
      <x:c r="F1514" t="str">
        <x:v>Marketplace</x:v>
      </x:c>
      <x:c r="G1514" t="str">
        <x:v>Sports</x:v>
      </x:c>
      <x:c r="H1514" t="str">
        <x:v>Yoga Mat</x:v>
      </x:c>
      <x:c r="I1514" t="n">
        <x:v>3</x:v>
      </x:c>
      <x:c r="J1514" s="4" t="n">
        <x:v>29.32</x:v>
      </x:c>
      <x:c r="K1514" s="4" t="n">
        <x:v>12</x:v>
      </x:c>
      <x:c r="L1514" s="5" t="n">
        <x:v>0.1</x:v>
      </x:c>
      <x:c r="M1514" s="4" t="n">
        <x:f>ROUND(I1514*J1514*(1-L1514),2)</x:f>
        <x:v>79.16</x:v>
      </x:c>
      <x:c r="N1514" s="4" t="n">
        <x:f>ROUND(I1514*K1514,2)</x:f>
        <x:v>36</x:v>
      </x:c>
      <x:c r="O1514" s="4" t="n">
        <x:f>ROUND(M1514-N1514,2)</x:f>
        <x:v>43.16</x:v>
      </x:c>
      <x:c r="P1514" s="6" t="n">
        <x:v>3.5</x:v>
      </x:c>
      <x:c r="Q1514" t="str">
        <x:v>No</x:v>
      </x:c>
    </x:row>
    <x:row r="1515">
      <x:c r="A1515" t="str">
        <x:v>ORD-00384</x:v>
      </x:c>
      <x:c r="B1515" s="3" t="n">
        <x:v>45911.492600543985</x:v>
      </x:c>
      <x:c r="C1515" t="str">
        <x:v>2025-09</x:v>
      </x:c>
      <x:c r="D1515" t="str">
        <x:v>CUS-0039</x:v>
      </x:c>
      <x:c r="E1515" t="str">
        <x:v>Midlands</x:v>
      </x:c>
      <x:c r="F1515" t="str">
        <x:v>Store</x:v>
      </x:c>
      <x:c r="G1515" t="str">
        <x:v>Sports</x:v>
      </x:c>
      <x:c r="H1515" t="str">
        <x:v>Yoga Mat</x:v>
      </x:c>
      <x:c r="I1515" t="n">
        <x:v>4</x:v>
      </x:c>
      <x:c r="J1515" s="4" t="n">
        <x:v>30.31</x:v>
      </x:c>
      <x:c r="K1515" s="4" t="n">
        <x:v>12</x:v>
      </x:c>
      <x:c r="L1515" s="5" t="n">
        <x:v>0</x:v>
      </x:c>
      <x:c r="M1515" s="4" t="n">
        <x:f>ROUND(I1515*J1515*(1-L1515),2)</x:f>
        <x:v>121.24</x:v>
      </x:c>
      <x:c r="N1515" s="4" t="n">
        <x:f>ROUND(I1515*K1515,2)</x:f>
        <x:v>48</x:v>
      </x:c>
      <x:c r="O1515" s="4" t="n">
        <x:f>ROUND(M1515-N1515,2)</x:f>
        <x:v>73.24</x:v>
      </x:c>
      <x:c r="P1515" s="6" t="n">
        <x:v>3.9</x:v>
      </x:c>
      <x:c r="Q1515" t="str">
        <x:v>No</x:v>
      </x:c>
    </x:row>
    <x:row r="1516">
      <x:c r="A1516" t="str">
        <x:v>ORD-01190</x:v>
      </x:c>
      <x:c r="B1516" s="3" t="n">
        <x:v>45911.64156927083</x:v>
      </x:c>
      <x:c r="C1516" t="str">
        <x:v>2025-09</x:v>
      </x:c>
      <x:c r="D1516" t="str">
        <x:v>CUS-0484</x:v>
      </x:c>
      <x:c r="E1516" t="str">
        <x:v>South West</x:v>
      </x:c>
      <x:c r="F1516" t="str">
        <x:v>Marketplace</x:v>
      </x:c>
      <x:c r="G1516" t="str">
        <x:v>Electronics</x:v>
      </x:c>
      <x:c r="H1516" t="str">
        <x:v>Smart Watch</x:v>
      </x:c>
      <x:c r="I1516" t="n">
        <x:v>5</x:v>
      </x:c>
      <x:c r="J1516" s="4" t="n">
        <x:v>167.53</x:v>
      </x:c>
      <x:c r="K1516" s="4" t="n">
        <x:v>92</x:v>
      </x:c>
      <x:c r="L1516" s="5" t="n">
        <x:v>0</x:v>
      </x:c>
      <x:c r="M1516" s="4" t="n">
        <x:f>ROUND(I1516*J1516*(1-L1516),2)</x:f>
        <x:v>837.65</x:v>
      </x:c>
      <x:c r="N1516" s="4" t="n">
        <x:f>ROUND(I1516*K1516,2)</x:f>
        <x:v>460</x:v>
      </x:c>
      <x:c r="O1516" s="4" t="n">
        <x:f>ROUND(M1516-N1516,2)</x:f>
        <x:v>377.65</x:v>
      </x:c>
      <x:c r="P1516" s="6" t="n">
        <x:v>3.9</x:v>
      </x:c>
      <x:c r="Q1516" t="str">
        <x:v>No</x:v>
      </x:c>
    </x:row>
    <x:row r="1517">
      <x:c r="A1517" t="str">
        <x:v>ORD-01775</x:v>
      </x:c>
      <x:c r="B1517" s="3" t="n">
        <x:v>45911.958222395835</x:v>
      </x:c>
      <x:c r="C1517" t="str">
        <x:v>2025-09</x:v>
      </x:c>
      <x:c r="D1517" t="str">
        <x:v>CUS-0264</x:v>
      </x:c>
      <x:c r="E1517" t="str">
        <x:v>Wales</x:v>
      </x:c>
      <x:c r="F1517" t="str">
        <x:v>Store</x:v>
      </x:c>
      <x:c r="G1517" t="str">
        <x:v>Electronics</x:v>
      </x:c>
      <x:c r="H1517" t="str">
        <x:v>Bluetooth Speaker</x:v>
      </x:c>
      <x:c r="I1517" t="n">
        <x:v>1</x:v>
      </x:c>
      <x:c r="J1517" s="4" t="n">
        <x:v>66.42</x:v>
      </x:c>
      <x:c r="K1517" s="4" t="n">
        <x:v>34</x:v>
      </x:c>
      <x:c r="L1517" s="5" t="n">
        <x:v>0</x:v>
      </x:c>
      <x:c r="M1517" s="4" t="n">
        <x:f>ROUND(I1517*J1517*(1-L1517),2)</x:f>
        <x:v>66.42</x:v>
      </x:c>
      <x:c r="N1517" s="4" t="n">
        <x:f>ROUND(I1517*K1517,2)</x:f>
        <x:v>34</x:v>
      </x:c>
      <x:c r="O1517" s="4" t="n">
        <x:f>ROUND(M1517-N1517,2)</x:f>
        <x:v>32.42</x:v>
      </x:c>
      <x:c r="P1517" s="6" t="n">
        <x:v>4.5</x:v>
      </x:c>
      <x:c r="Q1517" t="str">
        <x:v>Yes</x:v>
      </x:c>
    </x:row>
    <x:row r="1518">
      <x:c r="A1518" t="str">
        <x:v>ORD-01296</x:v>
      </x:c>
      <x:c r="B1518" s="3" t="n">
        <x:v>45912.19683784722</x:v>
      </x:c>
      <x:c r="C1518" t="str">
        <x:v>2025-09</x:v>
      </x:c>
      <x:c r="D1518" t="str">
        <x:v>CUS-0281</x:v>
      </x:c>
      <x:c r="E1518" t="str">
        <x:v>North East</x:v>
      </x:c>
      <x:c r="F1518" t="str">
        <x:v>Marketplace</x:v>
      </x:c>
      <x:c r="G1518" t="str">
        <x:v>Home</x:v>
      </x:c>
      <x:c r="H1518" t="str">
        <x:v>Coffee Maker</x:v>
      </x:c>
      <x:c r="I1518" t="n">
        <x:v>5</x:v>
      </x:c>
      <x:c r="J1518" s="4" t="n">
        <x:v>78.15</x:v>
      </x:c>
      <x:c r="K1518" s="4" t="n">
        <x:v>41</x:v>
      </x:c>
      <x:c r="L1518" s="5" t="n">
        <x:v>0.15</x:v>
      </x:c>
      <x:c r="M1518" s="4" t="n">
        <x:f>ROUND(I1518*J1518*(1-L1518),2)</x:f>
        <x:v>332.14</x:v>
      </x:c>
      <x:c r="N1518" s="4" t="n">
        <x:f>ROUND(I1518*K1518,2)</x:f>
        <x:v>205</x:v>
      </x:c>
      <x:c r="O1518" s="4" t="n">
        <x:f>ROUND(M1518-N1518,2)</x:f>
        <x:v>127.14</x:v>
      </x:c>
      <x:c r="P1518" s="6" t="n">
        <x:v>3.8</x:v>
      </x:c>
      <x:c r="Q1518" t="str">
        <x:v>No</x:v>
      </x:c>
    </x:row>
    <x:row r="1519">
      <x:c r="A1519" t="str">
        <x:v>ORD-01321</x:v>
      </x:c>
      <x:c r="B1519" s="3" t="n">
        <x:v>45912.412990543984</x:v>
      </x:c>
      <x:c r="C1519" t="str">
        <x:v>2025-09</x:v>
      </x:c>
      <x:c r="D1519" t="str">
        <x:v>CUS-0389</x:v>
      </x:c>
      <x:c r="E1519" t="str">
        <x:v>South West</x:v>
      </x:c>
      <x:c r="F1519" t="str">
        <x:v>Online</x:v>
      </x:c>
      <x:c r="G1519" t="str">
        <x:v>Electronics</x:v>
      </x:c>
      <x:c r="H1519" t="str">
        <x:v>Smart Watch</x:v>
      </x:c>
      <x:c r="I1519" t="n">
        <x:v>2</x:v>
      </x:c>
      <x:c r="J1519" s="4" t="n">
        <x:v>152.64</x:v>
      </x:c>
      <x:c r="K1519" s="4" t="n">
        <x:v>92</x:v>
      </x:c>
      <x:c r="L1519" s="5" t="n">
        <x:v>0</x:v>
      </x:c>
      <x:c r="M1519" s="4" t="n">
        <x:f>ROUND(I1519*J1519*(1-L1519),2)</x:f>
        <x:v>305.28</x:v>
      </x:c>
      <x:c r="N1519" s="4" t="n">
        <x:f>ROUND(I1519*K1519,2)</x:f>
        <x:v>184</x:v>
      </x:c>
      <x:c r="O1519" s="4" t="n">
        <x:f>ROUND(M1519-N1519,2)</x:f>
        <x:v>121.28</x:v>
      </x:c>
      <x:c r="P1519" s="6" t="n">
        <x:v>4.7</x:v>
      </x:c>
      <x:c r="Q1519" t="str">
        <x:v>No</x:v>
      </x:c>
    </x:row>
    <x:row r="1520">
      <x:c r="A1520" t="str">
        <x:v>ORD-01536</x:v>
      </x:c>
      <x:c r="B1520" s="3" t="n">
        <x:v>45912.73289274306</x:v>
      </x:c>
      <x:c r="C1520" t="str">
        <x:v>2025-09</x:v>
      </x:c>
      <x:c r="D1520" t="str">
        <x:v>CUS-0606</x:v>
      </x:c>
      <x:c r="E1520" t="str">
        <x:v>Scotland</x:v>
      </x:c>
      <x:c r="F1520" t="str">
        <x:v>Online</x:v>
      </x:c>
      <x:c r="G1520" t="str">
        <x:v>Sports</x:v>
      </x:c>
      <x:c r="H1520" t="str">
        <x:v>Fitness Tracker</x:v>
      </x:c>
      <x:c r="I1520" t="n">
        <x:v>3</x:v>
      </x:c>
      <x:c r="J1520" s="4" t="n">
        <x:v>54.41</x:v>
      </x:c>
      <x:c r="K1520" s="4" t="n">
        <x:v>27</x:v>
      </x:c>
      <x:c r="L1520" s="5" t="n">
        <x:v>0.2</x:v>
      </x:c>
      <x:c r="M1520" s="4" t="n">
        <x:f>ROUND(I1520*J1520*(1-L1520),2)</x:f>
        <x:v>130.58</x:v>
      </x:c>
      <x:c r="N1520" s="4" t="n">
        <x:f>ROUND(I1520*K1520,2)</x:f>
        <x:v>81</x:v>
      </x:c>
      <x:c r="O1520" s="4" t="n">
        <x:f>ROUND(M1520-N1520,2)</x:f>
        <x:v>49.58</x:v>
      </x:c>
      <x:c r="P1520" s="6" t="n">
        <x:v>3.7</x:v>
      </x:c>
      <x:c r="Q1520" t="str">
        <x:v>No</x:v>
      </x:c>
    </x:row>
    <x:row r="1521">
      <x:c r="A1521" t="str">
        <x:v>ORD-01277</x:v>
      </x:c>
      <x:c r="B1521" s="3" t="n">
        <x:v>45912.82704085648</x:v>
      </x:c>
      <x:c r="C1521" t="str">
        <x:v>2025-09</x:v>
      </x:c>
      <x:c r="D1521" t="str">
        <x:v>CUS-0541</x:v>
      </x:c>
      <x:c r="E1521" t="str">
        <x:v>Midlands</x:v>
      </x:c>
      <x:c r="F1521" t="str">
        <x:v>Marketplace</x:v>
      </x:c>
      <x:c r="G1521" t="str">
        <x:v>Home</x:v>
      </x:c>
      <x:c r="H1521" t="str">
        <x:v>Coffee Maker</x:v>
      </x:c>
      <x:c r="I1521" t="n">
        <x:v>2</x:v>
      </x:c>
      <x:c r="J1521" s="4" t="n">
        <x:v>75.54</x:v>
      </x:c>
      <x:c r="K1521" s="4" t="n">
        <x:v>41</x:v>
      </x:c>
      <x:c r="L1521" s="5" t="n">
        <x:v>0.2</x:v>
      </x:c>
      <x:c r="M1521" s="4" t="n">
        <x:f>ROUND(I1521*J1521*(1-L1521),2)</x:f>
        <x:v>120.86</x:v>
      </x:c>
      <x:c r="N1521" s="4" t="n">
        <x:f>ROUND(I1521*K1521,2)</x:f>
        <x:v>82</x:v>
      </x:c>
      <x:c r="O1521" s="4" t="n">
        <x:f>ROUND(M1521-N1521,2)</x:f>
        <x:v>38.86</x:v>
      </x:c>
      <x:c r="P1521" s="6" t="n">
        <x:v>4.3</x:v>
      </x:c>
      <x:c r="Q1521" t="str">
        <x:v>No</x:v>
      </x:c>
    </x:row>
    <x:row r="1522">
      <x:c r="A1522" t="str">
        <x:v>ORD-01567</x:v>
      </x:c>
      <x:c r="B1522" s="3" t="n">
        <x:v>45912.837560416665</x:v>
      </x:c>
      <x:c r="C1522" t="str">
        <x:v>2025-09</x:v>
      </x:c>
      <x:c r="D1522" t="str">
        <x:v>CUS-0382</x:v>
      </x:c>
      <x:c r="E1522" t="str">
        <x:v>Wales</x:v>
      </x:c>
      <x:c r="F1522" t="str">
        <x:v>Online</x:v>
      </x:c>
      <x:c r="G1522" t="str">
        <x:v>Electronics</x:v>
      </x:c>
      <x:c r="H1522" t="str">
        <x:v>Bluetooth Speaker</x:v>
      </x:c>
      <x:c r="I1522" t="n">
        <x:v>1</x:v>
      </x:c>
      <x:c r="J1522" s="4" t="n">
        <x:v>65.58</x:v>
      </x:c>
      <x:c r="K1522" s="4" t="n">
        <x:v>34</x:v>
      </x:c>
      <x:c r="L1522" s="5" t="n">
        <x:v>0.2</x:v>
      </x:c>
      <x:c r="M1522" s="4" t="n">
        <x:f>ROUND(I1522*J1522*(1-L1522),2)</x:f>
        <x:v>52.46</x:v>
      </x:c>
      <x:c r="N1522" s="4" t="n">
        <x:f>ROUND(I1522*K1522,2)</x:f>
        <x:v>34</x:v>
      </x:c>
      <x:c r="O1522" s="4" t="n">
        <x:f>ROUND(M1522-N1522,2)</x:f>
        <x:v>18.46</x:v>
      </x:c>
      <x:c r="P1522" s="6" t="n">
        <x:v>4.2</x:v>
      </x:c>
      <x:c r="Q1522" t="str">
        <x:v>No</x:v>
      </x:c>
    </x:row>
    <x:row r="1523">
      <x:c r="A1523" t="str">
        <x:v>ORD-01161</x:v>
      </x:c>
      <x:c r="B1523" s="3" t="n">
        <x:v>45913.05281466435</x:v>
      </x:c>
      <x:c r="C1523" t="str">
        <x:v>2025-09</x:v>
      </x:c>
      <x:c r="D1523" t="str">
        <x:v>CUS-0203</x:v>
      </x:c>
      <x:c r="E1523" t="str">
        <x:v>South East</x:v>
      </x:c>
      <x:c r="F1523" t="str">
        <x:v>Store</x:v>
      </x:c>
      <x:c r="G1523" t="str">
        <x:v>Books</x:v>
      </x:c>
      <x:c r="H1523" t="str">
        <x:v>Business Intelligence Guide</x:v>
      </x:c>
      <x:c r="I1523" t="n">
        <x:v>1</x:v>
      </x:c>
      <x:c r="J1523" s="4" t="n">
        <x:v>33.38</x:v>
      </x:c>
      <x:c r="K1523" s="4" t="n">
        <x:v>12</x:v>
      </x:c>
      <x:c r="L1523" s="5" t="n">
        <x:v>0</x:v>
      </x:c>
      <x:c r="M1523" s="4" t="n">
        <x:f>ROUND(I1523*J1523*(1-L1523),2)</x:f>
        <x:v>33.38</x:v>
      </x:c>
      <x:c r="N1523" s="4" t="n">
        <x:f>ROUND(I1523*K1523,2)</x:f>
        <x:v>12</x:v>
      </x:c>
      <x:c r="O1523" s="4" t="n">
        <x:f>ROUND(M1523-N1523,2)</x:f>
        <x:v>21.38</x:v>
      </x:c>
      <x:c r="P1523" s="6" t="n">
        <x:v>3.2</x:v>
      </x:c>
      <x:c r="Q1523" t="str">
        <x:v>No</x:v>
      </x:c>
    </x:row>
    <x:row r="1524">
      <x:c r="A1524" t="str">
        <x:v>ORD-01792</x:v>
      </x:c>
      <x:c r="B1524" s="3" t="n">
        <x:v>45913.2411928125</x:v>
      </x:c>
      <x:c r="C1524" t="str">
        <x:v>2025-09</x:v>
      </x:c>
      <x:c r="D1524" t="str">
        <x:v>CUS-0544</x:v>
      </x:c>
      <x:c r="E1524" t="str">
        <x:v>South West</x:v>
      </x:c>
      <x:c r="F1524" t="str">
        <x:v>Marketplace</x:v>
      </x:c>
      <x:c r="G1524" t="str">
        <x:v>Sports</x:v>
      </x:c>
      <x:c r="H1524" t="str">
        <x:v>Fitness Tracker</x:v>
      </x:c>
      <x:c r="I1524" t="n">
        <x:v>2</x:v>
      </x:c>
      <x:c r="J1524" s="4" t="n">
        <x:v>53.57</x:v>
      </x:c>
      <x:c r="K1524" s="4" t="n">
        <x:v>27</x:v>
      </x:c>
      <x:c r="L1524" s="5" t="n">
        <x:v>0</x:v>
      </x:c>
      <x:c r="M1524" s="4" t="n">
        <x:f>ROUND(I1524*J1524*(1-L1524),2)</x:f>
        <x:v>107.14</x:v>
      </x:c>
      <x:c r="N1524" s="4" t="n">
        <x:f>ROUND(I1524*K1524,2)</x:f>
        <x:v>54</x:v>
      </x:c>
      <x:c r="O1524" s="4" t="n">
        <x:f>ROUND(M1524-N1524,2)</x:f>
        <x:v>53.14</x:v>
      </x:c>
      <x:c r="P1524" s="6" t="n">
        <x:v>5</x:v>
      </x:c>
      <x:c r="Q1524" t="str">
        <x:v>No</x:v>
      </x:c>
    </x:row>
    <x:row r="1525">
      <x:c r="A1525" t="str">
        <x:v>ORD-01305</x:v>
      </x:c>
      <x:c r="B1525" s="3" t="n">
        <x:v>45913.27612055556</x:v>
      </x:c>
      <x:c r="C1525" t="str">
        <x:v>2025-09</x:v>
      </x:c>
      <x:c r="D1525" t="str">
        <x:v>CUS-0078</x:v>
      </x:c>
      <x:c r="E1525" t="str">
        <x:v>Midlands</x:v>
      </x:c>
      <x:c r="F1525" t="str">
        <x:v>Store</x:v>
      </x:c>
      <x:c r="G1525" t="str">
        <x:v>Electronics</x:v>
      </x:c>
      <x:c r="H1525" t="str">
        <x:v>Bluetooth Speaker</x:v>
      </x:c>
      <x:c r="I1525" t="n">
        <x:v>5</x:v>
      </x:c>
      <x:c r="J1525" s="4" t="n">
        <x:v>61.94</x:v>
      </x:c>
      <x:c r="K1525" s="4" t="n">
        <x:v>34</x:v>
      </x:c>
      <x:c r="L1525" s="5" t="n">
        <x:v>0</x:v>
      </x:c>
      <x:c r="M1525" s="4" t="n">
        <x:f>ROUND(I1525*J1525*(1-L1525),2)</x:f>
        <x:v>309.7</x:v>
      </x:c>
      <x:c r="N1525" s="4" t="n">
        <x:f>ROUND(I1525*K1525,2)</x:f>
        <x:v>170</x:v>
      </x:c>
      <x:c r="O1525" s="4" t="n">
        <x:f>ROUND(M1525-N1525,2)</x:f>
        <x:v>139.7</x:v>
      </x:c>
      <x:c r="P1525" s="6" t="n">
        <x:v>3.9</x:v>
      </x:c>
      <x:c r="Q1525" t="str">
        <x:v>No</x:v>
      </x:c>
    </x:row>
    <x:row r="1526">
      <x:c r="A1526" t="str">
        <x:v>ORD-00914</x:v>
      </x:c>
      <x:c r="B1526" s="3" t="n">
        <x:v>45913.285357546294</x:v>
      </x:c>
      <x:c r="C1526" t="str">
        <x:v>2025-09</x:v>
      </x:c>
      <x:c r="D1526" t="str">
        <x:v>CUS-0164</x:v>
      </x:c>
      <x:c r="E1526" t="str">
        <x:v>South East</x:v>
      </x:c>
      <x:c r="F1526" t="str">
        <x:v>Online</x:v>
      </x:c>
      <x:c r="G1526" t="str">
        <x:v>Home</x:v>
      </x:c>
      <x:c r="H1526" t="str">
        <x:v>Coffee Maker</x:v>
      </x:c>
      <x:c r="I1526" t="n">
        <x:v>1</x:v>
      </x:c>
      <x:c r="J1526" s="4" t="n">
        <x:v>76.66</x:v>
      </x:c>
      <x:c r="K1526" s="4" t="n">
        <x:v>41</x:v>
      </x:c>
      <x:c r="L1526" s="5" t="n">
        <x:v>0</x:v>
      </x:c>
      <x:c r="M1526" s="4" t="n">
        <x:f>ROUND(I1526*J1526*(1-L1526),2)</x:f>
        <x:v>76.66</x:v>
      </x:c>
      <x:c r="N1526" s="4" t="n">
        <x:f>ROUND(I1526*K1526,2)</x:f>
        <x:v>41</x:v>
      </x:c>
      <x:c r="O1526" s="4" t="n">
        <x:f>ROUND(M1526-N1526,2)</x:f>
        <x:v>35.66</x:v>
      </x:c>
      <x:c r="P1526" s="6" t="n">
        <x:v>3.5</x:v>
      </x:c>
      <x:c r="Q1526" t="str">
        <x:v>No</x:v>
      </x:c>
    </x:row>
    <x:row r="1527">
      <x:c r="A1527" t="str">
        <x:v>ORD-00017</x:v>
      </x:c>
      <x:c r="B1527" s="3" t="n">
        <x:v>45913.296415902776</x:v>
      </x:c>
      <x:c r="C1527" t="str">
        <x:v>2025-09</x:v>
      </x:c>
      <x:c r="D1527" t="str">
        <x:v>CUS-0246</x:v>
      </x:c>
      <x:c r="E1527" t="str">
        <x:v>Midlands</x:v>
      </x:c>
      <x:c r="F1527" t="str">
        <x:v>Online</x:v>
      </x:c>
      <x:c r="G1527" t="str">
        <x:v>Sports</x:v>
      </x:c>
      <x:c r="H1527" t="str">
        <x:v>Yoga Mat</x:v>
      </x:c>
      <x:c r="I1527" t="n">
        <x:v>3</x:v>
      </x:c>
      <x:c r="J1527" s="4" t="n">
        <x:v>28.73</x:v>
      </x:c>
      <x:c r="K1527" s="4" t="n">
        <x:v>12</x:v>
      </x:c>
      <x:c r="L1527" s="5" t="n">
        <x:v>0.2</x:v>
      </x:c>
      <x:c r="M1527" s="4" t="n">
        <x:f>ROUND(I1527*J1527*(1-L1527),2)</x:f>
        <x:v>68.95</x:v>
      </x:c>
      <x:c r="N1527" s="4" t="n">
        <x:f>ROUND(I1527*K1527,2)</x:f>
        <x:v>36</x:v>
      </x:c>
      <x:c r="O1527" s="4" t="n">
        <x:f>ROUND(M1527-N1527,2)</x:f>
        <x:v>32.95</x:v>
      </x:c>
      <x:c r="P1527" s="6" t="n">
        <x:v>4.7</x:v>
      </x:c>
      <x:c r="Q1527" t="str">
        <x:v>Yes</x:v>
      </x:c>
    </x:row>
    <x:row r="1528">
      <x:c r="A1528" t="str">
        <x:v>ORD-00769</x:v>
      </x:c>
      <x:c r="B1528" s="3" t="n">
        <x:v>45913.92345311343</x:v>
      </x:c>
      <x:c r="C1528" t="str">
        <x:v>2025-09</x:v>
      </x:c>
      <x:c r="D1528" t="str">
        <x:v>CUS-0198</x:v>
      </x:c>
      <x:c r="E1528" t="str">
        <x:v>North East</x:v>
      </x:c>
      <x:c r="F1528" t="str">
        <x:v>Online</x:v>
      </x:c>
      <x:c r="G1528" t="str">
        <x:v>Home</x:v>
      </x:c>
      <x:c r="H1528" t="str">
        <x:v>Coffee Maker</x:v>
      </x:c>
      <x:c r="I1528" t="n">
        <x:v>3</x:v>
      </x:c>
      <x:c r="J1528" s="4" t="n">
        <x:v>73.23</x:v>
      </x:c>
      <x:c r="K1528" s="4" t="n">
        <x:v>41</x:v>
      </x:c>
      <x:c r="L1528" s="5" t="n">
        <x:v>0.1</x:v>
      </x:c>
      <x:c r="M1528" s="4" t="n">
        <x:f>ROUND(I1528*J1528*(1-L1528),2)</x:f>
        <x:v>197.72</x:v>
      </x:c>
      <x:c r="N1528" s="4" t="n">
        <x:f>ROUND(I1528*K1528,2)</x:f>
        <x:v>123</x:v>
      </x:c>
      <x:c r="O1528" s="4" t="n">
        <x:f>ROUND(M1528-N1528,2)</x:f>
        <x:v>74.72</x:v>
      </x:c>
      <x:c r="P1528" s="6" t="n">
        <x:v>4.1</x:v>
      </x:c>
      <x:c r="Q1528" t="str">
        <x:v>No</x:v>
      </x:c>
    </x:row>
    <x:row r="1529">
      <x:c r="A1529" t="str">
        <x:v>ORD-01164</x:v>
      </x:c>
      <x:c r="B1529" s="3" t="n">
        <x:v>45914.71801700231</x:v>
      </x:c>
      <x:c r="C1529" t="str">
        <x:v>2025-09</x:v>
      </x:c>
      <x:c r="D1529" t="str">
        <x:v>CUS-0105</x:v>
      </x:c>
      <x:c r="E1529" t="str">
        <x:v>London</x:v>
      </x:c>
      <x:c r="F1529" t="str">
        <x:v>Marketplace</x:v>
      </x:c>
      <x:c r="G1529" t="str">
        <x:v>Books</x:v>
      </x:c>
      <x:c r="H1529" t="str">
        <x:v>Business Intelligence Guide</x:v>
      </x:c>
      <x:c r="I1529" t="n">
        <x:v>1</x:v>
      </x:c>
      <x:c r="J1529" s="4" t="n">
        <x:v>34.93</x:v>
      </x:c>
      <x:c r="K1529" s="4" t="n">
        <x:v>12</x:v>
      </x:c>
      <x:c r="L1529" s="5" t="n">
        <x:v>0.05</x:v>
      </x:c>
      <x:c r="M1529" s="4" t="n">
        <x:f>ROUND(I1529*J1529*(1-L1529),2)</x:f>
        <x:v>33.18</x:v>
      </x:c>
      <x:c r="N1529" s="4" t="n">
        <x:f>ROUND(I1529*K1529,2)</x:f>
        <x:v>12</x:v>
      </x:c>
      <x:c r="O1529" s="4" t="n">
        <x:f>ROUND(M1529-N1529,2)</x:f>
        <x:v>21.18</x:v>
      </x:c>
      <x:c r="P1529" s="6" t="n">
        <x:v>5</x:v>
      </x:c>
      <x:c r="Q1529" t="str">
        <x:v>No</x:v>
      </x:c>
    </x:row>
    <x:row r="1530">
      <x:c r="A1530" t="str">
        <x:v>ORD-00125</x:v>
      </x:c>
      <x:c r="B1530" s="3" t="n">
        <x:v>45915.352746550925</x:v>
      </x:c>
      <x:c r="C1530" t="str">
        <x:v>2025-09</x:v>
      </x:c>
      <x:c r="D1530" t="str">
        <x:v>CUS-0599</x:v>
      </x:c>
      <x:c r="E1530" t="str">
        <x:v>South East</x:v>
      </x:c>
      <x:c r="F1530" t="str">
        <x:v>Marketplace</x:v>
      </x:c>
      <x:c r="G1530" t="str">
        <x:v>Home</x:v>
      </x:c>
      <x:c r="H1530" t="str">
        <x:v>Coffee Maker</x:v>
      </x:c>
      <x:c r="I1530" t="n">
        <x:v>1</x:v>
      </x:c>
      <x:c r="J1530" s="4" t="n">
        <x:v>78.4</x:v>
      </x:c>
      <x:c r="K1530" s="4" t="n">
        <x:v>41</x:v>
      </x:c>
      <x:c r="L1530" s="5" t="n">
        <x:v>0.15</x:v>
      </x:c>
      <x:c r="M1530" s="4" t="n">
        <x:f>ROUND(I1530*J1530*(1-L1530),2)</x:f>
        <x:v>66.64</x:v>
      </x:c>
      <x:c r="N1530" s="4" t="n">
        <x:f>ROUND(I1530*K1530,2)</x:f>
        <x:v>41</x:v>
      </x:c>
      <x:c r="O1530" s="4" t="n">
        <x:f>ROUND(M1530-N1530,2)</x:f>
        <x:v>25.64</x:v>
      </x:c>
      <x:c r="P1530" s="6" t="n">
        <x:v>4.1</x:v>
      </x:c>
      <x:c r="Q1530" t="str">
        <x:v>Yes</x:v>
      </x:c>
    </x:row>
    <x:row r="1531">
      <x:c r="A1531" t="str">
        <x:v>ORD-00405</x:v>
      </x:c>
      <x:c r="B1531" s="3" t="n">
        <x:v>45915.51159303241</x:v>
      </x:c>
      <x:c r="C1531" t="str">
        <x:v>2025-09</x:v>
      </x:c>
      <x:c r="D1531" t="str">
        <x:v>CUS-0515</x:v>
      </x:c>
      <x:c r="E1531" t="str">
        <x:v>North East</x:v>
      </x:c>
      <x:c r="F1531" t="str">
        <x:v>Marketplace</x:v>
      </x:c>
      <x:c r="G1531" t="str">
        <x:v>Sports</x:v>
      </x:c>
      <x:c r="H1531" t="str">
        <x:v>Running Shoes</x:v>
      </x:c>
      <x:c r="I1531" t="n">
        <x:v>4</x:v>
      </x:c>
      <x:c r="J1531" s="4" t="n">
        <x:v>80.49</x:v>
      </x:c>
      <x:c r="K1531" s="4" t="n">
        <x:v>38</x:v>
      </x:c>
      <x:c r="L1531" s="5" t="n">
        <x:v>0.15</x:v>
      </x:c>
      <x:c r="M1531" s="4" t="n">
        <x:f>ROUND(I1531*J1531*(1-L1531),2)</x:f>
        <x:v>273.67</x:v>
      </x:c>
      <x:c r="N1531" s="4" t="n">
        <x:f>ROUND(I1531*K1531,2)</x:f>
        <x:v>152</x:v>
      </x:c>
      <x:c r="O1531" s="4" t="n">
        <x:f>ROUND(M1531-N1531,2)</x:f>
        <x:v>121.67</x:v>
      </x:c>
      <x:c r="P1531" s="6" t="n">
        <x:v>4.9</x:v>
      </x:c>
      <x:c r="Q1531" t="str">
        <x:v>No</x:v>
      </x:c>
    </x:row>
    <x:row r="1532">
      <x:c r="A1532" t="str">
        <x:v>ORD-01150</x:v>
      </x:c>
      <x:c r="B1532" s="3" t="n">
        <x:v>45915.951881064815</x:v>
      </x:c>
      <x:c r="C1532" t="str">
        <x:v>2025-09</x:v>
      </x:c>
      <x:c r="D1532" t="str">
        <x:v>CUS-0163</x:v>
      </x:c>
      <x:c r="E1532" t="str">
        <x:v>Midlands</x:v>
      </x:c>
      <x:c r="F1532" t="str">
        <x:v>Marketplace</x:v>
      </x:c>
      <x:c r="G1532" t="str">
        <x:v>Home</x:v>
      </x:c>
      <x:c r="H1532" t="str">
        <x:v>Desk Lamp</x:v>
      </x:c>
      <x:c r="I1532" t="n">
        <x:v>3</x:v>
      </x:c>
      <x:c r="J1532" s="4" t="n">
        <x:v>34.33</x:v>
      </x:c>
      <x:c r="K1532" s="4" t="n">
        <x:v>17</x:v>
      </x:c>
      <x:c r="L1532" s="5" t="n">
        <x:v>0.15</x:v>
      </x:c>
      <x:c r="M1532" s="4" t="n">
        <x:f>ROUND(I1532*J1532*(1-L1532),2)</x:f>
        <x:v>87.54</x:v>
      </x:c>
      <x:c r="N1532" s="4" t="n">
        <x:f>ROUND(I1532*K1532,2)</x:f>
        <x:v>51</x:v>
      </x:c>
      <x:c r="O1532" s="4" t="n">
        <x:f>ROUND(M1532-N1532,2)</x:f>
        <x:v>36.54</x:v>
      </x:c>
      <x:c r="P1532" s="6" t="n">
        <x:v>3.2</x:v>
      </x:c>
      <x:c r="Q1532" t="str">
        <x:v>No</x:v>
      </x:c>
    </x:row>
    <x:row r="1533">
      <x:c r="A1533" t="str">
        <x:v>ORD-00051</x:v>
      </x:c>
      <x:c r="B1533" s="3" t="n">
        <x:v>45916.150948738425</x:v>
      </x:c>
      <x:c r="C1533" t="str">
        <x:v>2025-09</x:v>
      </x:c>
      <x:c r="D1533" t="str">
        <x:v>CUS-0368</x:v>
      </x:c>
      <x:c r="E1533" t="str">
        <x:v>North West</x:v>
      </x:c>
      <x:c r="F1533" t="str">
        <x:v>Online</x:v>
      </x:c>
      <x:c r="G1533" t="str">
        <x:v>Home</x:v>
      </x:c>
      <x:c r="H1533" t="str">
        <x:v>Air Fryer</x:v>
      </x:c>
      <x:c r="I1533" t="n">
        <x:v>2</x:v>
      </x:c>
      <x:c r="J1533" s="4" t="n">
        <x:v>120.53</x:v>
      </x:c>
      <x:c r="K1533" s="4" t="n">
        <x:v>69</x:v>
      </x:c>
      <x:c r="L1533" s="5" t="n">
        <x:v>0.05</x:v>
      </x:c>
      <x:c r="M1533" s="4" t="n">
        <x:f>ROUND(I1533*J1533*(1-L1533),2)</x:f>
        <x:v>229.01</x:v>
      </x:c>
      <x:c r="N1533" s="4" t="n">
        <x:f>ROUND(I1533*K1533,2)</x:f>
        <x:v>138</x:v>
      </x:c>
      <x:c r="O1533" s="4" t="n">
        <x:f>ROUND(M1533-N1533,2)</x:f>
        <x:v>91.01</x:v>
      </x:c>
      <x:c r="P1533" s="6" t="n">
        <x:v>3.8</x:v>
      </x:c>
      <x:c r="Q1533" t="str">
        <x:v>No</x:v>
      </x:c>
    </x:row>
    <x:row r="1534">
      <x:c r="A1534" t="str">
        <x:v>ORD-01040</x:v>
      </x:c>
      <x:c r="B1534" s="3" t="n">
        <x:v>45916.26663226852</x:v>
      </x:c>
      <x:c r="C1534" t="str">
        <x:v>2025-09</x:v>
      </x:c>
      <x:c r="D1534" t="str">
        <x:v>CUS-0375</x:v>
      </x:c>
      <x:c r="E1534" t="str">
        <x:v>South West</x:v>
      </x:c>
      <x:c r="F1534" t="str">
        <x:v>Online</x:v>
      </x:c>
      <x:c r="G1534" t="str">
        <x:v>Electronics</x:v>
      </x:c>
      <x:c r="H1534" t="str">
        <x:v>Wireless Headphones</x:v>
      </x:c>
      <x:c r="I1534" t="n">
        <x:v>4</x:v>
      </x:c>
      <x:c r="J1534" s="4" t="n">
        <x:v>93.11</x:v>
      </x:c>
      <x:c r="K1534" s="4" t="n">
        <x:v>48</x:v>
      </x:c>
      <x:c r="L1534" s="5" t="n">
        <x:v>0.1</x:v>
      </x:c>
      <x:c r="M1534" s="4" t="n">
        <x:f>ROUND(I1534*J1534*(1-L1534),2)</x:f>
        <x:v>335.2</x:v>
      </x:c>
      <x:c r="N1534" s="4" t="n">
        <x:f>ROUND(I1534*K1534,2)</x:f>
        <x:v>192</x:v>
      </x:c>
      <x:c r="O1534" s="4" t="n">
        <x:f>ROUND(M1534-N1534,2)</x:f>
        <x:v>143.2</x:v>
      </x:c>
      <x:c r="P1534" s="6" t="n">
        <x:v>4.3</x:v>
      </x:c>
      <x:c r="Q1534" t="str">
        <x:v>No</x:v>
      </x:c>
    </x:row>
    <x:row r="1535">
      <x:c r="A1535" t="str">
        <x:v>ORD-01067</x:v>
      </x:c>
      <x:c r="B1535" s="3" t="n">
        <x:v>45917.01297193287</x:v>
      </x:c>
      <x:c r="C1535" t="str">
        <x:v>2025-09</x:v>
      </x:c>
      <x:c r="D1535" t="str">
        <x:v>CUS-0111</x:v>
      </x:c>
      <x:c r="E1535" t="str">
        <x:v>South West</x:v>
      </x:c>
      <x:c r="F1535" t="str">
        <x:v>Online</x:v>
      </x:c>
      <x:c r="G1535" t="str">
        <x:v>Beauty</x:v>
      </x:c>
      <x:c r="H1535" t="str">
        <x:v>Hair Dryer</x:v>
      </x:c>
      <x:c r="I1535" t="n">
        <x:v>1</x:v>
      </x:c>
      <x:c r="J1535" s="4" t="n">
        <x:v>59.9</x:v>
      </x:c>
      <x:c r="K1535" s="4" t="n">
        <x:v>29</x:v>
      </x:c>
      <x:c r="L1535" s="5" t="n">
        <x:v>0.05</x:v>
      </x:c>
      <x:c r="M1535" s="4" t="n">
        <x:f>ROUND(I1535*J1535*(1-L1535),2)</x:f>
        <x:v>56.9</x:v>
      </x:c>
      <x:c r="N1535" s="4" t="n">
        <x:f>ROUND(I1535*K1535,2)</x:f>
        <x:v>29</x:v>
      </x:c>
      <x:c r="O1535" s="4" t="n">
        <x:f>ROUND(M1535-N1535,2)</x:f>
        <x:v>27.9</x:v>
      </x:c>
      <x:c r="P1535" s="6" t="n">
        <x:v>5</x:v>
      </x:c>
      <x:c r="Q1535" t="str">
        <x:v>No</x:v>
      </x:c>
    </x:row>
    <x:row r="1536">
      <x:c r="A1536" t="str">
        <x:v>ORD-01370</x:v>
      </x:c>
      <x:c r="B1536" s="3" t="n">
        <x:v>45917.046115034726</x:v>
      </x:c>
      <x:c r="C1536" t="str">
        <x:v>2025-09</x:v>
      </x:c>
      <x:c r="D1536" t="str">
        <x:v>CUS-0334</x:v>
      </x:c>
      <x:c r="E1536" t="str">
        <x:v>South West</x:v>
      </x:c>
      <x:c r="F1536" t="str">
        <x:v>Store</x:v>
      </x:c>
      <x:c r="G1536" t="str">
        <x:v>Sports</x:v>
      </x:c>
      <x:c r="H1536" t="str">
        <x:v>Running Shoes</x:v>
      </x:c>
      <x:c r="I1536" t="n">
        <x:v>2</x:v>
      </x:c>
      <x:c r="J1536" s="4" t="n">
        <x:v>80.81</x:v>
      </x:c>
      <x:c r="K1536" s="4" t="n">
        <x:v>38</x:v>
      </x:c>
      <x:c r="L1536" s="5" t="n">
        <x:v>0</x:v>
      </x:c>
      <x:c r="M1536" s="4" t="n">
        <x:f>ROUND(I1536*J1536*(1-L1536),2)</x:f>
        <x:v>161.62</x:v>
      </x:c>
      <x:c r="N1536" s="4" t="n">
        <x:f>ROUND(I1536*K1536,2)</x:f>
        <x:v>76</x:v>
      </x:c>
      <x:c r="O1536" s="4" t="n">
        <x:f>ROUND(M1536-N1536,2)</x:f>
        <x:v>85.62</x:v>
      </x:c>
      <x:c r="P1536" s="6" t="n">
        <x:v>4.1</x:v>
      </x:c>
      <x:c r="Q1536" t="str">
        <x:v>Yes</x:v>
      </x:c>
    </x:row>
    <x:row r="1537">
      <x:c r="A1537" t="str">
        <x:v>ORD-00205</x:v>
      </x:c>
      <x:c r="B1537" s="3" t="n">
        <x:v>45917.25557037037</x:v>
      </x:c>
      <x:c r="C1537" t="str">
        <x:v>2025-09</x:v>
      </x:c>
      <x:c r="D1537" t="str">
        <x:v>CUS-0080</x:v>
      </x:c>
      <x:c r="E1537" t="str">
        <x:v>North East</x:v>
      </x:c>
      <x:c r="F1537" t="str">
        <x:v>Store</x:v>
      </x:c>
      <x:c r="G1537" t="str">
        <x:v>Electronics</x:v>
      </x:c>
      <x:c r="H1537" t="str">
        <x:v>Wireless Headphones</x:v>
      </x:c>
      <x:c r="I1537" t="n">
        <x:v>3</x:v>
      </x:c>
      <x:c r="J1537" s="4" t="n">
        <x:v>86.64</x:v>
      </x:c>
      <x:c r="K1537" s="4" t="n">
        <x:v>48</x:v>
      </x:c>
      <x:c r="L1537" s="5" t="n">
        <x:v>0.1</x:v>
      </x:c>
      <x:c r="M1537" s="4" t="n">
        <x:f>ROUND(I1537*J1537*(1-L1537),2)</x:f>
        <x:v>233.93</x:v>
      </x:c>
      <x:c r="N1537" s="4" t="n">
        <x:f>ROUND(I1537*K1537,2)</x:f>
        <x:v>144</x:v>
      </x:c>
      <x:c r="O1537" s="4" t="n">
        <x:f>ROUND(M1537-N1537,2)</x:f>
        <x:v>89.93</x:v>
      </x:c>
      <x:c r="P1537" s="6" t="n">
        <x:v>4.2</x:v>
      </x:c>
      <x:c r="Q1537" t="str">
        <x:v>No</x:v>
      </x:c>
    </x:row>
    <x:row r="1538">
      <x:c r="A1538" t="str">
        <x:v>ORD-01405</x:v>
      </x:c>
      <x:c r="B1538" s="3" t="n">
        <x:v>45917.34356671296</x:v>
      </x:c>
      <x:c r="C1538" t="str">
        <x:v>2025-09</x:v>
      </x:c>
      <x:c r="D1538" t="str">
        <x:v>CUS-0043</x:v>
      </x:c>
      <x:c r="E1538" t="str">
        <x:v>North East</x:v>
      </x:c>
      <x:c r="F1538" t="str">
        <x:v>Store</x:v>
      </x:c>
      <x:c r="G1538" t="str">
        <x:v>Fashion</x:v>
      </x:c>
      <x:c r="H1538" t="str">
        <x:v>Backpack</x:v>
      </x:c>
      <x:c r="I1538" t="n">
        <x:v>3</x:v>
      </x:c>
      <x:c r="J1538" s="4" t="n">
        <x:v>50.18</x:v>
      </x:c>
      <x:c r="K1538" s="4" t="n">
        <x:v>21</x:v>
      </x:c>
      <x:c r="L1538" s="5" t="n">
        <x:v>0</x:v>
      </x:c>
      <x:c r="M1538" s="4" t="n">
        <x:f>ROUND(I1538*J1538*(1-L1538),2)</x:f>
        <x:v>150.54</x:v>
      </x:c>
      <x:c r="N1538" s="4" t="n">
        <x:f>ROUND(I1538*K1538,2)</x:f>
        <x:v>63</x:v>
      </x:c>
      <x:c r="O1538" s="4" t="n">
        <x:f>ROUND(M1538-N1538,2)</x:f>
        <x:v>87.54</x:v>
      </x:c>
      <x:c r="P1538" s="6" t="n">
        <x:v>4.7</x:v>
      </x:c>
      <x:c r="Q1538" t="str">
        <x:v>No</x:v>
      </x:c>
    </x:row>
    <x:row r="1539">
      <x:c r="A1539" t="str">
        <x:v>ORD-01718</x:v>
      </x:c>
      <x:c r="B1539" s="3" t="n">
        <x:v>45917.44303545139</x:v>
      </x:c>
      <x:c r="C1539" t="str">
        <x:v>2025-09</x:v>
      </x:c>
      <x:c r="D1539" t="str">
        <x:v>CUS-0092</x:v>
      </x:c>
      <x:c r="E1539" t="str">
        <x:v>South West</x:v>
      </x:c>
      <x:c r="F1539" t="str">
        <x:v>Marketplace</x:v>
      </x:c>
      <x:c r="G1539" t="str">
        <x:v>Sports</x:v>
      </x:c>
      <x:c r="H1539" t="str">
        <x:v>Yoga Mat</x:v>
      </x:c>
      <x:c r="I1539" t="n">
        <x:v>4</x:v>
      </x:c>
      <x:c r="J1539" s="4" t="n">
        <x:v>29.92</x:v>
      </x:c>
      <x:c r="K1539" s="4" t="n">
        <x:v>12</x:v>
      </x:c>
      <x:c r="L1539" s="5" t="n">
        <x:v>0</x:v>
      </x:c>
      <x:c r="M1539" s="4" t="n">
        <x:f>ROUND(I1539*J1539*(1-L1539),2)</x:f>
        <x:v>119.68</x:v>
      </x:c>
      <x:c r="N1539" s="4" t="n">
        <x:f>ROUND(I1539*K1539,2)</x:f>
        <x:v>48</x:v>
      </x:c>
      <x:c r="O1539" s="4" t="n">
        <x:f>ROUND(M1539-N1539,2)</x:f>
        <x:v>71.68</x:v>
      </x:c>
      <x:c r="P1539" s="6" t="n">
        <x:v>3.4</x:v>
      </x:c>
      <x:c r="Q1539" t="str">
        <x:v>No</x:v>
      </x:c>
    </x:row>
    <x:row r="1540">
      <x:c r="A1540" t="str">
        <x:v>ORD-01617</x:v>
      </x:c>
      <x:c r="B1540" s="3" t="n">
        <x:v>45917.75722542824</x:v>
      </x:c>
      <x:c r="C1540" t="str">
        <x:v>2025-09</x:v>
      </x:c>
      <x:c r="D1540" t="str">
        <x:v>CUS-0127</x:v>
      </x:c>
      <x:c r="E1540" t="str">
        <x:v>Scotland</x:v>
      </x:c>
      <x:c r="F1540" t="str">
        <x:v>Online</x:v>
      </x:c>
      <x:c r="G1540" t="str">
        <x:v>Beauty</x:v>
      </x:c>
      <x:c r="H1540" t="str">
        <x:v>Hair Dryer</x:v>
      </x:c>
      <x:c r="I1540" t="n">
        <x:v>2</x:v>
      </x:c>
      <x:c r="J1540" s="4" t="n">
        <x:v>61.69</x:v>
      </x:c>
      <x:c r="K1540" s="4" t="n">
        <x:v>29</x:v>
      </x:c>
      <x:c r="L1540" s="5" t="n">
        <x:v>0</x:v>
      </x:c>
      <x:c r="M1540" s="4" t="n">
        <x:f>ROUND(I1540*J1540*(1-L1540),2)</x:f>
        <x:v>123.38</x:v>
      </x:c>
      <x:c r="N1540" s="4" t="n">
        <x:f>ROUND(I1540*K1540,2)</x:f>
        <x:v>58</x:v>
      </x:c>
      <x:c r="O1540" s="4" t="n">
        <x:f>ROUND(M1540-N1540,2)</x:f>
        <x:v>65.38</x:v>
      </x:c>
      <x:c r="P1540" s="6" t="n">
        <x:v>5</x:v>
      </x:c>
      <x:c r="Q1540" t="str">
        <x:v>No</x:v>
      </x:c>
    </x:row>
    <x:row r="1541">
      <x:c r="A1541" t="str">
        <x:v>ORD-01754</x:v>
      </x:c>
      <x:c r="B1541" s="3" t="n">
        <x:v>45918.05014037037</x:v>
      </x:c>
      <x:c r="C1541" t="str">
        <x:v>2025-09</x:v>
      </x:c>
      <x:c r="D1541" t="str">
        <x:v>CUS-0307</x:v>
      </x:c>
      <x:c r="E1541" t="str">
        <x:v>South East</x:v>
      </x:c>
      <x:c r="F1541" t="str">
        <x:v>Store</x:v>
      </x:c>
      <x:c r="G1541" t="str">
        <x:v>Beauty</x:v>
      </x:c>
      <x:c r="H1541" t="str">
        <x:v>Skin Care Set</x:v>
      </x:c>
      <x:c r="I1541" t="n">
        <x:v>3</x:v>
      </x:c>
      <x:c r="J1541" s="4" t="n">
        <x:v>45.79</x:v>
      </x:c>
      <x:c r="K1541" s="4" t="n">
        <x:v>18</x:v>
      </x:c>
      <x:c r="L1541" s="5" t="n">
        <x:v>0</x:v>
      </x:c>
      <x:c r="M1541" s="4" t="n">
        <x:f>ROUND(I1541*J1541*(1-L1541),2)</x:f>
        <x:v>137.37</x:v>
      </x:c>
      <x:c r="N1541" s="4" t="n">
        <x:f>ROUND(I1541*K1541,2)</x:f>
        <x:v>54</x:v>
      </x:c>
      <x:c r="O1541" s="4" t="n">
        <x:f>ROUND(M1541-N1541,2)</x:f>
        <x:v>83.37</x:v>
      </x:c>
      <x:c r="P1541" s="6" t="n">
        <x:v>5</x:v>
      </x:c>
      <x:c r="Q1541" t="str">
        <x:v>No</x:v>
      </x:c>
    </x:row>
    <x:row r="1542">
      <x:c r="A1542" t="str">
        <x:v>ORD-00981</x:v>
      </x:c>
      <x:c r="B1542" s="3" t="n">
        <x:v>45918.229510300924</x:v>
      </x:c>
      <x:c r="C1542" t="str">
        <x:v>2025-09</x:v>
      </x:c>
      <x:c r="D1542" t="str">
        <x:v>CUS-0051</x:v>
      </x:c>
      <x:c r="E1542" t="str">
        <x:v>South East</x:v>
      </x:c>
      <x:c r="F1542" t="str">
        <x:v>Marketplace</x:v>
      </x:c>
      <x:c r="G1542" t="str">
        <x:v>Beauty</x:v>
      </x:c>
      <x:c r="H1542" t="str">
        <x:v>Skin Care Set</x:v>
      </x:c>
      <x:c r="I1542" t="n">
        <x:v>3</x:v>
      </x:c>
      <x:c r="J1542" s="4" t="n">
        <x:v>42.79</x:v>
      </x:c>
      <x:c r="K1542" s="4" t="n">
        <x:v>18</x:v>
      </x:c>
      <x:c r="L1542" s="5" t="n">
        <x:v>0.05</x:v>
      </x:c>
      <x:c r="M1542" s="4" t="n">
        <x:f>ROUND(I1542*J1542*(1-L1542),2)</x:f>
        <x:v>121.95</x:v>
      </x:c>
      <x:c r="N1542" s="4" t="n">
        <x:f>ROUND(I1542*K1542,2)</x:f>
        <x:v>54</x:v>
      </x:c>
      <x:c r="O1542" s="4" t="n">
        <x:f>ROUND(M1542-N1542,2)</x:f>
        <x:v>67.95</x:v>
      </x:c>
      <x:c r="P1542" s="6" t="n">
        <x:v>3.4</x:v>
      </x:c>
      <x:c r="Q1542" t="str">
        <x:v>No</x:v>
      </x:c>
    </x:row>
    <x:row r="1543">
      <x:c r="A1543" t="str">
        <x:v>ORD-00175</x:v>
      </x:c>
      <x:c r="B1543" s="3" t="n">
        <x:v>45918.284408761574</x:v>
      </x:c>
      <x:c r="C1543" t="str">
        <x:v>2025-09</x:v>
      </x:c>
      <x:c r="D1543" t="str">
        <x:v>CUS-0198</x:v>
      </x:c>
      <x:c r="E1543" t="str">
        <x:v>Midlands</x:v>
      </x:c>
      <x:c r="F1543" t="str">
        <x:v>Marketplace</x:v>
      </x:c>
      <x:c r="G1543" t="str">
        <x:v>Books</x:v>
      </x:c>
      <x:c r="H1543" t="str">
        <x:v>Data Analytics Handbook</x:v>
      </x:c>
      <x:c r="I1543" t="n">
        <x:v>3</x:v>
      </x:c>
      <x:c r="J1543" s="4" t="n">
        <x:v>38.59</x:v>
      </x:c>
      <x:c r="K1543" s="4" t="n">
        <x:v>14</x:v>
      </x:c>
      <x:c r="L1543" s="5" t="n">
        <x:v>0.05</x:v>
      </x:c>
      <x:c r="M1543" s="4" t="n">
        <x:f>ROUND(I1543*J1543*(1-L1543),2)</x:f>
        <x:v>109.98</x:v>
      </x:c>
      <x:c r="N1543" s="4" t="n">
        <x:f>ROUND(I1543*K1543,2)</x:f>
        <x:v>42</x:v>
      </x:c>
      <x:c r="O1543" s="4" t="n">
        <x:f>ROUND(M1543-N1543,2)</x:f>
        <x:v>67.98</x:v>
      </x:c>
      <x:c r="P1543" s="6" t="n">
        <x:v>3.3</x:v>
      </x:c>
      <x:c r="Q1543" t="str">
        <x:v>No</x:v>
      </x:c>
    </x:row>
    <x:row r="1544">
      <x:c r="A1544" t="str">
        <x:v>ORD-00214</x:v>
      </x:c>
      <x:c r="B1544" s="3" t="n">
        <x:v>45918.47357011574</x:v>
      </x:c>
      <x:c r="C1544" t="str">
        <x:v>2025-09</x:v>
      </x:c>
      <x:c r="D1544" t="str">
        <x:v>CUS-0055</x:v>
      </x:c>
      <x:c r="E1544" t="str">
        <x:v>North West</x:v>
      </x:c>
      <x:c r="F1544" t="str">
        <x:v>Online</x:v>
      </x:c>
      <x:c r="G1544" t="str">
        <x:v>Home</x:v>
      </x:c>
      <x:c r="H1544" t="str">
        <x:v>Coffee Maker</x:v>
      </x:c>
      <x:c r="I1544" t="n">
        <x:v>5</x:v>
      </x:c>
      <x:c r="J1544" s="4" t="n">
        <x:v>78.16</x:v>
      </x:c>
      <x:c r="K1544" s="4" t="n">
        <x:v>41</x:v>
      </x:c>
      <x:c r="L1544" s="5" t="n">
        <x:v>0.1</x:v>
      </x:c>
      <x:c r="M1544" s="4" t="n">
        <x:f>ROUND(I1544*J1544*(1-L1544),2)</x:f>
        <x:v>351.72</x:v>
      </x:c>
      <x:c r="N1544" s="4" t="n">
        <x:f>ROUND(I1544*K1544,2)</x:f>
        <x:v>205</x:v>
      </x:c>
      <x:c r="O1544" s="4" t="n">
        <x:f>ROUND(M1544-N1544,2)</x:f>
        <x:v>146.72</x:v>
      </x:c>
      <x:c r="P1544" s="6" t="n">
        <x:v>3.2</x:v>
      </x:c>
      <x:c r="Q1544" t="str">
        <x:v>No</x:v>
      </x:c>
    </x:row>
    <x:row r="1545">
      <x:c r="A1545" t="str">
        <x:v>ORD-00286</x:v>
      </x:c>
      <x:c r="B1545" s="3" t="n">
        <x:v>45919.14149443287</x:v>
      </x:c>
      <x:c r="C1545" t="str">
        <x:v>2025-09</x:v>
      </x:c>
      <x:c r="D1545" t="str">
        <x:v>CUS-0174</x:v>
      </x:c>
      <x:c r="E1545" t="str">
        <x:v>South West</x:v>
      </x:c>
      <x:c r="F1545" t="str">
        <x:v>Store</x:v>
      </x:c>
      <x:c r="G1545" t="str">
        <x:v>Home</x:v>
      </x:c>
      <x:c r="H1545" t="str">
        <x:v>Coffee Maker</x:v>
      </x:c>
      <x:c r="I1545" t="n">
        <x:v>2</x:v>
      </x:c>
      <x:c r="J1545" s="4" t="n">
        <x:v>76.97</x:v>
      </x:c>
      <x:c r="K1545" s="4" t="n">
        <x:v>41</x:v>
      </x:c>
      <x:c r="L1545" s="5" t="n">
        <x:v>0.15</x:v>
      </x:c>
      <x:c r="M1545" s="4" t="n">
        <x:f>ROUND(I1545*J1545*(1-L1545),2)</x:f>
        <x:v>130.85</x:v>
      </x:c>
      <x:c r="N1545" s="4" t="n">
        <x:f>ROUND(I1545*K1545,2)</x:f>
        <x:v>82</x:v>
      </x:c>
      <x:c r="O1545" s="4" t="n">
        <x:f>ROUND(M1545-N1545,2)</x:f>
        <x:v>48.85</x:v>
      </x:c>
      <x:c r="P1545" s="6" t="n">
        <x:v>4.8</x:v>
      </x:c>
      <x:c r="Q1545" t="str">
        <x:v>Yes</x:v>
      </x:c>
    </x:row>
    <x:row r="1546">
      <x:c r="A1546" t="str">
        <x:v>ORD-00333</x:v>
      </x:c>
      <x:c r="B1546" s="3" t="n">
        <x:v>45919.41621549769</x:v>
      </x:c>
      <x:c r="C1546" t="str">
        <x:v>2025-09</x:v>
      </x:c>
      <x:c r="D1546" t="str">
        <x:v>CUS-0398</x:v>
      </x:c>
      <x:c r="E1546" t="str">
        <x:v>South East</x:v>
      </x:c>
      <x:c r="F1546" t="str">
        <x:v>Marketplace</x:v>
      </x:c>
      <x:c r="G1546" t="str">
        <x:v>Fashion</x:v>
      </x:c>
      <x:c r="H1546" t="str">
        <x:v>Backpack</x:v>
      </x:c>
      <x:c r="I1546" t="n">
        <x:v>2</x:v>
      </x:c>
      <x:c r="J1546" s="4" t="n">
        <x:v>48.88</x:v>
      </x:c>
      <x:c r="K1546" s="4" t="n">
        <x:v>21</x:v>
      </x:c>
      <x:c r="L1546" s="5" t="n">
        <x:v>0.1</x:v>
      </x:c>
      <x:c r="M1546" s="4" t="n">
        <x:f>ROUND(I1546*J1546*(1-L1546),2)</x:f>
        <x:v>87.98</x:v>
      </x:c>
      <x:c r="N1546" s="4" t="n">
        <x:f>ROUND(I1546*K1546,2)</x:f>
        <x:v>42</x:v>
      </x:c>
      <x:c r="O1546" s="4" t="n">
        <x:f>ROUND(M1546-N1546,2)</x:f>
        <x:v>45.98</x:v>
      </x:c>
      <x:c r="P1546" s="6" t="n">
        <x:v>4.3</x:v>
      </x:c>
      <x:c r="Q1546" t="str">
        <x:v>No</x:v>
      </x:c>
    </x:row>
    <x:row r="1547">
      <x:c r="A1547" t="str">
        <x:v>ORD-00762</x:v>
      </x:c>
      <x:c r="B1547" s="3" t="n">
        <x:v>45919.43068064815</x:v>
      </x:c>
      <x:c r="C1547" t="str">
        <x:v>2025-09</x:v>
      </x:c>
      <x:c r="D1547" t="str">
        <x:v>CUS-0298</x:v>
      </x:c>
      <x:c r="E1547" t="str">
        <x:v>South West</x:v>
      </x:c>
      <x:c r="F1547" t="str">
        <x:v>Store</x:v>
      </x:c>
      <x:c r="G1547" t="str">
        <x:v>Fashion</x:v>
      </x:c>
      <x:c r="H1547" t="str">
        <x:v>Winter Jacket</x:v>
      </x:c>
      <x:c r="I1547" t="n">
        <x:v>4</x:v>
      </x:c>
      <x:c r="J1547" s="4" t="n">
        <x:v>95.88</x:v>
      </x:c>
      <x:c r="K1547" s="4" t="n">
        <x:v>46</x:v>
      </x:c>
      <x:c r="L1547" s="5" t="n">
        <x:v>0</x:v>
      </x:c>
      <x:c r="M1547" s="4" t="n">
        <x:f>ROUND(I1547*J1547*(1-L1547),2)</x:f>
        <x:v>383.52</x:v>
      </x:c>
      <x:c r="N1547" s="4" t="n">
        <x:f>ROUND(I1547*K1547,2)</x:f>
        <x:v>184</x:v>
      </x:c>
      <x:c r="O1547" s="4" t="n">
        <x:f>ROUND(M1547-N1547,2)</x:f>
        <x:v>199.52</x:v>
      </x:c>
      <x:c r="P1547" s="6" t="n">
        <x:v>4.8</x:v>
      </x:c>
      <x:c r="Q1547" t="str">
        <x:v>No</x:v>
      </x:c>
    </x:row>
    <x:row r="1548">
      <x:c r="A1548" t="str">
        <x:v>ORD-00463</x:v>
      </x:c>
      <x:c r="B1548" s="3" t="n">
        <x:v>45919.59063158565</x:v>
      </x:c>
      <x:c r="C1548" t="str">
        <x:v>2025-09</x:v>
      </x:c>
      <x:c r="D1548" t="str">
        <x:v>CUS-0139</x:v>
      </x:c>
      <x:c r="E1548" t="str">
        <x:v>Midlands</x:v>
      </x:c>
      <x:c r="F1548" t="str">
        <x:v>Online</x:v>
      </x:c>
      <x:c r="G1548" t="str">
        <x:v>Home</x:v>
      </x:c>
      <x:c r="H1548" t="str">
        <x:v>Desk Lamp</x:v>
      </x:c>
      <x:c r="I1548" t="n">
        <x:v>4</x:v>
      </x:c>
      <x:c r="J1548" s="4" t="n">
        <x:v>35.81</x:v>
      </x:c>
      <x:c r="K1548" s="4" t="n">
        <x:v>17</x:v>
      </x:c>
      <x:c r="L1548" s="5" t="n">
        <x:v>0.05</x:v>
      </x:c>
      <x:c r="M1548" s="4" t="n">
        <x:f>ROUND(I1548*J1548*(1-L1548),2)</x:f>
        <x:v>136.08</x:v>
      </x:c>
      <x:c r="N1548" s="4" t="n">
        <x:f>ROUND(I1548*K1548,2)</x:f>
        <x:v>68</x:v>
      </x:c>
      <x:c r="O1548" s="4" t="n">
        <x:f>ROUND(M1548-N1548,2)</x:f>
        <x:v>68.08</x:v>
      </x:c>
      <x:c r="P1548" s="6" t="n">
        <x:v>4.9</x:v>
      </x:c>
      <x:c r="Q1548" t="str">
        <x:v>No</x:v>
      </x:c>
    </x:row>
    <x:row r="1549">
      <x:c r="A1549" t="str">
        <x:v>ORD-01463</x:v>
      </x:c>
      <x:c r="B1549" s="3" t="n">
        <x:v>45919.61936269676</x:v>
      </x:c>
      <x:c r="C1549" t="str">
        <x:v>2025-09</x:v>
      </x:c>
      <x:c r="D1549" t="str">
        <x:v>CUS-0449</x:v>
      </x:c>
      <x:c r="E1549" t="str">
        <x:v>Wales</x:v>
      </x:c>
      <x:c r="F1549" t="str">
        <x:v>Store</x:v>
      </x:c>
      <x:c r="G1549" t="str">
        <x:v>Beauty</x:v>
      </x:c>
      <x:c r="H1549" t="str">
        <x:v>Hair Dryer</x:v>
      </x:c>
      <x:c r="I1549" t="n">
        <x:v>1</x:v>
      </x:c>
      <x:c r="J1549" s="4" t="n">
        <x:v>62.87</x:v>
      </x:c>
      <x:c r="K1549" s="4" t="n">
        <x:v>29</x:v>
      </x:c>
      <x:c r="L1549" s="5" t="n">
        <x:v>0.1</x:v>
      </x:c>
      <x:c r="M1549" s="4" t="n">
        <x:f>ROUND(I1549*J1549*(1-L1549),2)</x:f>
        <x:v>56.58</x:v>
      </x:c>
      <x:c r="N1549" s="4" t="n">
        <x:f>ROUND(I1549*K1549,2)</x:f>
        <x:v>29</x:v>
      </x:c>
      <x:c r="O1549" s="4" t="n">
        <x:f>ROUND(M1549-N1549,2)</x:f>
        <x:v>27.58</x:v>
      </x:c>
      <x:c r="P1549" s="6" t="n">
        <x:v>3.9</x:v>
      </x:c>
      <x:c r="Q1549" t="str">
        <x:v>No</x:v>
      </x:c>
    </x:row>
    <x:row r="1550">
      <x:c r="A1550" t="str">
        <x:v>ORD-01470</x:v>
      </x:c>
      <x:c r="B1550" s="3" t="n">
        <x:v>45919.96199960648</x:v>
      </x:c>
      <x:c r="C1550" t="str">
        <x:v>2025-09</x:v>
      </x:c>
      <x:c r="D1550" t="str">
        <x:v>CUS-0364</x:v>
      </x:c>
      <x:c r="E1550" t="str">
        <x:v>Wales</x:v>
      </x:c>
      <x:c r="F1550" t="str">
        <x:v>Online</x:v>
      </x:c>
      <x:c r="G1550" t="str">
        <x:v>Electronics</x:v>
      </x:c>
      <x:c r="H1550" t="str">
        <x:v>Smart Watch</x:v>
      </x:c>
      <x:c r="I1550" t="n">
        <x:v>5</x:v>
      </x:c>
      <x:c r="J1550" s="4" t="n">
        <x:v>162.26</x:v>
      </x:c>
      <x:c r="K1550" s="4" t="n">
        <x:v>92</x:v>
      </x:c>
      <x:c r="L1550" s="5" t="n">
        <x:v>0.2</x:v>
      </x:c>
      <x:c r="M1550" s="4" t="n">
        <x:f>ROUND(I1550*J1550*(1-L1550),2)</x:f>
        <x:v>649.04</x:v>
      </x:c>
      <x:c r="N1550" s="4" t="n">
        <x:f>ROUND(I1550*K1550,2)</x:f>
        <x:v>460</x:v>
      </x:c>
      <x:c r="O1550" s="4" t="n">
        <x:f>ROUND(M1550-N1550,2)</x:f>
        <x:v>189.04</x:v>
      </x:c>
      <x:c r="P1550" s="6" t="n">
        <x:v>3.8</x:v>
      </x:c>
      <x:c r="Q1550" t="str">
        <x:v>No</x:v>
      </x:c>
    </x:row>
    <x:row r="1551">
      <x:c r="A1551" t="str">
        <x:v>ORD-00921</x:v>
      </x:c>
      <x:c r="B1551" s="3" t="n">
        <x:v>45920.04253341435</x:v>
      </x:c>
      <x:c r="C1551" t="str">
        <x:v>2025-09</x:v>
      </x:c>
      <x:c r="D1551" t="str">
        <x:v>CUS-0258</x:v>
      </x:c>
      <x:c r="E1551" t="str">
        <x:v>North East</x:v>
      </x:c>
      <x:c r="F1551" t="str">
        <x:v>Marketplace</x:v>
      </x:c>
      <x:c r="G1551" t="str">
        <x:v>Beauty</x:v>
      </x:c>
      <x:c r="H1551" t="str">
        <x:v>Skin Care Set</x:v>
      </x:c>
      <x:c r="I1551" t="n">
        <x:v>2</x:v>
      </x:c>
      <x:c r="J1551" s="4" t="n">
        <x:v>46.39</x:v>
      </x:c>
      <x:c r="K1551" s="4" t="n">
        <x:v>18</x:v>
      </x:c>
      <x:c r="L1551" s="5" t="n">
        <x:v>0.15</x:v>
      </x:c>
      <x:c r="M1551" s="4" t="n">
        <x:f>ROUND(I1551*J1551*(1-L1551),2)</x:f>
        <x:v>78.86</x:v>
      </x:c>
      <x:c r="N1551" s="4" t="n">
        <x:f>ROUND(I1551*K1551,2)</x:f>
        <x:v>36</x:v>
      </x:c>
      <x:c r="O1551" s="4" t="n">
        <x:f>ROUND(M1551-N1551,2)</x:f>
        <x:v>42.86</x:v>
      </x:c>
      <x:c r="P1551" s="6" t="n">
        <x:v>4.6</x:v>
      </x:c>
      <x:c r="Q1551" t="str">
        <x:v>No</x:v>
      </x:c>
    </x:row>
    <x:row r="1552">
      <x:c r="A1552" t="str">
        <x:v>ORD-01430</x:v>
      </x:c>
      <x:c r="B1552" s="3" t="n">
        <x:v>45920.14064377315</x:v>
      </x:c>
      <x:c r="C1552" t="str">
        <x:v>2025-09</x:v>
      </x:c>
      <x:c r="D1552" t="str">
        <x:v>CUS-0401</x:v>
      </x:c>
      <x:c r="E1552" t="str">
        <x:v>Wales</x:v>
      </x:c>
      <x:c r="F1552" t="str">
        <x:v>Store</x:v>
      </x:c>
      <x:c r="G1552" t="str">
        <x:v>Sports</x:v>
      </x:c>
      <x:c r="H1552" t="str">
        <x:v>Yoga Mat</x:v>
      </x:c>
      <x:c r="I1552" t="n">
        <x:v>3</x:v>
      </x:c>
      <x:c r="J1552" s="4" t="n">
        <x:v>31.24</x:v>
      </x:c>
      <x:c r="K1552" s="4" t="n">
        <x:v>12</x:v>
      </x:c>
      <x:c r="L1552" s="5" t="n">
        <x:v>0.1</x:v>
      </x:c>
      <x:c r="M1552" s="4" t="n">
        <x:f>ROUND(I1552*J1552*(1-L1552),2)</x:f>
        <x:v>84.35</x:v>
      </x:c>
      <x:c r="N1552" s="4" t="n">
        <x:f>ROUND(I1552*K1552,2)</x:f>
        <x:v>36</x:v>
      </x:c>
      <x:c r="O1552" s="4" t="n">
        <x:f>ROUND(M1552-N1552,2)</x:f>
        <x:v>48.35</x:v>
      </x:c>
      <x:c r="P1552" s="6" t="n">
        <x:v>4.6</x:v>
      </x:c>
      <x:c r="Q1552" t="str">
        <x:v>No</x:v>
      </x:c>
    </x:row>
    <x:row r="1553">
      <x:c r="A1553" t="str">
        <x:v>ORD-00380</x:v>
      </x:c>
      <x:c r="B1553" s="3" t="n">
        <x:v>45921.64276236111</x:v>
      </x:c>
      <x:c r="C1553" t="str">
        <x:v>2025-09</x:v>
      </x:c>
      <x:c r="D1553" t="str">
        <x:v>CUS-0538</x:v>
      </x:c>
      <x:c r="E1553" t="str">
        <x:v>South East</x:v>
      </x:c>
      <x:c r="F1553" t="str">
        <x:v>Store</x:v>
      </x:c>
      <x:c r="G1553" t="str">
        <x:v>Sports</x:v>
      </x:c>
      <x:c r="H1553" t="str">
        <x:v>Fitness Tracker</x:v>
      </x:c>
      <x:c r="I1553" t="n">
        <x:v>5</x:v>
      </x:c>
      <x:c r="J1553" s="4" t="n">
        <x:v>57.37</x:v>
      </x:c>
      <x:c r="K1553" s="4" t="n">
        <x:v>27</x:v>
      </x:c>
      <x:c r="L1553" s="5" t="n">
        <x:v>0</x:v>
      </x:c>
      <x:c r="M1553" s="4" t="n">
        <x:f>ROUND(I1553*J1553*(1-L1553),2)</x:f>
        <x:v>286.85</x:v>
      </x:c>
      <x:c r="N1553" s="4" t="n">
        <x:f>ROUND(I1553*K1553,2)</x:f>
        <x:v>135</x:v>
      </x:c>
      <x:c r="O1553" s="4" t="n">
        <x:f>ROUND(M1553-N1553,2)</x:f>
        <x:v>151.85</x:v>
      </x:c>
      <x:c r="P1553" s="6" t="n">
        <x:v>3.6</x:v>
      </x:c>
      <x:c r="Q1553" t="str">
        <x:v>No</x:v>
      </x:c>
    </x:row>
    <x:row r="1554">
      <x:c r="A1554" t="str">
        <x:v>ORD-00140</x:v>
      </x:c>
      <x:c r="B1554" s="3" t="n">
        <x:v>45923.032869710645</x:v>
      </x:c>
      <x:c r="C1554" t="str">
        <x:v>2025-09</x:v>
      </x:c>
      <x:c r="D1554" t="str">
        <x:v>CUS-0040</x:v>
      </x:c>
      <x:c r="E1554" t="str">
        <x:v>North West</x:v>
      </x:c>
      <x:c r="F1554" t="str">
        <x:v>Online</x:v>
      </x:c>
      <x:c r="G1554" t="str">
        <x:v>Home</x:v>
      </x:c>
      <x:c r="H1554" t="str">
        <x:v>Coffee Maker</x:v>
      </x:c>
      <x:c r="I1554" t="n">
        <x:v>3</x:v>
      </x:c>
      <x:c r="J1554" s="4" t="n">
        <x:v>74.43</x:v>
      </x:c>
      <x:c r="K1554" s="4" t="n">
        <x:v>41</x:v>
      </x:c>
      <x:c r="L1554" s="5" t="n">
        <x:v>0.05</x:v>
      </x:c>
      <x:c r="M1554" s="4" t="n">
        <x:f>ROUND(I1554*J1554*(1-L1554),2)</x:f>
        <x:v>212.13</x:v>
      </x:c>
      <x:c r="N1554" s="4" t="n">
        <x:f>ROUND(I1554*K1554,2)</x:f>
        <x:v>123</x:v>
      </x:c>
      <x:c r="O1554" s="4" t="n">
        <x:f>ROUND(M1554-N1554,2)</x:f>
        <x:v>89.13</x:v>
      </x:c>
      <x:c r="P1554" s="6" t="n">
        <x:v>3.4</x:v>
      </x:c>
      <x:c r="Q1554" t="str">
        <x:v>No</x:v>
      </x:c>
    </x:row>
    <x:row r="1555">
      <x:c r="A1555" t="str">
        <x:v>ORD-00604</x:v>
      </x:c>
      <x:c r="B1555" s="3" t="n">
        <x:v>45923.43568185185</x:v>
      </x:c>
      <x:c r="C1555" t="str">
        <x:v>2025-09</x:v>
      </x:c>
      <x:c r="D1555" t="str">
        <x:v>CUS-0088</x:v>
      </x:c>
      <x:c r="E1555" t="str">
        <x:v>South East</x:v>
      </x:c>
      <x:c r="F1555" t="str">
        <x:v>Store</x:v>
      </x:c>
      <x:c r="G1555" t="str">
        <x:v>Fashion</x:v>
      </x:c>
      <x:c r="H1555" t="str">
        <x:v>Classic Trainers</x:v>
      </x:c>
      <x:c r="I1555" t="n">
        <x:v>1</x:v>
      </x:c>
      <x:c r="J1555" s="4" t="n">
        <x:v>69.54</x:v>
      </x:c>
      <x:c r="K1555" s="4" t="n">
        <x:v>32</x:v>
      </x:c>
      <x:c r="L1555" s="5" t="n">
        <x:v>0</x:v>
      </x:c>
      <x:c r="M1555" s="4" t="n">
        <x:f>ROUND(I1555*J1555*(1-L1555),2)</x:f>
        <x:v>69.54</x:v>
      </x:c>
      <x:c r="N1555" s="4" t="n">
        <x:f>ROUND(I1555*K1555,2)</x:f>
        <x:v>32</x:v>
      </x:c>
      <x:c r="O1555" s="4" t="n">
        <x:f>ROUND(M1555-N1555,2)</x:f>
        <x:v>37.54</x:v>
      </x:c>
      <x:c r="P1555" s="6" t="n">
        <x:v>3.5</x:v>
      </x:c>
      <x:c r="Q1555" t="str">
        <x:v>No</x:v>
      </x:c>
    </x:row>
    <x:row r="1556">
      <x:c r="A1556" t="str">
        <x:v>ORD-00521</x:v>
      </x:c>
      <x:c r="B1556" s="3" t="n">
        <x:v>45923.77136712963</x:v>
      </x:c>
      <x:c r="C1556" t="str">
        <x:v>2025-09</x:v>
      </x:c>
      <x:c r="D1556" t="str">
        <x:v>CUS-0366</x:v>
      </x:c>
      <x:c r="E1556" t="str">
        <x:v>Scotland</x:v>
      </x:c>
      <x:c r="F1556" t="str">
        <x:v>Online</x:v>
      </x:c>
      <x:c r="G1556" t="str">
        <x:v>Electronics</x:v>
      </x:c>
      <x:c r="H1556" t="str">
        <x:v>Bluetooth Speaker</x:v>
      </x:c>
      <x:c r="I1556" t="n">
        <x:v>5</x:v>
      </x:c>
      <x:c r="J1556" s="4" t="n">
        <x:v>62.58</x:v>
      </x:c>
      <x:c r="K1556" s="4" t="n">
        <x:v>34</x:v>
      </x:c>
      <x:c r="L1556" s="5" t="n">
        <x:v>0.2</x:v>
      </x:c>
      <x:c r="M1556" s="4" t="n">
        <x:f>ROUND(I1556*J1556*(1-L1556),2)</x:f>
        <x:v>250.32</x:v>
      </x:c>
      <x:c r="N1556" s="4" t="n">
        <x:f>ROUND(I1556*K1556,2)</x:f>
        <x:v>170</x:v>
      </x:c>
      <x:c r="O1556" s="4" t="n">
        <x:f>ROUND(M1556-N1556,2)</x:f>
        <x:v>80.32</x:v>
      </x:c>
      <x:c r="P1556" s="6" t="n">
        <x:v>4.5</x:v>
      </x:c>
      <x:c r="Q1556" t="str">
        <x:v>No</x:v>
      </x:c>
    </x:row>
    <x:row r="1557">
      <x:c r="A1557" t="str">
        <x:v>ORD-00353</x:v>
      </x:c>
      <x:c r="B1557" s="3" t="n">
        <x:v>45924.18860601852</x:v>
      </x:c>
      <x:c r="C1557" t="str">
        <x:v>2025-09</x:v>
      </x:c>
      <x:c r="D1557" t="str">
        <x:v>CUS-0056</x:v>
      </x:c>
      <x:c r="E1557" t="str">
        <x:v>London</x:v>
      </x:c>
      <x:c r="F1557" t="str">
        <x:v>Online</x:v>
      </x:c>
      <x:c r="G1557" t="str">
        <x:v>Sports</x:v>
      </x:c>
      <x:c r="H1557" t="str">
        <x:v>Fitness Tracker</x:v>
      </x:c>
      <x:c r="I1557" t="n">
        <x:v>3</x:v>
      </x:c>
      <x:c r="J1557" s="4" t="n">
        <x:v>52.72</x:v>
      </x:c>
      <x:c r="K1557" s="4" t="n">
        <x:v>27</x:v>
      </x:c>
      <x:c r="L1557" s="5" t="n">
        <x:v>0.15</x:v>
      </x:c>
      <x:c r="M1557" s="4" t="n">
        <x:f>ROUND(I1557*J1557*(1-L1557),2)</x:f>
        <x:v>134.44</x:v>
      </x:c>
      <x:c r="N1557" s="4" t="n">
        <x:f>ROUND(I1557*K1557,2)</x:f>
        <x:v>81</x:v>
      </x:c>
      <x:c r="O1557" s="4" t="n">
        <x:f>ROUND(M1557-N1557,2)</x:f>
        <x:v>53.44</x:v>
      </x:c>
      <x:c r="P1557" s="6" t="n">
        <x:v>3.9</x:v>
      </x:c>
      <x:c r="Q1557" t="str">
        <x:v>No</x:v>
      </x:c>
    </x:row>
    <x:row r="1558">
      <x:c r="A1558" t="str">
        <x:v>ORD-01566</x:v>
      </x:c>
      <x:c r="B1558" s="3" t="n">
        <x:v>45924.22127525463</x:v>
      </x:c>
      <x:c r="C1558" t="str">
        <x:v>2025-09</x:v>
      </x:c>
      <x:c r="D1558" t="str">
        <x:v>CUS-0446</x:v>
      </x:c>
      <x:c r="E1558" t="str">
        <x:v>Midlands</x:v>
      </x:c>
      <x:c r="F1558" t="str">
        <x:v>Store</x:v>
      </x:c>
      <x:c r="G1558" t="str">
        <x:v>Electronics</x:v>
      </x:c>
      <x:c r="H1558" t="str">
        <x:v>Wireless Headphones</x:v>
      </x:c>
      <x:c r="I1558" t="n">
        <x:v>4</x:v>
      </x:c>
      <x:c r="J1558" s="4" t="n">
        <x:v>85.52</x:v>
      </x:c>
      <x:c r="K1558" s="4" t="n">
        <x:v>48</x:v>
      </x:c>
      <x:c r="L1558" s="5" t="n">
        <x:v>0.05</x:v>
      </x:c>
      <x:c r="M1558" s="4" t="n">
        <x:f>ROUND(I1558*J1558*(1-L1558),2)</x:f>
        <x:v>324.98</x:v>
      </x:c>
      <x:c r="N1558" s="4" t="n">
        <x:f>ROUND(I1558*K1558,2)</x:f>
        <x:v>192</x:v>
      </x:c>
      <x:c r="O1558" s="4" t="n">
        <x:f>ROUND(M1558-N1558,2)</x:f>
        <x:v>132.98</x:v>
      </x:c>
      <x:c r="P1558" s="6" t="n">
        <x:v>4.9</x:v>
      </x:c>
      <x:c r="Q1558" t="str">
        <x:v>No</x:v>
      </x:c>
    </x:row>
    <x:row r="1559">
      <x:c r="A1559" t="str">
        <x:v>ORD-00119</x:v>
      </x:c>
      <x:c r="B1559" s="3" t="n">
        <x:v>45924.402200034725</x:v>
      </x:c>
      <x:c r="C1559" t="str">
        <x:v>2025-09</x:v>
      </x:c>
      <x:c r="D1559" t="str">
        <x:v>CUS-0268</x:v>
      </x:c>
      <x:c r="E1559" t="str">
        <x:v>Midlands</x:v>
      </x:c>
      <x:c r="F1559" t="str">
        <x:v>Store</x:v>
      </x:c>
      <x:c r="G1559" t="str">
        <x:v>Sports</x:v>
      </x:c>
      <x:c r="H1559" t="str">
        <x:v>Fitness Tracker</x:v>
      </x:c>
      <x:c r="I1559" t="n">
        <x:v>3</x:v>
      </x:c>
      <x:c r="J1559" s="4" t="n">
        <x:v>57.54</x:v>
      </x:c>
      <x:c r="K1559" s="4" t="n">
        <x:v>27</x:v>
      </x:c>
      <x:c r="L1559" s="5" t="n">
        <x:v>0.1</x:v>
      </x:c>
      <x:c r="M1559" s="4" t="n">
        <x:f>ROUND(I1559*J1559*(1-L1559),2)</x:f>
        <x:v>155.36</x:v>
      </x:c>
      <x:c r="N1559" s="4" t="n">
        <x:f>ROUND(I1559*K1559,2)</x:f>
        <x:v>81</x:v>
      </x:c>
      <x:c r="O1559" s="4" t="n">
        <x:f>ROUND(M1559-N1559,2)</x:f>
        <x:v>74.36</x:v>
      </x:c>
      <x:c r="P1559" s="6" t="n">
        <x:v>4.9</x:v>
      </x:c>
      <x:c r="Q1559" t="str">
        <x:v>No</x:v>
      </x:c>
    </x:row>
    <x:row r="1560">
      <x:c r="A1560" t="str">
        <x:v>ORD-00202</x:v>
      </x:c>
      <x:c r="B1560" s="3" t="n">
        <x:v>45924.55456570602</x:v>
      </x:c>
      <x:c r="C1560" t="str">
        <x:v>2025-09</x:v>
      </x:c>
      <x:c r="D1560" t="str">
        <x:v>CUS-0531</x:v>
      </x:c>
      <x:c r="E1560" t="str">
        <x:v>Scotland</x:v>
      </x:c>
      <x:c r="F1560" t="str">
        <x:v>Online</x:v>
      </x:c>
      <x:c r="G1560" t="str">
        <x:v>Books</x:v>
      </x:c>
      <x:c r="H1560" t="str">
        <x:v>Business Intelligence Guide</x:v>
      </x:c>
      <x:c r="I1560" t="n">
        <x:v>3</x:v>
      </x:c>
      <x:c r="J1560" s="4" t="n">
        <x:v>33.72</x:v>
      </x:c>
      <x:c r="K1560" s="4" t="n">
        <x:v>12</x:v>
      </x:c>
      <x:c r="L1560" s="5" t="n">
        <x:v>0.1</x:v>
      </x:c>
      <x:c r="M1560" s="4" t="n">
        <x:f>ROUND(I1560*J1560*(1-L1560),2)</x:f>
        <x:v>91.04</x:v>
      </x:c>
      <x:c r="N1560" s="4" t="n">
        <x:f>ROUND(I1560*K1560,2)</x:f>
        <x:v>36</x:v>
      </x:c>
      <x:c r="O1560" s="4" t="n">
        <x:f>ROUND(M1560-N1560,2)</x:f>
        <x:v>55.04</x:v>
      </x:c>
      <x:c r="P1560" s="6" t="n">
        <x:v>4.9</x:v>
      </x:c>
      <x:c r="Q1560" t="str">
        <x:v>Yes</x:v>
      </x:c>
    </x:row>
    <x:row r="1561">
      <x:c r="A1561" t="str">
        <x:v>ORD-00948</x:v>
      </x:c>
      <x:c r="B1561" s="3" t="n">
        <x:v>45924.88433649306</x:v>
      </x:c>
      <x:c r="C1561" t="str">
        <x:v>2025-09</x:v>
      </x:c>
      <x:c r="D1561" t="str">
        <x:v>CUS-0049</x:v>
      </x:c>
      <x:c r="E1561" t="str">
        <x:v>Scotland</x:v>
      </x:c>
      <x:c r="F1561" t="str">
        <x:v>Online</x:v>
      </x:c>
      <x:c r="G1561" t="str">
        <x:v>Books</x:v>
      </x:c>
      <x:c r="H1561" t="str">
        <x:v>Data Analytics Handbook</x:v>
      </x:c>
      <x:c r="I1561" t="n">
        <x:v>1</x:v>
      </x:c>
      <x:c r="J1561" s="4" t="n">
        <x:v>40.92</x:v>
      </x:c>
      <x:c r="K1561" s="4" t="n">
        <x:v>14</x:v>
      </x:c>
      <x:c r="L1561" s="5" t="n">
        <x:v>0.2</x:v>
      </x:c>
      <x:c r="M1561" s="4" t="n">
        <x:f>ROUND(I1561*J1561*(1-L1561),2)</x:f>
        <x:v>32.74</x:v>
      </x:c>
      <x:c r="N1561" s="4" t="n">
        <x:f>ROUND(I1561*K1561,2)</x:f>
        <x:v>14</x:v>
      </x:c>
      <x:c r="O1561" s="4" t="n">
        <x:f>ROUND(M1561-N1561,2)</x:f>
        <x:v>18.74</x:v>
      </x:c>
      <x:c r="P1561" s="6" t="n">
        <x:v>4.6</x:v>
      </x:c>
      <x:c r="Q1561" t="str">
        <x:v>No</x:v>
      </x:c>
    </x:row>
    <x:row r="1562">
      <x:c r="A1562" t="str">
        <x:v>ORD-00149</x:v>
      </x:c>
      <x:c r="B1562" s="3" t="n">
        <x:v>45925.19748967593</x:v>
      </x:c>
      <x:c r="C1562" t="str">
        <x:v>2025-09</x:v>
      </x:c>
      <x:c r="D1562" t="str">
        <x:v>CUS-0502</x:v>
      </x:c>
      <x:c r="E1562" t="str">
        <x:v>South East</x:v>
      </x:c>
      <x:c r="F1562" t="str">
        <x:v>Store</x:v>
      </x:c>
      <x:c r="G1562" t="str">
        <x:v>Books</x:v>
      </x:c>
      <x:c r="H1562" t="str">
        <x:v>Data Analytics Handbook</x:v>
      </x:c>
      <x:c r="I1562" t="n">
        <x:v>3</x:v>
      </x:c>
      <x:c r="J1562" s="4" t="n">
        <x:v>38.95</x:v>
      </x:c>
      <x:c r="K1562" s="4" t="n">
        <x:v>14</x:v>
      </x:c>
      <x:c r="L1562" s="5" t="n">
        <x:v>0</x:v>
      </x:c>
      <x:c r="M1562" s="4" t="n">
        <x:f>ROUND(I1562*J1562*(1-L1562),2)</x:f>
        <x:v>116.85</x:v>
      </x:c>
      <x:c r="N1562" s="4" t="n">
        <x:f>ROUND(I1562*K1562,2)</x:f>
        <x:v>42</x:v>
      </x:c>
      <x:c r="O1562" s="4" t="n">
        <x:f>ROUND(M1562-N1562,2)</x:f>
        <x:v>74.85</x:v>
      </x:c>
      <x:c r="P1562" s="6" t="n">
        <x:v>3.4</x:v>
      </x:c>
      <x:c r="Q1562" t="str">
        <x:v>No</x:v>
      </x:c>
    </x:row>
    <x:row r="1563">
      <x:c r="A1563" t="str">
        <x:v>ORD-01726</x:v>
      </x:c>
      <x:c r="B1563" s="3" t="n">
        <x:v>45925.24193282407</x:v>
      </x:c>
      <x:c r="C1563" t="str">
        <x:v>2025-09</x:v>
      </x:c>
      <x:c r="D1563" t="str">
        <x:v>CUS-0146</x:v>
      </x:c>
      <x:c r="E1563" t="str">
        <x:v>North West</x:v>
      </x:c>
      <x:c r="F1563" t="str">
        <x:v>Online</x:v>
      </x:c>
      <x:c r="G1563" t="str">
        <x:v>Home</x:v>
      </x:c>
      <x:c r="H1563" t="str">
        <x:v>Air Fryer</x:v>
      </x:c>
      <x:c r="I1563" t="n">
        <x:v>5</x:v>
      </x:c>
      <x:c r="J1563" s="4" t="n">
        <x:v>118.24</x:v>
      </x:c>
      <x:c r="K1563" s="4" t="n">
        <x:v>69</x:v>
      </x:c>
      <x:c r="L1563" s="5" t="n">
        <x:v>0</x:v>
      </x:c>
      <x:c r="M1563" s="4" t="n">
        <x:f>ROUND(I1563*J1563*(1-L1563),2)</x:f>
        <x:v>591.2</x:v>
      </x:c>
      <x:c r="N1563" s="4" t="n">
        <x:f>ROUND(I1563*K1563,2)</x:f>
        <x:v>345</x:v>
      </x:c>
      <x:c r="O1563" s="4" t="n">
        <x:f>ROUND(M1563-N1563,2)</x:f>
        <x:v>246.2</x:v>
      </x:c>
      <x:c r="P1563" s="6" t="n">
        <x:v>3.3</x:v>
      </x:c>
      <x:c r="Q1563" t="str">
        <x:v>No</x:v>
      </x:c>
    </x:row>
    <x:row r="1564">
      <x:c r="A1564" t="str">
        <x:v>ORD-00730</x:v>
      </x:c>
      <x:c r="B1564" s="3" t="n">
        <x:v>45926.48195170139</x:v>
      </x:c>
      <x:c r="C1564" t="str">
        <x:v>2025-09</x:v>
      </x:c>
      <x:c r="D1564" t="str">
        <x:v>CUS-0027</x:v>
      </x:c>
      <x:c r="E1564" t="str">
        <x:v>South East</x:v>
      </x:c>
      <x:c r="F1564" t="str">
        <x:v>Marketplace</x:v>
      </x:c>
      <x:c r="G1564" t="str">
        <x:v>Fashion</x:v>
      </x:c>
      <x:c r="H1564" t="str">
        <x:v>Classic Trainers</x:v>
      </x:c>
      <x:c r="I1564" t="n">
        <x:v>4</x:v>
      </x:c>
      <x:c r="J1564" s="4" t="n">
        <x:v>70.82</x:v>
      </x:c>
      <x:c r="K1564" s="4" t="n">
        <x:v>32</x:v>
      </x:c>
      <x:c r="L1564" s="5" t="n">
        <x:v>0</x:v>
      </x:c>
      <x:c r="M1564" s="4" t="n">
        <x:f>ROUND(I1564*J1564*(1-L1564),2)</x:f>
        <x:v>283.28</x:v>
      </x:c>
      <x:c r="N1564" s="4" t="n">
        <x:f>ROUND(I1564*K1564,2)</x:f>
        <x:v>128</x:v>
      </x:c>
      <x:c r="O1564" s="4" t="n">
        <x:f>ROUND(M1564-N1564,2)</x:f>
        <x:v>155.28</x:v>
      </x:c>
      <x:c r="P1564" s="6" t="n">
        <x:v>3.7</x:v>
      </x:c>
      <x:c r="Q1564" t="str">
        <x:v>No</x:v>
      </x:c>
    </x:row>
    <x:row r="1565">
      <x:c r="A1565" t="str">
        <x:v>ORD-01746</x:v>
      </x:c>
      <x:c r="B1565" s="3" t="n">
        <x:v>45926.700376168985</x:v>
      </x:c>
      <x:c r="C1565" t="str">
        <x:v>2025-09</x:v>
      </x:c>
      <x:c r="D1565" t="str">
        <x:v>CUS-0284</x:v>
      </x:c>
      <x:c r="E1565" t="str">
        <x:v>London</x:v>
      </x:c>
      <x:c r="F1565" t="str">
        <x:v>Marketplace</x:v>
      </x:c>
      <x:c r="G1565" t="str">
        <x:v>Beauty</x:v>
      </x:c>
      <x:c r="H1565" t="str">
        <x:v>Skin Care Set</x:v>
      </x:c>
      <x:c r="I1565" t="n">
        <x:v>3</x:v>
      </x:c>
      <x:c r="J1565" s="4" t="n">
        <x:v>44.98</x:v>
      </x:c>
      <x:c r="K1565" s="4" t="n">
        <x:v>18</x:v>
      </x:c>
      <x:c r="L1565" s="5" t="n">
        <x:v>0</x:v>
      </x:c>
      <x:c r="M1565" s="4" t="n">
        <x:f>ROUND(I1565*J1565*(1-L1565),2)</x:f>
        <x:v>134.94</x:v>
      </x:c>
      <x:c r="N1565" s="4" t="n">
        <x:f>ROUND(I1565*K1565,2)</x:f>
        <x:v>54</x:v>
      </x:c>
      <x:c r="O1565" s="4" t="n">
        <x:f>ROUND(M1565-N1565,2)</x:f>
        <x:v>80.94</x:v>
      </x:c>
      <x:c r="P1565" s="6" t="n">
        <x:v>4.6</x:v>
      </x:c>
      <x:c r="Q1565" t="str">
        <x:v>No</x:v>
      </x:c>
    </x:row>
    <x:row r="1566">
      <x:c r="A1566" t="str">
        <x:v>ORD-01788</x:v>
      </x:c>
      <x:c r="B1566" s="3" t="n">
        <x:v>45926.85694986111</x:v>
      </x:c>
      <x:c r="C1566" t="str">
        <x:v>2025-09</x:v>
      </x:c>
      <x:c r="D1566" t="str">
        <x:v>CUS-0307</x:v>
      </x:c>
      <x:c r="E1566" t="str">
        <x:v>North East</x:v>
      </x:c>
      <x:c r="F1566" t="str">
        <x:v>Online</x:v>
      </x:c>
      <x:c r="G1566" t="str">
        <x:v>Beauty</x:v>
      </x:c>
      <x:c r="H1566" t="str">
        <x:v>Skin Care Set</x:v>
      </x:c>
      <x:c r="I1566" t="n">
        <x:v>1</x:v>
      </x:c>
      <x:c r="J1566" s="4" t="n">
        <x:v>43.29</x:v>
      </x:c>
      <x:c r="K1566" s="4" t="n">
        <x:v>18</x:v>
      </x:c>
      <x:c r="L1566" s="5" t="n">
        <x:v>0</x:v>
      </x:c>
      <x:c r="M1566" s="4" t="n">
        <x:f>ROUND(I1566*J1566*(1-L1566),2)</x:f>
        <x:v>43.29</x:v>
      </x:c>
      <x:c r="N1566" s="4" t="n">
        <x:f>ROUND(I1566*K1566,2)</x:f>
        <x:v>18</x:v>
      </x:c>
      <x:c r="O1566" s="4" t="n">
        <x:f>ROUND(M1566-N1566,2)</x:f>
        <x:v>25.29</x:v>
      </x:c>
      <x:c r="P1566" s="6" t="n">
        <x:v>3.4</x:v>
      </x:c>
      <x:c r="Q1566" t="str">
        <x:v>No</x:v>
      </x:c>
    </x:row>
    <x:row r="1567">
      <x:c r="A1567" t="str">
        <x:v>ORD-00059</x:v>
      </x:c>
      <x:c r="B1567" s="3" t="n">
        <x:v>45927.1433428588</x:v>
      </x:c>
      <x:c r="C1567" t="str">
        <x:v>2025-09</x:v>
      </x:c>
      <x:c r="D1567" t="str">
        <x:v>CUS-0020</x:v>
      </x:c>
      <x:c r="E1567" t="str">
        <x:v>North West</x:v>
      </x:c>
      <x:c r="F1567" t="str">
        <x:v>Online</x:v>
      </x:c>
      <x:c r="G1567" t="str">
        <x:v>Beauty</x:v>
      </x:c>
      <x:c r="H1567" t="str">
        <x:v>Hair Dryer</x:v>
      </x:c>
      <x:c r="I1567" t="n">
        <x:v>5</x:v>
      </x:c>
      <x:c r="J1567" s="4" t="n">
        <x:v>60.74</x:v>
      </x:c>
      <x:c r="K1567" s="4" t="n">
        <x:v>29</x:v>
      </x:c>
      <x:c r="L1567" s="5" t="n">
        <x:v>0</x:v>
      </x:c>
      <x:c r="M1567" s="4" t="n">
        <x:f>ROUND(I1567*J1567*(1-L1567),2)</x:f>
        <x:v>303.7</x:v>
      </x:c>
      <x:c r="N1567" s="4" t="n">
        <x:f>ROUND(I1567*K1567,2)</x:f>
        <x:v>145</x:v>
      </x:c>
      <x:c r="O1567" s="4" t="n">
        <x:f>ROUND(M1567-N1567,2)</x:f>
        <x:v>158.7</x:v>
      </x:c>
      <x:c r="P1567" s="6" t="n">
        <x:v>4</x:v>
      </x:c>
      <x:c r="Q1567" t="str">
        <x:v>No</x:v>
      </x:c>
    </x:row>
    <x:row r="1568">
      <x:c r="A1568" t="str">
        <x:v>ORD-00686</x:v>
      </x:c>
      <x:c r="B1568" s="3" t="n">
        <x:v>45927.53097461806</x:v>
      </x:c>
      <x:c r="C1568" t="str">
        <x:v>2025-09</x:v>
      </x:c>
      <x:c r="D1568" t="str">
        <x:v>CUS-0290</x:v>
      </x:c>
      <x:c r="E1568" t="str">
        <x:v>London</x:v>
      </x:c>
      <x:c r="F1568" t="str">
        <x:v>Online</x:v>
      </x:c>
      <x:c r="G1568" t="str">
        <x:v>Fashion</x:v>
      </x:c>
      <x:c r="H1568" t="str">
        <x:v>Backpack</x:v>
      </x:c>
      <x:c r="I1568" t="n">
        <x:v>2</x:v>
      </x:c>
      <x:c r="J1568" s="4" t="n">
        <x:v>50.27</x:v>
      </x:c>
      <x:c r="K1568" s="4" t="n">
        <x:v>21</x:v>
      </x:c>
      <x:c r="L1568" s="5" t="n">
        <x:v>0</x:v>
      </x:c>
      <x:c r="M1568" s="4" t="n">
        <x:f>ROUND(I1568*J1568*(1-L1568),2)</x:f>
        <x:v>100.54</x:v>
      </x:c>
      <x:c r="N1568" s="4" t="n">
        <x:f>ROUND(I1568*K1568,2)</x:f>
        <x:v>42</x:v>
      </x:c>
      <x:c r="O1568" s="4" t="n">
        <x:f>ROUND(M1568-N1568,2)</x:f>
        <x:v>58.54</x:v>
      </x:c>
      <x:c r="P1568" s="6" t="n">
        <x:v>4.5</x:v>
      </x:c>
      <x:c r="Q1568" t="str">
        <x:v>No</x:v>
      </x:c>
    </x:row>
    <x:row r="1569">
      <x:c r="A1569" t="str">
        <x:v>ORD-01234</x:v>
      </x:c>
      <x:c r="B1569" s="3" t="n">
        <x:v>45927.58574594907</x:v>
      </x:c>
      <x:c r="C1569" t="str">
        <x:v>2025-09</x:v>
      </x:c>
      <x:c r="D1569" t="str">
        <x:v>CUS-0180</x:v>
      </x:c>
      <x:c r="E1569" t="str">
        <x:v>Wales</x:v>
      </x:c>
      <x:c r="F1569" t="str">
        <x:v>Marketplace</x:v>
      </x:c>
      <x:c r="G1569" t="str">
        <x:v>Fashion</x:v>
      </x:c>
      <x:c r="H1569" t="str">
        <x:v>Winter Jacket</x:v>
      </x:c>
      <x:c r="I1569" t="n">
        <x:v>3</x:v>
      </x:c>
      <x:c r="J1569" s="4" t="n">
        <x:v>90.29</x:v>
      </x:c>
      <x:c r="K1569" s="4" t="n">
        <x:v>46</x:v>
      </x:c>
      <x:c r="L1569" s="5" t="n">
        <x:v>0</x:v>
      </x:c>
      <x:c r="M1569" s="4" t="n">
        <x:f>ROUND(I1569*J1569*(1-L1569),2)</x:f>
        <x:v>270.87</x:v>
      </x:c>
      <x:c r="N1569" s="4" t="n">
        <x:f>ROUND(I1569*K1569,2)</x:f>
        <x:v>138</x:v>
      </x:c>
      <x:c r="O1569" s="4" t="n">
        <x:f>ROUND(M1569-N1569,2)</x:f>
        <x:v>132.87</x:v>
      </x:c>
      <x:c r="P1569" s="6" t="n">
        <x:v>3.4</x:v>
      </x:c>
      <x:c r="Q1569" t="str">
        <x:v>No</x:v>
      </x:c>
    </x:row>
    <x:row r="1570">
      <x:c r="A1570" t="str">
        <x:v>ORD-00957</x:v>
      </x:c>
      <x:c r="B1570" s="3" t="n">
        <x:v>45927.595220208335</x:v>
      </x:c>
      <x:c r="C1570" t="str">
        <x:v>2025-09</x:v>
      </x:c>
      <x:c r="D1570" t="str">
        <x:v>CUS-0097</x:v>
      </x:c>
      <x:c r="E1570" t="str">
        <x:v>North West</x:v>
      </x:c>
      <x:c r="F1570" t="str">
        <x:v>Store</x:v>
      </x:c>
      <x:c r="G1570" t="str">
        <x:v>Electronics</x:v>
      </x:c>
      <x:c r="H1570" t="str">
        <x:v>Bluetooth Speaker</x:v>
      </x:c>
      <x:c r="I1570" t="n">
        <x:v>3</x:v>
      </x:c>
      <x:c r="J1570" s="4" t="n">
        <x:v>64.16</x:v>
      </x:c>
      <x:c r="K1570" s="4" t="n">
        <x:v>34</x:v>
      </x:c>
      <x:c r="L1570" s="5" t="n">
        <x:v>0</x:v>
      </x:c>
      <x:c r="M1570" s="4" t="n">
        <x:f>ROUND(I1570*J1570*(1-L1570),2)</x:f>
        <x:v>192.48</x:v>
      </x:c>
      <x:c r="N1570" s="4" t="n">
        <x:f>ROUND(I1570*K1570,2)</x:f>
        <x:v>102</x:v>
      </x:c>
      <x:c r="O1570" s="4" t="n">
        <x:f>ROUND(M1570-N1570,2)</x:f>
        <x:v>90.48</x:v>
      </x:c>
      <x:c r="P1570" s="6" t="n">
        <x:v>3.7</x:v>
      </x:c>
      <x:c r="Q1570" t="str">
        <x:v>No</x:v>
      </x:c>
    </x:row>
    <x:row r="1571">
      <x:c r="A1571" t="str">
        <x:v>ORD-00962</x:v>
      </x:c>
      <x:c r="B1571" s="3" t="n">
        <x:v>45929.57830113426</x:v>
      </x:c>
      <x:c r="C1571" t="str">
        <x:v>2025-09</x:v>
      </x:c>
      <x:c r="D1571" t="str">
        <x:v>CUS-0260</x:v>
      </x:c>
      <x:c r="E1571" t="str">
        <x:v>South East</x:v>
      </x:c>
      <x:c r="F1571" t="str">
        <x:v>Online</x:v>
      </x:c>
      <x:c r="G1571" t="str">
        <x:v>Books</x:v>
      </x:c>
      <x:c r="H1571" t="str">
        <x:v>Data Analytics Handbook</x:v>
      </x:c>
      <x:c r="I1571" t="n">
        <x:v>4</x:v>
      </x:c>
      <x:c r="J1571" s="4" t="n">
        <x:v>39.79</x:v>
      </x:c>
      <x:c r="K1571" s="4" t="n">
        <x:v>14</x:v>
      </x:c>
      <x:c r="L1571" s="5" t="n">
        <x:v>0.2</x:v>
      </x:c>
      <x:c r="M1571" s="4" t="n">
        <x:f>ROUND(I1571*J1571*(1-L1571),2)</x:f>
        <x:v>127.33</x:v>
      </x:c>
      <x:c r="N1571" s="4" t="n">
        <x:f>ROUND(I1571*K1571,2)</x:f>
        <x:v>56</x:v>
      </x:c>
      <x:c r="O1571" s="4" t="n">
        <x:f>ROUND(M1571-N1571,2)</x:f>
        <x:v>71.33</x:v>
      </x:c>
      <x:c r="P1571" s="6" t="n">
        <x:v>4.5</x:v>
      </x:c>
      <x:c r="Q1571" t="str">
        <x:v>No</x:v>
      </x:c>
    </x:row>
    <x:row r="1572">
      <x:c r="A1572" t="str">
        <x:v>ORD-00337</x:v>
      </x:c>
      <x:c r="B1572" s="3" t="n">
        <x:v>45930.18851677083</x:v>
      </x:c>
      <x:c r="C1572" t="str">
        <x:v>2025-09</x:v>
      </x:c>
      <x:c r="D1572" t="str">
        <x:v>CUS-0377</x:v>
      </x:c>
      <x:c r="E1572" t="str">
        <x:v>South West</x:v>
      </x:c>
      <x:c r="F1572" t="str">
        <x:v>Store</x:v>
      </x:c>
      <x:c r="G1572" t="str">
        <x:v>Home</x:v>
      </x:c>
      <x:c r="H1572" t="str">
        <x:v>Desk Lamp</x:v>
      </x:c>
      <x:c r="I1572" t="n">
        <x:v>4</x:v>
      </x:c>
      <x:c r="J1572" s="4" t="n">
        <x:v>33.68</x:v>
      </x:c>
      <x:c r="K1572" s="4" t="n">
        <x:v>17</x:v>
      </x:c>
      <x:c r="L1572" s="5" t="n">
        <x:v>0</x:v>
      </x:c>
      <x:c r="M1572" s="4" t="n">
        <x:f>ROUND(I1572*J1572*(1-L1572),2)</x:f>
        <x:v>134.72</x:v>
      </x:c>
      <x:c r="N1572" s="4" t="n">
        <x:f>ROUND(I1572*K1572,2)</x:f>
        <x:v>68</x:v>
      </x:c>
      <x:c r="O1572" s="4" t="n">
        <x:f>ROUND(M1572-N1572,2)</x:f>
        <x:v>66.72</x:v>
      </x:c>
      <x:c r="P1572" s="6" t="n">
        <x:v>3.5</x:v>
      </x:c>
      <x:c r="Q1572" t="str">
        <x:v>No</x:v>
      </x:c>
    </x:row>
    <x:row r="1573">
      <x:c r="A1573" t="str">
        <x:v>ORD-01297</x:v>
      </x:c>
      <x:c r="B1573" s="3" t="n">
        <x:v>45930.58375248843</x:v>
      </x:c>
      <x:c r="C1573" t="str">
        <x:v>2025-09</x:v>
      </x:c>
      <x:c r="D1573" t="str">
        <x:v>CUS-0482</x:v>
      </x:c>
      <x:c r="E1573" t="str">
        <x:v>Wales</x:v>
      </x:c>
      <x:c r="F1573" t="str">
        <x:v>Store</x:v>
      </x:c>
      <x:c r="G1573" t="str">
        <x:v>Sports</x:v>
      </x:c>
      <x:c r="H1573" t="str">
        <x:v>Fitness Tracker</x:v>
      </x:c>
      <x:c r="I1573" t="n">
        <x:v>5</x:v>
      </x:c>
      <x:c r="J1573" s="4" t="n">
        <x:v>52.76</x:v>
      </x:c>
      <x:c r="K1573" s="4" t="n">
        <x:v>27</x:v>
      </x:c>
      <x:c r="L1573" s="5" t="n">
        <x:v>0</x:v>
      </x:c>
      <x:c r="M1573" s="4" t="n">
        <x:f>ROUND(I1573*J1573*(1-L1573),2)</x:f>
        <x:v>263.8</x:v>
      </x:c>
      <x:c r="N1573" s="4" t="n">
        <x:f>ROUND(I1573*K1573,2)</x:f>
        <x:v>135</x:v>
      </x:c>
      <x:c r="O1573" s="4" t="n">
        <x:f>ROUND(M1573-N1573,2)</x:f>
        <x:v>128.8</x:v>
      </x:c>
      <x:c r="P1573" s="6" t="n">
        <x:v>4.8</x:v>
      </x:c>
      <x:c r="Q1573" t="str">
        <x:v>No</x:v>
      </x:c>
    </x:row>
    <x:row r="1574">
      <x:c r="A1574" t="str">
        <x:v>ORD-01019</x:v>
      </x:c>
      <x:c r="B1574" s="3" t="n">
        <x:v>45931.03306538195</x:v>
      </x:c>
      <x:c r="C1574" t="str">
        <x:v>2025-10</x:v>
      </x:c>
      <x:c r="D1574" t="str">
        <x:v>CUS-0257</x:v>
      </x:c>
      <x:c r="E1574" t="str">
        <x:v>Wales</x:v>
      </x:c>
      <x:c r="F1574" t="str">
        <x:v>Online</x:v>
      </x:c>
      <x:c r="G1574" t="str">
        <x:v>Electronics</x:v>
      </x:c>
      <x:c r="H1574" t="str">
        <x:v>Wireless Headphones</x:v>
      </x:c>
      <x:c r="I1574" t="n">
        <x:v>1</x:v>
      </x:c>
      <x:c r="J1574" s="4" t="n">
        <x:v>88.54</x:v>
      </x:c>
      <x:c r="K1574" s="4" t="n">
        <x:v>48</x:v>
      </x:c>
      <x:c r="L1574" s="5" t="n">
        <x:v>0</x:v>
      </x:c>
      <x:c r="M1574" s="4" t="n">
        <x:f>ROUND(I1574*J1574*(1-L1574),2)</x:f>
        <x:v>88.54</x:v>
      </x:c>
      <x:c r="N1574" s="4" t="n">
        <x:f>ROUND(I1574*K1574,2)</x:f>
        <x:v>48</x:v>
      </x:c>
      <x:c r="O1574" s="4" t="n">
        <x:f>ROUND(M1574-N1574,2)</x:f>
        <x:v>40.54</x:v>
      </x:c>
      <x:c r="P1574" s="6" t="n">
        <x:v>5</x:v>
      </x:c>
      <x:c r="Q1574" t="str">
        <x:v>No</x:v>
      </x:c>
    </x:row>
    <x:row r="1575">
      <x:c r="A1575" t="str">
        <x:v>ORD-01439</x:v>
      </x:c>
      <x:c r="B1575" s="3" t="n">
        <x:v>45932.26622306713</x:v>
      </x:c>
      <x:c r="C1575" t="str">
        <x:v>2025-10</x:v>
      </x:c>
      <x:c r="D1575" t="str">
        <x:v>CUS-0073</x:v>
      </x:c>
      <x:c r="E1575" t="str">
        <x:v>North West</x:v>
      </x:c>
      <x:c r="F1575" t="str">
        <x:v>Online</x:v>
      </x:c>
      <x:c r="G1575" t="str">
        <x:v>Beauty</x:v>
      </x:c>
      <x:c r="H1575" t="str">
        <x:v>Hair Dryer</x:v>
      </x:c>
      <x:c r="I1575" t="n">
        <x:v>3</x:v>
      </x:c>
      <x:c r="J1575" s="4" t="n">
        <x:v>58.95</x:v>
      </x:c>
      <x:c r="K1575" s="4" t="n">
        <x:v>29</x:v>
      </x:c>
      <x:c r="L1575" s="5" t="n">
        <x:v>0.1</x:v>
      </x:c>
      <x:c r="M1575" s="4" t="n">
        <x:f>ROUND(I1575*J1575*(1-L1575),2)</x:f>
        <x:v>159.17</x:v>
      </x:c>
      <x:c r="N1575" s="4" t="n">
        <x:f>ROUND(I1575*K1575,2)</x:f>
        <x:v>87</x:v>
      </x:c>
      <x:c r="O1575" s="4" t="n">
        <x:f>ROUND(M1575-N1575,2)</x:f>
        <x:v>72.17</x:v>
      </x:c>
      <x:c r="P1575" s="6" t="n">
        <x:v>3.8</x:v>
      </x:c>
      <x:c r="Q1575" t="str">
        <x:v>No</x:v>
      </x:c>
    </x:row>
    <x:row r="1576">
      <x:c r="A1576" t="str">
        <x:v>ORD-00723</x:v>
      </x:c>
      <x:c r="B1576" s="3" t="n">
        <x:v>45932.45446013889</x:v>
      </x:c>
      <x:c r="C1576" t="str">
        <x:v>2025-10</x:v>
      </x:c>
      <x:c r="D1576" t="str">
        <x:v>CUS-0563</x:v>
      </x:c>
      <x:c r="E1576" t="str">
        <x:v>Wales</x:v>
      </x:c>
      <x:c r="F1576" t="str">
        <x:v>Online</x:v>
      </x:c>
      <x:c r="G1576" t="str">
        <x:v>Electronics</x:v>
      </x:c>
      <x:c r="H1576" t="str">
        <x:v>Smart Watch</x:v>
      </x:c>
      <x:c r="I1576" t="n">
        <x:v>3</x:v>
      </x:c>
      <x:c r="J1576" s="4" t="n">
        <x:v>164.85</x:v>
      </x:c>
      <x:c r="K1576" s="4" t="n">
        <x:v>92</x:v>
      </x:c>
      <x:c r="L1576" s="5" t="n">
        <x:v>0</x:v>
      </x:c>
      <x:c r="M1576" s="4" t="n">
        <x:f>ROUND(I1576*J1576*(1-L1576),2)</x:f>
        <x:v>494.55</x:v>
      </x:c>
      <x:c r="N1576" s="4" t="n">
        <x:f>ROUND(I1576*K1576,2)</x:f>
        <x:v>276</x:v>
      </x:c>
      <x:c r="O1576" s="4" t="n">
        <x:f>ROUND(M1576-N1576,2)</x:f>
        <x:v>218.55</x:v>
      </x:c>
      <x:c r="P1576" s="6" t="n">
        <x:v>3.2</x:v>
      </x:c>
      <x:c r="Q1576" t="str">
        <x:v>No</x:v>
      </x:c>
    </x:row>
    <x:row r="1577">
      <x:c r="A1577" t="str">
        <x:v>ORD-01008</x:v>
      </x:c>
      <x:c r="B1577" s="3" t="n">
        <x:v>45932.61071804398</x:v>
      </x:c>
      <x:c r="C1577" t="str">
        <x:v>2025-10</x:v>
      </x:c>
      <x:c r="D1577" t="str">
        <x:v>CUS-0049</x:v>
      </x:c>
      <x:c r="E1577" t="str">
        <x:v>London</x:v>
      </x:c>
      <x:c r="F1577" t="str">
        <x:v>Store</x:v>
      </x:c>
      <x:c r="G1577" t="str">
        <x:v>Home</x:v>
      </x:c>
      <x:c r="H1577" t="str">
        <x:v>Desk Lamp</x:v>
      </x:c>
      <x:c r="I1577" t="n">
        <x:v>4</x:v>
      </x:c>
      <x:c r="J1577" s="4" t="n">
        <x:v>35.52</x:v>
      </x:c>
      <x:c r="K1577" s="4" t="n">
        <x:v>17</x:v>
      </x:c>
      <x:c r="L1577" s="5" t="n">
        <x:v>0</x:v>
      </x:c>
      <x:c r="M1577" s="4" t="n">
        <x:f>ROUND(I1577*J1577*(1-L1577),2)</x:f>
        <x:v>142.08</x:v>
      </x:c>
      <x:c r="N1577" s="4" t="n">
        <x:f>ROUND(I1577*K1577,2)</x:f>
        <x:v>68</x:v>
      </x:c>
      <x:c r="O1577" s="4" t="n">
        <x:f>ROUND(M1577-N1577,2)</x:f>
        <x:v>74.08</x:v>
      </x:c>
      <x:c r="P1577" s="6" t="n">
        <x:v>3.4</x:v>
      </x:c>
      <x:c r="Q1577" t="str">
        <x:v>No</x:v>
      </x:c>
    </x:row>
    <x:row r="1578">
      <x:c r="A1578" t="str">
        <x:v>ORD-01362</x:v>
      </x:c>
      <x:c r="B1578" s="3" t="n">
        <x:v>45933.089806331016</x:v>
      </x:c>
      <x:c r="C1578" t="str">
        <x:v>2025-10</x:v>
      </x:c>
      <x:c r="D1578" t="str">
        <x:v>CUS-0314</x:v>
      </x:c>
      <x:c r="E1578" t="str">
        <x:v>South West</x:v>
      </x:c>
      <x:c r="F1578" t="str">
        <x:v>Marketplace</x:v>
      </x:c>
      <x:c r="G1578" t="str">
        <x:v>Beauty</x:v>
      </x:c>
      <x:c r="H1578" t="str">
        <x:v>Skin Care Set</x:v>
      </x:c>
      <x:c r="I1578" t="n">
        <x:v>3</x:v>
      </x:c>
      <x:c r="J1578" s="4" t="n">
        <x:v>45.31</x:v>
      </x:c>
      <x:c r="K1578" s="4" t="n">
        <x:v>18</x:v>
      </x:c>
      <x:c r="L1578" s="5" t="n">
        <x:v>0.15</x:v>
      </x:c>
      <x:c r="M1578" s="4" t="n">
        <x:f>ROUND(I1578*J1578*(1-L1578),2)</x:f>
        <x:v>115.54</x:v>
      </x:c>
      <x:c r="N1578" s="4" t="n">
        <x:f>ROUND(I1578*K1578,2)</x:f>
        <x:v>54</x:v>
      </x:c>
      <x:c r="O1578" s="4" t="n">
        <x:f>ROUND(M1578-N1578,2)</x:f>
        <x:v>61.54</x:v>
      </x:c>
      <x:c r="P1578" s="6" t="n">
        <x:v>4.3</x:v>
      </x:c>
      <x:c r="Q1578" t="str">
        <x:v>No</x:v>
      </x:c>
    </x:row>
    <x:row r="1579">
      <x:c r="A1579" t="str">
        <x:v>ORD-00603</x:v>
      </x:c>
      <x:c r="B1579" s="3" t="n">
        <x:v>45933.26479724537</x:v>
      </x:c>
      <x:c r="C1579" t="str">
        <x:v>2025-10</x:v>
      </x:c>
      <x:c r="D1579" t="str">
        <x:v>CUS-0530</x:v>
      </x:c>
      <x:c r="E1579" t="str">
        <x:v>North West</x:v>
      </x:c>
      <x:c r="F1579" t="str">
        <x:v>Marketplace</x:v>
      </x:c>
      <x:c r="G1579" t="str">
        <x:v>Beauty</x:v>
      </x:c>
      <x:c r="H1579" t="str">
        <x:v>Skin Care Set</x:v>
      </x:c>
      <x:c r="I1579" t="n">
        <x:v>4</x:v>
      </x:c>
      <x:c r="J1579" s="4" t="n">
        <x:v>43.71</x:v>
      </x:c>
      <x:c r="K1579" s="4" t="n">
        <x:v>18</x:v>
      </x:c>
      <x:c r="L1579" s="5" t="n">
        <x:v>0.05</x:v>
      </x:c>
      <x:c r="M1579" s="4" t="n">
        <x:f>ROUND(I1579*J1579*(1-L1579),2)</x:f>
        <x:v>166.1</x:v>
      </x:c>
      <x:c r="N1579" s="4" t="n">
        <x:f>ROUND(I1579*K1579,2)</x:f>
        <x:v>72</x:v>
      </x:c>
      <x:c r="O1579" s="4" t="n">
        <x:f>ROUND(M1579-N1579,2)</x:f>
        <x:v>94.1</x:v>
      </x:c>
      <x:c r="P1579" s="6" t="n">
        <x:v>4.9</x:v>
      </x:c>
      <x:c r="Q1579" t="str">
        <x:v>No</x:v>
      </x:c>
    </x:row>
    <x:row r="1580">
      <x:c r="A1580" t="str">
        <x:v>ORD-01515</x:v>
      </x:c>
      <x:c r="B1580" s="3" t="n">
        <x:v>45933.29595684028</x:v>
      </x:c>
      <x:c r="C1580" t="str">
        <x:v>2025-10</x:v>
      </x:c>
      <x:c r="D1580" t="str">
        <x:v>CUS-0008</x:v>
      </x:c>
      <x:c r="E1580" t="str">
        <x:v>South East</x:v>
      </x:c>
      <x:c r="F1580" t="str">
        <x:v>Store</x:v>
      </x:c>
      <x:c r="G1580" t="str">
        <x:v>Beauty</x:v>
      </x:c>
      <x:c r="H1580" t="str">
        <x:v>Hair Dryer</x:v>
      </x:c>
      <x:c r="I1580" t="n">
        <x:v>1</x:v>
      </x:c>
      <x:c r="J1580" s="4" t="n">
        <x:v>59.09</x:v>
      </x:c>
      <x:c r="K1580" s="4" t="n">
        <x:v>29</x:v>
      </x:c>
      <x:c r="L1580" s="5" t="n">
        <x:v>0.1</x:v>
      </x:c>
      <x:c r="M1580" s="4" t="n">
        <x:f>ROUND(I1580*J1580*(1-L1580),2)</x:f>
        <x:v>53.18</x:v>
      </x:c>
      <x:c r="N1580" s="4" t="n">
        <x:f>ROUND(I1580*K1580,2)</x:f>
        <x:v>29</x:v>
      </x:c>
      <x:c r="O1580" s="4" t="n">
        <x:f>ROUND(M1580-N1580,2)</x:f>
        <x:v>24.18</x:v>
      </x:c>
      <x:c r="P1580" s="6" t="n">
        <x:v>4.8</x:v>
      </x:c>
      <x:c r="Q1580" t="str">
        <x:v>No</x:v>
      </x:c>
    </x:row>
    <x:row r="1581">
      <x:c r="A1581" t="str">
        <x:v>ORD-01752</x:v>
      </x:c>
      <x:c r="B1581" s="3" t="n">
        <x:v>45933.79913650463</x:v>
      </x:c>
      <x:c r="C1581" t="str">
        <x:v>2025-10</x:v>
      </x:c>
      <x:c r="D1581" t="str">
        <x:v>CUS-0305</x:v>
      </x:c>
      <x:c r="E1581" t="str">
        <x:v>North East</x:v>
      </x:c>
      <x:c r="F1581" t="str">
        <x:v>Online</x:v>
      </x:c>
      <x:c r="G1581" t="str">
        <x:v>Electronics</x:v>
      </x:c>
      <x:c r="H1581" t="str">
        <x:v>Bluetooth Speaker</x:v>
      </x:c>
      <x:c r="I1581" t="n">
        <x:v>3</x:v>
      </x:c>
      <x:c r="J1581" s="4" t="n">
        <x:v>62.02</x:v>
      </x:c>
      <x:c r="K1581" s="4" t="n">
        <x:v>34</x:v>
      </x:c>
      <x:c r="L1581" s="5" t="n">
        <x:v>0</x:v>
      </x:c>
      <x:c r="M1581" s="4" t="n">
        <x:f>ROUND(I1581*J1581*(1-L1581),2)</x:f>
        <x:v>186.06</x:v>
      </x:c>
      <x:c r="N1581" s="4" t="n">
        <x:f>ROUND(I1581*K1581,2)</x:f>
        <x:v>102</x:v>
      </x:c>
      <x:c r="O1581" s="4" t="n">
        <x:f>ROUND(M1581-N1581,2)</x:f>
        <x:v>84.06</x:v>
      </x:c>
      <x:c r="P1581" s="6" t="n">
        <x:v>4.2</x:v>
      </x:c>
      <x:c r="Q1581" t="str">
        <x:v>No</x:v>
      </x:c>
    </x:row>
    <x:row r="1582">
      <x:c r="A1582" t="str">
        <x:v>ORD-01107</x:v>
      </x:c>
      <x:c r="B1582" s="3" t="n">
        <x:v>45933.9552115162</x:v>
      </x:c>
      <x:c r="C1582" t="str">
        <x:v>2025-10</x:v>
      </x:c>
      <x:c r="D1582" t="str">
        <x:v>CUS-0538</x:v>
      </x:c>
      <x:c r="E1582" t="str">
        <x:v>Scotland</x:v>
      </x:c>
      <x:c r="F1582" t="str">
        <x:v>Online</x:v>
      </x:c>
      <x:c r="G1582" t="str">
        <x:v>Electronics</x:v>
      </x:c>
      <x:c r="H1582" t="str">
        <x:v>Wireless Headphones</x:v>
      </x:c>
      <x:c r="I1582" t="n">
        <x:v>1</x:v>
      </x:c>
      <x:c r="J1582" s="4" t="n">
        <x:v>86.05</x:v>
      </x:c>
      <x:c r="K1582" s="4" t="n">
        <x:v>48</x:v>
      </x:c>
      <x:c r="L1582" s="5" t="n">
        <x:v>0</x:v>
      </x:c>
      <x:c r="M1582" s="4" t="n">
        <x:f>ROUND(I1582*J1582*(1-L1582),2)</x:f>
        <x:v>86.05</x:v>
      </x:c>
      <x:c r="N1582" s="4" t="n">
        <x:f>ROUND(I1582*K1582,2)</x:f>
        <x:v>48</x:v>
      </x:c>
      <x:c r="O1582" s="4" t="n">
        <x:f>ROUND(M1582-N1582,2)</x:f>
        <x:v>38.05</x:v>
      </x:c>
      <x:c r="P1582" s="6" t="n">
        <x:v>4.1</x:v>
      </x:c>
      <x:c r="Q1582" t="str">
        <x:v>No</x:v>
      </x:c>
    </x:row>
    <x:row r="1583">
      <x:c r="A1583" t="str">
        <x:v>ORD-01021</x:v>
      </x:c>
      <x:c r="B1583" s="3" t="n">
        <x:v>45934.047285023145</x:v>
      </x:c>
      <x:c r="C1583" t="str">
        <x:v>2025-10</x:v>
      </x:c>
      <x:c r="D1583" t="str">
        <x:v>CUS-0325</x:v>
      </x:c>
      <x:c r="E1583" t="str">
        <x:v>South West</x:v>
      </x:c>
      <x:c r="F1583" t="str">
        <x:v>Online</x:v>
      </x:c>
      <x:c r="G1583" t="str">
        <x:v>Books</x:v>
      </x:c>
      <x:c r="H1583" t="str">
        <x:v>Business Intelligence Guide</x:v>
      </x:c>
      <x:c r="I1583" t="n">
        <x:v>5</x:v>
      </x:c>
      <x:c r="J1583" s="4" t="n">
        <x:v>34.71</x:v>
      </x:c>
      <x:c r="K1583" s="4" t="n">
        <x:v>12</x:v>
      </x:c>
      <x:c r="L1583" s="5" t="n">
        <x:v>0.1</x:v>
      </x:c>
      <x:c r="M1583" s="4" t="n">
        <x:f>ROUND(I1583*J1583*(1-L1583),2)</x:f>
        <x:v>156.2</x:v>
      </x:c>
      <x:c r="N1583" s="4" t="n">
        <x:f>ROUND(I1583*K1583,2)</x:f>
        <x:v>60</x:v>
      </x:c>
      <x:c r="O1583" s="4" t="n">
        <x:f>ROUND(M1583-N1583,2)</x:f>
        <x:v>96.2</x:v>
      </x:c>
      <x:c r="P1583" s="6" t="n">
        <x:v>5</x:v>
      </x:c>
      <x:c r="Q1583" t="str">
        <x:v>No</x:v>
      </x:c>
    </x:row>
    <x:row r="1584">
      <x:c r="A1584" t="str">
        <x:v>ORD-01275</x:v>
      </x:c>
      <x:c r="B1584" s="3" t="n">
        <x:v>45934.22236329861</x:v>
      </x:c>
      <x:c r="C1584" t="str">
        <x:v>2025-10</x:v>
      </x:c>
      <x:c r="D1584" t="str">
        <x:v>CUS-0264</x:v>
      </x:c>
      <x:c r="E1584" t="str">
        <x:v>Scotland</x:v>
      </x:c>
      <x:c r="F1584" t="str">
        <x:v>Store</x:v>
      </x:c>
      <x:c r="G1584" t="str">
        <x:v>Home</x:v>
      </x:c>
      <x:c r="H1584" t="str">
        <x:v>Coffee Maker</x:v>
      </x:c>
      <x:c r="I1584" t="n">
        <x:v>3</x:v>
      </x:c>
      <x:c r="J1584" s="4" t="n">
        <x:v>71.91</x:v>
      </x:c>
      <x:c r="K1584" s="4" t="n">
        <x:v>41</x:v>
      </x:c>
      <x:c r="L1584" s="5" t="n">
        <x:v>0</x:v>
      </x:c>
      <x:c r="M1584" s="4" t="n">
        <x:f>ROUND(I1584*J1584*(1-L1584),2)</x:f>
        <x:v>215.73</x:v>
      </x:c>
      <x:c r="N1584" s="4" t="n">
        <x:f>ROUND(I1584*K1584,2)</x:f>
        <x:v>123</x:v>
      </x:c>
      <x:c r="O1584" s="4" t="n">
        <x:f>ROUND(M1584-N1584,2)</x:f>
        <x:v>92.73</x:v>
      </x:c>
      <x:c r="P1584" s="6" t="n">
        <x:v>4.8</x:v>
      </x:c>
      <x:c r="Q1584" t="str">
        <x:v>No</x:v>
      </x:c>
    </x:row>
    <x:row r="1585">
      <x:c r="A1585" t="str">
        <x:v>ORD-01181</x:v>
      </x:c>
      <x:c r="B1585" s="3" t="n">
        <x:v>45934.23626586806</x:v>
      </x:c>
      <x:c r="C1585" t="str">
        <x:v>2025-10</x:v>
      </x:c>
      <x:c r="D1585" t="str">
        <x:v>CUS-0329</x:v>
      </x:c>
      <x:c r="E1585" t="str">
        <x:v>South East</x:v>
      </x:c>
      <x:c r="F1585" t="str">
        <x:v>Store</x:v>
      </x:c>
      <x:c r="G1585" t="str">
        <x:v>Books</x:v>
      </x:c>
      <x:c r="H1585" t="str">
        <x:v>Data Analytics Handbook</x:v>
      </x:c>
      <x:c r="I1585" t="n">
        <x:v>4</x:v>
      </x:c>
      <x:c r="J1585" s="4" t="n">
        <x:v>41.51</x:v>
      </x:c>
      <x:c r="K1585" s="4" t="n">
        <x:v>14</x:v>
      </x:c>
      <x:c r="L1585" s="5" t="n">
        <x:v>0.1</x:v>
      </x:c>
      <x:c r="M1585" s="4" t="n">
        <x:f>ROUND(I1585*J1585*(1-L1585),2)</x:f>
        <x:v>149.44</x:v>
      </x:c>
      <x:c r="N1585" s="4" t="n">
        <x:f>ROUND(I1585*K1585,2)</x:f>
        <x:v>56</x:v>
      </x:c>
      <x:c r="O1585" s="4" t="n">
        <x:f>ROUND(M1585-N1585,2)</x:f>
        <x:v>93.44</x:v>
      </x:c>
      <x:c r="P1585" s="6" t="n">
        <x:v>3.3</x:v>
      </x:c>
      <x:c r="Q1585" t="str">
        <x:v>No</x:v>
      </x:c>
    </x:row>
    <x:row r="1586">
      <x:c r="A1586" t="str">
        <x:v>ORD-00082</x:v>
      </x:c>
      <x:c r="B1586" s="3" t="n">
        <x:v>45934.4121175</x:v>
      </x:c>
      <x:c r="C1586" t="str">
        <x:v>2025-10</x:v>
      </x:c>
      <x:c r="D1586" t="str">
        <x:v>CUS-0404</x:v>
      </x:c>
      <x:c r="E1586" t="str">
        <x:v>North East</x:v>
      </x:c>
      <x:c r="F1586" t="str">
        <x:v>Online</x:v>
      </x:c>
      <x:c r="G1586" t="str">
        <x:v>Beauty</x:v>
      </x:c>
      <x:c r="H1586" t="str">
        <x:v>Hair Dryer</x:v>
      </x:c>
      <x:c r="I1586" t="n">
        <x:v>2</x:v>
      </x:c>
      <x:c r="J1586" s="4" t="n">
        <x:v>62.84</x:v>
      </x:c>
      <x:c r="K1586" s="4" t="n">
        <x:v>29</x:v>
      </x:c>
      <x:c r="L1586" s="5" t="n">
        <x:v>0.1</x:v>
      </x:c>
      <x:c r="M1586" s="4" t="n">
        <x:f>ROUND(I1586*J1586*(1-L1586),2)</x:f>
        <x:v>113.11</x:v>
      </x:c>
      <x:c r="N1586" s="4" t="n">
        <x:f>ROUND(I1586*K1586,2)</x:f>
        <x:v>58</x:v>
      </x:c>
      <x:c r="O1586" s="4" t="n">
        <x:f>ROUND(M1586-N1586,2)</x:f>
        <x:v>55.11</x:v>
      </x:c>
      <x:c r="P1586" s="6" t="n">
        <x:v>4</x:v>
      </x:c>
      <x:c r="Q1586" t="str">
        <x:v>Yes</x:v>
      </x:c>
    </x:row>
    <x:row r="1587">
      <x:c r="A1587" t="str">
        <x:v>ORD-01597</x:v>
      </x:c>
      <x:c r="B1587" s="3" t="n">
        <x:v>45934.47197795139</x:v>
      </x:c>
      <x:c r="C1587" t="str">
        <x:v>2025-10</x:v>
      </x:c>
      <x:c r="D1587" t="str">
        <x:v>CUS-0362</x:v>
      </x:c>
      <x:c r="E1587" t="str">
        <x:v>North West</x:v>
      </x:c>
      <x:c r="F1587" t="str">
        <x:v>Store</x:v>
      </x:c>
      <x:c r="G1587" t="str">
        <x:v>Home</x:v>
      </x:c>
      <x:c r="H1587" t="str">
        <x:v>Desk Lamp</x:v>
      </x:c>
      <x:c r="I1587" t="n">
        <x:v>2</x:v>
      </x:c>
      <x:c r="J1587" s="4" t="n">
        <x:v>35.93</x:v>
      </x:c>
      <x:c r="K1587" s="4" t="n">
        <x:v>17</x:v>
      </x:c>
      <x:c r="L1587" s="5" t="n">
        <x:v>0</x:v>
      </x:c>
      <x:c r="M1587" s="4" t="n">
        <x:f>ROUND(I1587*J1587*(1-L1587),2)</x:f>
        <x:v>71.86</x:v>
      </x:c>
      <x:c r="N1587" s="4" t="n">
        <x:f>ROUND(I1587*K1587,2)</x:f>
        <x:v>34</x:v>
      </x:c>
      <x:c r="O1587" s="4" t="n">
        <x:f>ROUND(M1587-N1587,2)</x:f>
        <x:v>37.86</x:v>
      </x:c>
      <x:c r="P1587" s="6" t="n">
        <x:v>3.5</x:v>
      </x:c>
      <x:c r="Q1587" t="str">
        <x:v>No</x:v>
      </x:c>
    </x:row>
    <x:row r="1588">
      <x:c r="A1588" t="str">
        <x:v>ORD-00440</x:v>
      </x:c>
      <x:c r="B1588" s="3" t="n">
        <x:v>45934.48773689815</x:v>
      </x:c>
      <x:c r="C1588" t="str">
        <x:v>2025-10</x:v>
      </x:c>
      <x:c r="D1588" t="str">
        <x:v>CUS-0295</x:v>
      </x:c>
      <x:c r="E1588" t="str">
        <x:v>Scotland</x:v>
      </x:c>
      <x:c r="F1588" t="str">
        <x:v>Marketplace</x:v>
      </x:c>
      <x:c r="G1588" t="str">
        <x:v>Home</x:v>
      </x:c>
      <x:c r="H1588" t="str">
        <x:v>Air Fryer</x:v>
      </x:c>
      <x:c r="I1588" t="n">
        <x:v>1</x:v>
      </x:c>
      <x:c r="J1588" s="4" t="n">
        <x:v>124.22</x:v>
      </x:c>
      <x:c r="K1588" s="4" t="n">
        <x:v>69</x:v>
      </x:c>
      <x:c r="L1588" s="5" t="n">
        <x:v>0.15</x:v>
      </x:c>
      <x:c r="M1588" s="4" t="n">
        <x:f>ROUND(I1588*J1588*(1-L1588),2)</x:f>
        <x:v>105.59</x:v>
      </x:c>
      <x:c r="N1588" s="4" t="n">
        <x:f>ROUND(I1588*K1588,2)</x:f>
        <x:v>69</x:v>
      </x:c>
      <x:c r="O1588" s="4" t="n">
        <x:f>ROUND(M1588-N1588,2)</x:f>
        <x:v>36.59</x:v>
      </x:c>
      <x:c r="P1588" s="6" t="n">
        <x:v>4.3</x:v>
      </x:c>
      <x:c r="Q1588" t="str">
        <x:v>No</x:v>
      </x:c>
    </x:row>
    <x:row r="1589">
      <x:c r="A1589" t="str">
        <x:v>ORD-00765</x:v>
      </x:c>
      <x:c r="B1589" s="3" t="n">
        <x:v>45934.771923726854</x:v>
      </x:c>
      <x:c r="C1589" t="str">
        <x:v>2025-10</x:v>
      </x:c>
      <x:c r="D1589" t="str">
        <x:v>CUS-0094</x:v>
      </x:c>
      <x:c r="E1589" t="str">
        <x:v>North East</x:v>
      </x:c>
      <x:c r="F1589" t="str">
        <x:v>Store</x:v>
      </x:c>
      <x:c r="G1589" t="str">
        <x:v>Home</x:v>
      </x:c>
      <x:c r="H1589" t="str">
        <x:v>Air Fryer</x:v>
      </x:c>
      <x:c r="I1589" t="n">
        <x:v>3</x:v>
      </x:c>
      <x:c r="J1589" s="4" t="n">
        <x:v>124.58</x:v>
      </x:c>
      <x:c r="K1589" s="4" t="n">
        <x:v>69</x:v>
      </x:c>
      <x:c r="L1589" s="5" t="n">
        <x:v>0</x:v>
      </x:c>
      <x:c r="M1589" s="4" t="n">
        <x:f>ROUND(I1589*J1589*(1-L1589),2)</x:f>
        <x:v>373.74</x:v>
      </x:c>
      <x:c r="N1589" s="4" t="n">
        <x:f>ROUND(I1589*K1589,2)</x:f>
        <x:v>207</x:v>
      </x:c>
      <x:c r="O1589" s="4" t="n">
        <x:f>ROUND(M1589-N1589,2)</x:f>
        <x:v>166.74</x:v>
      </x:c>
      <x:c r="P1589" s="6" t="n">
        <x:v>3.5</x:v>
      </x:c>
      <x:c r="Q1589" t="str">
        <x:v>No</x:v>
      </x:c>
    </x:row>
    <x:row r="1590">
      <x:c r="A1590" t="str">
        <x:v>ORD-01764</x:v>
      </x:c>
      <x:c r="B1590" s="3" t="n">
        <x:v>45935.79387677083</x:v>
      </x:c>
      <x:c r="C1590" t="str">
        <x:v>2025-10</x:v>
      </x:c>
      <x:c r="D1590" t="str">
        <x:v>CUS-0021</x:v>
      </x:c>
      <x:c r="E1590" t="str">
        <x:v>Scotland</x:v>
      </x:c>
      <x:c r="F1590" t="str">
        <x:v>Marketplace</x:v>
      </x:c>
      <x:c r="G1590" t="str">
        <x:v>Sports</x:v>
      </x:c>
      <x:c r="H1590" t="str">
        <x:v>Fitness Tracker</x:v>
      </x:c>
      <x:c r="I1590" t="n">
        <x:v>5</x:v>
      </x:c>
      <x:c r="J1590" s="4" t="n">
        <x:v>54.28</x:v>
      </x:c>
      <x:c r="K1590" s="4" t="n">
        <x:v>27</x:v>
      </x:c>
      <x:c r="L1590" s="5" t="n">
        <x:v>0.15</x:v>
      </x:c>
      <x:c r="M1590" s="4" t="n">
        <x:f>ROUND(I1590*J1590*(1-L1590),2)</x:f>
        <x:v>230.69</x:v>
      </x:c>
      <x:c r="N1590" s="4" t="n">
        <x:f>ROUND(I1590*K1590,2)</x:f>
        <x:v>135</x:v>
      </x:c>
      <x:c r="O1590" s="4" t="n">
        <x:f>ROUND(M1590-N1590,2)</x:f>
        <x:v>95.69</x:v>
      </x:c>
      <x:c r="P1590" s="6" t="n">
        <x:v>3.5</x:v>
      </x:c>
      <x:c r="Q1590" t="str">
        <x:v>No</x:v>
      </x:c>
    </x:row>
    <x:row r="1591">
      <x:c r="A1591" t="str">
        <x:v>ORD-00193</x:v>
      </x:c>
      <x:c r="B1591" s="3" t="n">
        <x:v>45936.76447482639</x:v>
      </x:c>
      <x:c r="C1591" t="str">
        <x:v>2025-10</x:v>
      </x:c>
      <x:c r="D1591" t="str">
        <x:v>CUS-0581</x:v>
      </x:c>
      <x:c r="E1591" t="str">
        <x:v>Scotland</x:v>
      </x:c>
      <x:c r="F1591" t="str">
        <x:v>Marketplace</x:v>
      </x:c>
      <x:c r="G1591" t="str">
        <x:v>Fashion</x:v>
      </x:c>
      <x:c r="H1591" t="str">
        <x:v>Backpack</x:v>
      </x:c>
      <x:c r="I1591" t="n">
        <x:v>3</x:v>
      </x:c>
      <x:c r="J1591" s="4" t="n">
        <x:v>49.69</x:v>
      </x:c>
      <x:c r="K1591" s="4" t="n">
        <x:v>21</x:v>
      </x:c>
      <x:c r="L1591" s="5" t="n">
        <x:v>0.2</x:v>
      </x:c>
      <x:c r="M1591" s="4" t="n">
        <x:f>ROUND(I1591*J1591*(1-L1591),2)</x:f>
        <x:v>119.26</x:v>
      </x:c>
      <x:c r="N1591" s="4" t="n">
        <x:f>ROUND(I1591*K1591,2)</x:f>
        <x:v>63</x:v>
      </x:c>
      <x:c r="O1591" s="4" t="n">
        <x:f>ROUND(M1591-N1591,2)</x:f>
        <x:v>56.26</x:v>
      </x:c>
      <x:c r="P1591" s="6" t="n">
        <x:v>4.6</x:v>
      </x:c>
      <x:c r="Q1591" t="str">
        <x:v>No</x:v>
      </x:c>
    </x:row>
    <x:row r="1592">
      <x:c r="A1592" t="str">
        <x:v>ORD-01076</x:v>
      </x:c>
      <x:c r="B1592" s="3" t="n">
        <x:v>45937.12535252315</x:v>
      </x:c>
      <x:c r="C1592" t="str">
        <x:v>2025-10</x:v>
      </x:c>
      <x:c r="D1592" t="str">
        <x:v>CUS-0431</x:v>
      </x:c>
      <x:c r="E1592" t="str">
        <x:v>London</x:v>
      </x:c>
      <x:c r="F1592" t="str">
        <x:v>Online</x:v>
      </x:c>
      <x:c r="G1592" t="str">
        <x:v>Sports</x:v>
      </x:c>
      <x:c r="H1592" t="str">
        <x:v>Fitness Tracker</x:v>
      </x:c>
      <x:c r="I1592" t="n">
        <x:v>3</x:v>
      </x:c>
      <x:c r="J1592" s="4" t="n">
        <x:v>56.08</x:v>
      </x:c>
      <x:c r="K1592" s="4" t="n">
        <x:v>27</x:v>
      </x:c>
      <x:c r="L1592" s="5" t="n">
        <x:v>0</x:v>
      </x:c>
      <x:c r="M1592" s="4" t="n">
        <x:f>ROUND(I1592*J1592*(1-L1592),2)</x:f>
        <x:v>168.24</x:v>
      </x:c>
      <x:c r="N1592" s="4" t="n">
        <x:f>ROUND(I1592*K1592,2)</x:f>
        <x:v>81</x:v>
      </x:c>
      <x:c r="O1592" s="4" t="n">
        <x:f>ROUND(M1592-N1592,2)</x:f>
        <x:v>87.24</x:v>
      </x:c>
      <x:c r="P1592" s="6" t="n">
        <x:v>4.9</x:v>
      </x:c>
      <x:c r="Q1592" t="str">
        <x:v>No</x:v>
      </x:c>
    </x:row>
    <x:row r="1593">
      <x:c r="A1593" t="str">
        <x:v>ORD-00917</x:v>
      </x:c>
      <x:c r="B1593" s="3" t="n">
        <x:v>45937.30923335648</x:v>
      </x:c>
      <x:c r="C1593" t="str">
        <x:v>2025-10</x:v>
      </x:c>
      <x:c r="D1593" t="str">
        <x:v>CUS-0003</x:v>
      </x:c>
      <x:c r="E1593" t="str">
        <x:v>North East</x:v>
      </x:c>
      <x:c r="F1593" t="str">
        <x:v>Marketplace</x:v>
      </x:c>
      <x:c r="G1593" t="str">
        <x:v>Beauty</x:v>
      </x:c>
      <x:c r="H1593" t="str">
        <x:v>Skin Care Set</x:v>
      </x:c>
      <x:c r="I1593" t="n">
        <x:v>5</x:v>
      </x:c>
      <x:c r="J1593" s="4" t="n">
        <x:v>44.75</x:v>
      </x:c>
      <x:c r="K1593" s="4" t="n">
        <x:v>18</x:v>
      </x:c>
      <x:c r="L1593" s="5" t="n">
        <x:v>0.1</x:v>
      </x:c>
      <x:c r="M1593" s="4" t="n">
        <x:f>ROUND(I1593*J1593*(1-L1593),2)</x:f>
        <x:v>201.38</x:v>
      </x:c>
      <x:c r="N1593" s="4" t="n">
        <x:f>ROUND(I1593*K1593,2)</x:f>
        <x:v>90</x:v>
      </x:c>
      <x:c r="O1593" s="4" t="n">
        <x:f>ROUND(M1593-N1593,2)</x:f>
        <x:v>111.38</x:v>
      </x:c>
      <x:c r="P1593" s="6" t="n">
        <x:v>3.3</x:v>
      </x:c>
      <x:c r="Q1593" t="str">
        <x:v>No</x:v>
      </x:c>
    </x:row>
    <x:row r="1594">
      <x:c r="A1594" t="str">
        <x:v>ORD-01592</x:v>
      </x:c>
      <x:c r="B1594" s="3" t="n">
        <x:v>45937.58544333333</x:v>
      </x:c>
      <x:c r="C1594" t="str">
        <x:v>2025-10</x:v>
      </x:c>
      <x:c r="D1594" t="str">
        <x:v>CUS-0156</x:v>
      </x:c>
      <x:c r="E1594" t="str">
        <x:v>South East</x:v>
      </x:c>
      <x:c r="F1594" t="str">
        <x:v>Store</x:v>
      </x:c>
      <x:c r="G1594" t="str">
        <x:v>Fashion</x:v>
      </x:c>
      <x:c r="H1594" t="str">
        <x:v>Winter Jacket</x:v>
      </x:c>
      <x:c r="I1594" t="n">
        <x:v>2</x:v>
      </x:c>
      <x:c r="J1594" s="4" t="n">
        <x:v>92.36</x:v>
      </x:c>
      <x:c r="K1594" s="4" t="n">
        <x:v>46</x:v>
      </x:c>
      <x:c r="L1594" s="5" t="n">
        <x:v>0.05</x:v>
      </x:c>
      <x:c r="M1594" s="4" t="n">
        <x:f>ROUND(I1594*J1594*(1-L1594),2)</x:f>
        <x:v>175.48</x:v>
      </x:c>
      <x:c r="N1594" s="4" t="n">
        <x:f>ROUND(I1594*K1594,2)</x:f>
        <x:v>92</x:v>
      </x:c>
      <x:c r="O1594" s="4" t="n">
        <x:f>ROUND(M1594-N1594,2)</x:f>
        <x:v>83.48</x:v>
      </x:c>
      <x:c r="P1594" s="6" t="n">
        <x:v>3.3</x:v>
      </x:c>
      <x:c r="Q1594" t="str">
        <x:v>No</x:v>
      </x:c>
    </x:row>
    <x:row r="1595">
      <x:c r="A1595" t="str">
        <x:v>ORD-00081</x:v>
      </x:c>
      <x:c r="B1595" s="3" t="n">
        <x:v>45938.48483363426</x:v>
      </x:c>
      <x:c r="C1595" t="str">
        <x:v>2025-10</x:v>
      </x:c>
      <x:c r="D1595" t="str">
        <x:v>CUS-0204</x:v>
      </x:c>
      <x:c r="E1595" t="str">
        <x:v>Midlands</x:v>
      </x:c>
      <x:c r="F1595" t="str">
        <x:v>Store</x:v>
      </x:c>
      <x:c r="G1595" t="str">
        <x:v>Home</x:v>
      </x:c>
      <x:c r="H1595" t="str">
        <x:v>Desk Lamp</x:v>
      </x:c>
      <x:c r="I1595" t="n">
        <x:v>2</x:v>
      </x:c>
      <x:c r="J1595" s="4" t="n">
        <x:v>33.98</x:v>
      </x:c>
      <x:c r="K1595" s="4" t="n">
        <x:v>17</x:v>
      </x:c>
      <x:c r="L1595" s="5" t="n">
        <x:v>0.1</x:v>
      </x:c>
      <x:c r="M1595" s="4" t="n">
        <x:f>ROUND(I1595*J1595*(1-L1595),2)</x:f>
        <x:v>61.16</x:v>
      </x:c>
      <x:c r="N1595" s="4" t="n">
        <x:f>ROUND(I1595*K1595,2)</x:f>
        <x:v>34</x:v>
      </x:c>
      <x:c r="O1595" s="4" t="n">
        <x:f>ROUND(M1595-N1595,2)</x:f>
        <x:v>27.16</x:v>
      </x:c>
      <x:c r="P1595" s="6" t="n">
        <x:v>3.6</x:v>
      </x:c>
      <x:c r="Q1595" t="str">
        <x:v>No</x:v>
      </x:c>
    </x:row>
    <x:row r="1596">
      <x:c r="A1596" t="str">
        <x:v>ORD-01220</x:v>
      </x:c>
      <x:c r="B1596" s="3" t="n">
        <x:v>45939.03250572917</x:v>
      </x:c>
      <x:c r="C1596" t="str">
        <x:v>2025-10</x:v>
      </x:c>
      <x:c r="D1596" t="str">
        <x:v>CUS-0145</x:v>
      </x:c>
      <x:c r="E1596" t="str">
        <x:v>North East</x:v>
      </x:c>
      <x:c r="F1596" t="str">
        <x:v>Store</x:v>
      </x:c>
      <x:c r="G1596" t="str">
        <x:v>Electronics</x:v>
      </x:c>
      <x:c r="H1596" t="str">
        <x:v>Bluetooth Speaker</x:v>
      </x:c>
      <x:c r="I1596" t="n">
        <x:v>2</x:v>
      </x:c>
      <x:c r="J1596" s="4" t="n">
        <x:v>66.63</x:v>
      </x:c>
      <x:c r="K1596" s="4" t="n">
        <x:v>34</x:v>
      </x:c>
      <x:c r="L1596" s="5" t="n">
        <x:v>0.1</x:v>
      </x:c>
      <x:c r="M1596" s="4" t="n">
        <x:f>ROUND(I1596*J1596*(1-L1596),2)</x:f>
        <x:v>119.93</x:v>
      </x:c>
      <x:c r="N1596" s="4" t="n">
        <x:f>ROUND(I1596*K1596,2)</x:f>
        <x:v>68</x:v>
      </x:c>
      <x:c r="O1596" s="4" t="n">
        <x:f>ROUND(M1596-N1596,2)</x:f>
        <x:v>51.93</x:v>
      </x:c>
      <x:c r="P1596" s="6" t="n">
        <x:v>3.4</x:v>
      </x:c>
      <x:c r="Q1596" t="str">
        <x:v>No</x:v>
      </x:c>
    </x:row>
    <x:row r="1597">
      <x:c r="A1597" t="str">
        <x:v>ORD-01395</x:v>
      </x:c>
      <x:c r="B1597" s="3" t="n">
        <x:v>45939.19242743056</x:v>
      </x:c>
      <x:c r="C1597" t="str">
        <x:v>2025-10</x:v>
      </x:c>
      <x:c r="D1597" t="str">
        <x:v>CUS-0521</x:v>
      </x:c>
      <x:c r="E1597" t="str">
        <x:v>London</x:v>
      </x:c>
      <x:c r="F1597" t="str">
        <x:v>Marketplace</x:v>
      </x:c>
      <x:c r="G1597" t="str">
        <x:v>Beauty</x:v>
      </x:c>
      <x:c r="H1597" t="str">
        <x:v>Skin Care Set</x:v>
      </x:c>
      <x:c r="I1597" t="n">
        <x:v>4</x:v>
      </x:c>
      <x:c r="J1597" s="4" t="n">
        <x:v>45.1</x:v>
      </x:c>
      <x:c r="K1597" s="4" t="n">
        <x:v>18</x:v>
      </x:c>
      <x:c r="L1597" s="5" t="n">
        <x:v>0</x:v>
      </x:c>
      <x:c r="M1597" s="4" t="n">
        <x:f>ROUND(I1597*J1597*(1-L1597),2)</x:f>
        <x:v>180.4</x:v>
      </x:c>
      <x:c r="N1597" s="4" t="n">
        <x:f>ROUND(I1597*K1597,2)</x:f>
        <x:v>72</x:v>
      </x:c>
      <x:c r="O1597" s="4" t="n">
        <x:f>ROUND(M1597-N1597,2)</x:f>
        <x:v>108.4</x:v>
      </x:c>
      <x:c r="P1597" s="6" t="n">
        <x:v>4.3</x:v>
      </x:c>
      <x:c r="Q1597" t="str">
        <x:v>No</x:v>
      </x:c>
    </x:row>
    <x:row r="1598">
      <x:c r="A1598" t="str">
        <x:v>ORD-01619</x:v>
      </x:c>
      <x:c r="B1598" s="3" t="n">
        <x:v>45939.78800046296</x:v>
      </x:c>
      <x:c r="C1598" t="str">
        <x:v>2025-10</x:v>
      </x:c>
      <x:c r="D1598" t="str">
        <x:v>CUS-0116</x:v>
      </x:c>
      <x:c r="E1598" t="str">
        <x:v>North West</x:v>
      </x:c>
      <x:c r="F1598" t="str">
        <x:v>Online</x:v>
      </x:c>
      <x:c r="G1598" t="str">
        <x:v>Beauty</x:v>
      </x:c>
      <x:c r="H1598" t="str">
        <x:v>Skin Care Set</x:v>
      </x:c>
      <x:c r="I1598" t="n">
        <x:v>3</x:v>
      </x:c>
      <x:c r="J1598" s="4" t="n">
        <x:v>43.82</x:v>
      </x:c>
      <x:c r="K1598" s="4" t="n">
        <x:v>18</x:v>
      </x:c>
      <x:c r="L1598" s="5" t="n">
        <x:v>0.1</x:v>
      </x:c>
      <x:c r="M1598" s="4" t="n">
        <x:f>ROUND(I1598*J1598*(1-L1598),2)</x:f>
        <x:v>118.31</x:v>
      </x:c>
      <x:c r="N1598" s="4" t="n">
        <x:f>ROUND(I1598*K1598,2)</x:f>
        <x:v>54</x:v>
      </x:c>
      <x:c r="O1598" s="4" t="n">
        <x:f>ROUND(M1598-N1598,2)</x:f>
        <x:v>64.31</x:v>
      </x:c>
      <x:c r="P1598" s="6" t="n">
        <x:v>5</x:v>
      </x:c>
      <x:c r="Q1598" t="str">
        <x:v>No</x:v>
      </x:c>
    </x:row>
    <x:row r="1599">
      <x:c r="A1599" t="str">
        <x:v>ORD-00047</x:v>
      </x:c>
      <x:c r="B1599" s="3" t="n">
        <x:v>45940.00211865741</x:v>
      </x:c>
      <x:c r="C1599" t="str">
        <x:v>2025-10</x:v>
      </x:c>
      <x:c r="D1599" t="str">
        <x:v>CUS-0525</x:v>
      </x:c>
      <x:c r="E1599" t="str">
        <x:v>North East</x:v>
      </x:c>
      <x:c r="F1599" t="str">
        <x:v>Online</x:v>
      </x:c>
      <x:c r="G1599" t="str">
        <x:v>Electronics</x:v>
      </x:c>
      <x:c r="H1599" t="str">
        <x:v>Wireless Headphones</x:v>
      </x:c>
      <x:c r="I1599" t="n">
        <x:v>2</x:v>
      </x:c>
      <x:c r="J1599" s="4" t="n">
        <x:v>87.95</x:v>
      </x:c>
      <x:c r="K1599" s="4" t="n">
        <x:v>48</x:v>
      </x:c>
      <x:c r="L1599" s="5" t="n">
        <x:v>0</x:v>
      </x:c>
      <x:c r="M1599" s="4" t="n">
        <x:f>ROUND(I1599*J1599*(1-L1599),2)</x:f>
        <x:v>175.9</x:v>
      </x:c>
      <x:c r="N1599" s="4" t="n">
        <x:f>ROUND(I1599*K1599,2)</x:f>
        <x:v>96</x:v>
      </x:c>
      <x:c r="O1599" s="4" t="n">
        <x:f>ROUND(M1599-N1599,2)</x:f>
        <x:v>79.9</x:v>
      </x:c>
      <x:c r="P1599" s="6" t="n">
        <x:v>4.9</x:v>
      </x:c>
      <x:c r="Q1599" t="str">
        <x:v>No</x:v>
      </x:c>
    </x:row>
    <x:row r="1600">
      <x:c r="A1600" t="str">
        <x:v>ORD-00544</x:v>
      </x:c>
      <x:c r="B1600" s="3" t="n">
        <x:v>45941.19057144676</x:v>
      </x:c>
      <x:c r="C1600" t="str">
        <x:v>2025-10</x:v>
      </x:c>
      <x:c r="D1600" t="str">
        <x:v>CUS-0204</x:v>
      </x:c>
      <x:c r="E1600" t="str">
        <x:v>North West</x:v>
      </x:c>
      <x:c r="F1600" t="str">
        <x:v>Marketplace</x:v>
      </x:c>
      <x:c r="G1600" t="str">
        <x:v>Books</x:v>
      </x:c>
      <x:c r="H1600" t="str">
        <x:v>Data Analytics Handbook</x:v>
      </x:c>
      <x:c r="I1600" t="n">
        <x:v>3</x:v>
      </x:c>
      <x:c r="J1600" s="4" t="n">
        <x:v>38.56</x:v>
      </x:c>
      <x:c r="K1600" s="4" t="n">
        <x:v>14</x:v>
      </x:c>
      <x:c r="L1600" s="5" t="n">
        <x:v>0.1</x:v>
      </x:c>
      <x:c r="M1600" s="4" t="n">
        <x:f>ROUND(I1600*J1600*(1-L1600),2)</x:f>
        <x:v>104.11</x:v>
      </x:c>
      <x:c r="N1600" s="4" t="n">
        <x:f>ROUND(I1600*K1600,2)</x:f>
        <x:v>42</x:v>
      </x:c>
      <x:c r="O1600" s="4" t="n">
        <x:f>ROUND(M1600-N1600,2)</x:f>
        <x:v>62.11</x:v>
      </x:c>
      <x:c r="P1600" s="6" t="n">
        <x:v>4.9</x:v>
      </x:c>
      <x:c r="Q1600" t="str">
        <x:v>No</x:v>
      </x:c>
    </x:row>
    <x:row r="1601">
      <x:c r="A1601" t="str">
        <x:v>ORD-01403</x:v>
      </x:c>
      <x:c r="B1601" s="3" t="n">
        <x:v>45941.31963677084</x:v>
      </x:c>
      <x:c r="C1601" t="str">
        <x:v>2025-10</x:v>
      </x:c>
      <x:c r="D1601" t="str">
        <x:v>CUS-0464</x:v>
      </x:c>
      <x:c r="E1601" t="str">
        <x:v>North East</x:v>
      </x:c>
      <x:c r="F1601" t="str">
        <x:v>Marketplace</x:v>
      </x:c>
      <x:c r="G1601" t="str">
        <x:v>Home</x:v>
      </x:c>
      <x:c r="H1601" t="str">
        <x:v>Coffee Maker</x:v>
      </x:c>
      <x:c r="I1601" t="n">
        <x:v>1</x:v>
      </x:c>
      <x:c r="J1601" s="4" t="n">
        <x:v>77.36</x:v>
      </x:c>
      <x:c r="K1601" s="4" t="n">
        <x:v>41</x:v>
      </x:c>
      <x:c r="L1601" s="5" t="n">
        <x:v>0</x:v>
      </x:c>
      <x:c r="M1601" s="4" t="n">
        <x:f>ROUND(I1601*J1601*(1-L1601),2)</x:f>
        <x:v>77.36</x:v>
      </x:c>
      <x:c r="N1601" s="4" t="n">
        <x:f>ROUND(I1601*K1601,2)</x:f>
        <x:v>41</x:v>
      </x:c>
      <x:c r="O1601" s="4" t="n">
        <x:f>ROUND(M1601-N1601,2)</x:f>
        <x:v>36.36</x:v>
      </x:c>
      <x:c r="P1601" s="6" t="n">
        <x:v>3.9</x:v>
      </x:c>
      <x:c r="Q1601" t="str">
        <x:v>Yes</x:v>
      </x:c>
    </x:row>
    <x:row r="1602">
      <x:c r="A1602" t="str">
        <x:v>ORD-00036</x:v>
      </x:c>
      <x:c r="B1602" s="3" t="n">
        <x:v>45941.503028101855</x:v>
      </x:c>
      <x:c r="C1602" t="str">
        <x:v>2025-10</x:v>
      </x:c>
      <x:c r="D1602" t="str">
        <x:v>CUS-0416</x:v>
      </x:c>
      <x:c r="E1602" t="str">
        <x:v>Midlands</x:v>
      </x:c>
      <x:c r="F1602" t="str">
        <x:v>Online</x:v>
      </x:c>
      <x:c r="G1602" t="str">
        <x:v>Home</x:v>
      </x:c>
      <x:c r="H1602" t="str">
        <x:v>Desk Lamp</x:v>
      </x:c>
      <x:c r="I1602" t="n">
        <x:v>2</x:v>
      </x:c>
      <x:c r="J1602" s="4" t="n">
        <x:v>36.59</x:v>
      </x:c>
      <x:c r="K1602" s="4" t="n">
        <x:v>17</x:v>
      </x:c>
      <x:c r="L1602" s="5" t="n">
        <x:v>0.2</x:v>
      </x:c>
      <x:c r="M1602" s="4" t="n">
        <x:f>ROUND(I1602*J1602*(1-L1602),2)</x:f>
        <x:v>58.54</x:v>
      </x:c>
      <x:c r="N1602" s="4" t="n">
        <x:f>ROUND(I1602*K1602,2)</x:f>
        <x:v>34</x:v>
      </x:c>
      <x:c r="O1602" s="4" t="n">
        <x:f>ROUND(M1602-N1602,2)</x:f>
        <x:v>24.54</x:v>
      </x:c>
      <x:c r="P1602" s="6" t="n">
        <x:v>3.4</x:v>
      </x:c>
      <x:c r="Q1602" t="str">
        <x:v>No</x:v>
      </x:c>
    </x:row>
    <x:row r="1603">
      <x:c r="A1603" t="str">
        <x:v>ORD-01784</x:v>
      </x:c>
      <x:c r="B1603" s="3" t="n">
        <x:v>45941.99477888889</x:v>
      </x:c>
      <x:c r="C1603" t="str">
        <x:v>2025-10</x:v>
      </x:c>
      <x:c r="D1603" t="str">
        <x:v>CUS-0222</x:v>
      </x:c>
      <x:c r="E1603" t="str">
        <x:v>North West</x:v>
      </x:c>
      <x:c r="F1603" t="str">
        <x:v>Online</x:v>
      </x:c>
      <x:c r="G1603" t="str">
        <x:v>Fashion</x:v>
      </x:c>
      <x:c r="H1603" t="str">
        <x:v>Backpack</x:v>
      </x:c>
      <x:c r="I1603" t="n">
        <x:v>3</x:v>
      </x:c>
      <x:c r="J1603" s="4" t="n">
        <x:v>50.46</x:v>
      </x:c>
      <x:c r="K1603" s="4" t="n">
        <x:v>21</x:v>
      </x:c>
      <x:c r="L1603" s="5" t="n">
        <x:v>0</x:v>
      </x:c>
      <x:c r="M1603" s="4" t="n">
        <x:f>ROUND(I1603*J1603*(1-L1603),2)</x:f>
        <x:v>151.38</x:v>
      </x:c>
      <x:c r="N1603" s="4" t="n">
        <x:f>ROUND(I1603*K1603,2)</x:f>
        <x:v>63</x:v>
      </x:c>
      <x:c r="O1603" s="4" t="n">
        <x:f>ROUND(M1603-N1603,2)</x:f>
        <x:v>88.38</x:v>
      </x:c>
      <x:c r="P1603" s="6" t="n">
        <x:v>3.7</x:v>
      </x:c>
      <x:c r="Q1603" t="str">
        <x:v>No</x:v>
      </x:c>
    </x:row>
    <x:row r="1604">
      <x:c r="A1604" t="str">
        <x:v>ORD-01543</x:v>
      </x:c>
      <x:c r="B1604" s="3" t="n">
        <x:v>45942.396950243055</x:v>
      </x:c>
      <x:c r="C1604" t="str">
        <x:v>2025-10</x:v>
      </x:c>
      <x:c r="D1604" t="str">
        <x:v>CUS-0264</x:v>
      </x:c>
      <x:c r="E1604" t="str">
        <x:v>South West</x:v>
      </x:c>
      <x:c r="F1604" t="str">
        <x:v>Store</x:v>
      </x:c>
      <x:c r="G1604" t="str">
        <x:v>Fashion</x:v>
      </x:c>
      <x:c r="H1604" t="str">
        <x:v>Backpack</x:v>
      </x:c>
      <x:c r="I1604" t="n">
        <x:v>2</x:v>
      </x:c>
      <x:c r="J1604" s="4" t="n">
        <x:v>47.76</x:v>
      </x:c>
      <x:c r="K1604" s="4" t="n">
        <x:v>21</x:v>
      </x:c>
      <x:c r="L1604" s="5" t="n">
        <x:v>0.15</x:v>
      </x:c>
      <x:c r="M1604" s="4" t="n">
        <x:f>ROUND(I1604*J1604*(1-L1604),2)</x:f>
        <x:v>81.19</x:v>
      </x:c>
      <x:c r="N1604" s="4" t="n">
        <x:f>ROUND(I1604*K1604,2)</x:f>
        <x:v>42</x:v>
      </x:c>
      <x:c r="O1604" s="4" t="n">
        <x:f>ROUND(M1604-N1604,2)</x:f>
        <x:v>39.19</x:v>
      </x:c>
      <x:c r="P1604" s="6" t="n">
        <x:v>4.7</x:v>
      </x:c>
      <x:c r="Q1604" t="str">
        <x:v>No</x:v>
      </x:c>
    </x:row>
    <x:row r="1605">
      <x:c r="A1605" t="str">
        <x:v>ORD-00166</x:v>
      </x:c>
      <x:c r="B1605" s="3" t="n">
        <x:v>45942.897019525466</x:v>
      </x:c>
      <x:c r="C1605" t="str">
        <x:v>2025-10</x:v>
      </x:c>
      <x:c r="D1605" t="str">
        <x:v>CUS-0574</x:v>
      </x:c>
      <x:c r="E1605" t="str">
        <x:v>Wales</x:v>
      </x:c>
      <x:c r="F1605" t="str">
        <x:v>Online</x:v>
      </x:c>
      <x:c r="G1605" t="str">
        <x:v>Books</x:v>
      </x:c>
      <x:c r="H1605" t="str">
        <x:v>Data Analytics Handbook</x:v>
      </x:c>
      <x:c r="I1605" t="n">
        <x:v>4</x:v>
      </x:c>
      <x:c r="J1605" s="4" t="n">
        <x:v>39.38</x:v>
      </x:c>
      <x:c r="K1605" s="4" t="n">
        <x:v>14</x:v>
      </x:c>
      <x:c r="L1605" s="5" t="n">
        <x:v>0</x:v>
      </x:c>
      <x:c r="M1605" s="4" t="n">
        <x:f>ROUND(I1605*J1605*(1-L1605),2)</x:f>
        <x:v>157.52</x:v>
      </x:c>
      <x:c r="N1605" s="4" t="n">
        <x:f>ROUND(I1605*K1605,2)</x:f>
        <x:v>56</x:v>
      </x:c>
      <x:c r="O1605" s="4" t="n">
        <x:f>ROUND(M1605-N1605,2)</x:f>
        <x:v>101.52</x:v>
      </x:c>
      <x:c r="P1605" s="6" t="n">
        <x:v>3.4</x:v>
      </x:c>
      <x:c r="Q1605" t="str">
        <x:v>No</x:v>
      </x:c>
    </x:row>
    <x:row r="1606">
      <x:c r="A1606" t="str">
        <x:v>ORD-00347</x:v>
      </x:c>
      <x:c r="B1606" s="3" t="n">
        <x:v>45942.92980841435</x:v>
      </x:c>
      <x:c r="C1606" t="str">
        <x:v>2025-10</x:v>
      </x:c>
      <x:c r="D1606" t="str">
        <x:v>CUS-0003</x:v>
      </x:c>
      <x:c r="E1606" t="str">
        <x:v>South East</x:v>
      </x:c>
      <x:c r="F1606" t="str">
        <x:v>Online</x:v>
      </x:c>
      <x:c r="G1606" t="str">
        <x:v>Fashion</x:v>
      </x:c>
      <x:c r="H1606" t="str">
        <x:v>Backpack</x:v>
      </x:c>
      <x:c r="I1606" t="n">
        <x:v>4</x:v>
      </x:c>
      <x:c r="J1606" s="4" t="n">
        <x:v>49.1</x:v>
      </x:c>
      <x:c r="K1606" s="4" t="n">
        <x:v>21</x:v>
      </x:c>
      <x:c r="L1606" s="5" t="n">
        <x:v>0.2</x:v>
      </x:c>
      <x:c r="M1606" s="4" t="n">
        <x:f>ROUND(I1606*J1606*(1-L1606),2)</x:f>
        <x:v>157.12</x:v>
      </x:c>
      <x:c r="N1606" s="4" t="n">
        <x:f>ROUND(I1606*K1606,2)</x:f>
        <x:v>84</x:v>
      </x:c>
      <x:c r="O1606" s="4" t="n">
        <x:f>ROUND(M1606-N1606,2)</x:f>
        <x:v>73.12</x:v>
      </x:c>
      <x:c r="P1606" s="6" t="n">
        <x:v>4.7</x:v>
      </x:c>
      <x:c r="Q1606" t="str">
        <x:v>No</x:v>
      </x:c>
    </x:row>
    <x:row r="1607">
      <x:c r="A1607" t="str">
        <x:v>ORD-01426</x:v>
      </x:c>
      <x:c r="B1607" s="3" t="n">
        <x:v>45942.96517332176</x:v>
      </x:c>
      <x:c r="C1607" t="str">
        <x:v>2025-10</x:v>
      </x:c>
      <x:c r="D1607" t="str">
        <x:v>CUS-0546</x:v>
      </x:c>
      <x:c r="E1607" t="str">
        <x:v>South East</x:v>
      </x:c>
      <x:c r="F1607" t="str">
        <x:v>Store</x:v>
      </x:c>
      <x:c r="G1607" t="str">
        <x:v>Home</x:v>
      </x:c>
      <x:c r="H1607" t="str">
        <x:v>Air Fryer</x:v>
      </x:c>
      <x:c r="I1607" t="n">
        <x:v>3</x:v>
      </x:c>
      <x:c r="J1607" s="4" t="n">
        <x:v>117.79</x:v>
      </x:c>
      <x:c r="K1607" s="4" t="n">
        <x:v>69</x:v>
      </x:c>
      <x:c r="L1607" s="5" t="n">
        <x:v>0</x:v>
      </x:c>
      <x:c r="M1607" s="4" t="n">
        <x:f>ROUND(I1607*J1607*(1-L1607),2)</x:f>
        <x:v>353.37</x:v>
      </x:c>
      <x:c r="N1607" s="4" t="n">
        <x:f>ROUND(I1607*K1607,2)</x:f>
        <x:v>207</x:v>
      </x:c>
      <x:c r="O1607" s="4" t="n">
        <x:f>ROUND(M1607-N1607,2)</x:f>
        <x:v>146.37</x:v>
      </x:c>
      <x:c r="P1607" s="6" t="n">
        <x:v>4</x:v>
      </x:c>
      <x:c r="Q1607" t="str">
        <x:v>No</x:v>
      </x:c>
    </x:row>
    <x:row r="1608">
      <x:c r="A1608" t="str">
        <x:v>ORD-00085</x:v>
      </x:c>
      <x:c r="B1608" s="3" t="n">
        <x:v>45944.02101766204</x:v>
      </x:c>
      <x:c r="C1608" t="str">
        <x:v>2025-10</x:v>
      </x:c>
      <x:c r="D1608" t="str">
        <x:v>CUS-0338</x:v>
      </x:c>
      <x:c r="E1608" t="str">
        <x:v>North East</x:v>
      </x:c>
      <x:c r="F1608" t="str">
        <x:v>Marketplace</x:v>
      </x:c>
      <x:c r="G1608" t="str">
        <x:v>Beauty</x:v>
      </x:c>
      <x:c r="H1608" t="str">
        <x:v>Skin Care Set</x:v>
      </x:c>
      <x:c r="I1608" t="n">
        <x:v>2</x:v>
      </x:c>
      <x:c r="J1608" s="4" t="n">
        <x:v>46.65</x:v>
      </x:c>
      <x:c r="K1608" s="4" t="n">
        <x:v>18</x:v>
      </x:c>
      <x:c r="L1608" s="5" t="n">
        <x:v>0</x:v>
      </x:c>
      <x:c r="M1608" s="4" t="n">
        <x:f>ROUND(I1608*J1608*(1-L1608),2)</x:f>
        <x:v>93.3</x:v>
      </x:c>
      <x:c r="N1608" s="4" t="n">
        <x:f>ROUND(I1608*K1608,2)</x:f>
        <x:v>36</x:v>
      </x:c>
      <x:c r="O1608" s="4" t="n">
        <x:f>ROUND(M1608-N1608,2)</x:f>
        <x:v>57.3</x:v>
      </x:c>
      <x:c r="P1608" s="6" t="n">
        <x:v>4.8</x:v>
      </x:c>
      <x:c r="Q1608" t="str">
        <x:v>No</x:v>
      </x:c>
    </x:row>
    <x:row r="1609">
      <x:c r="A1609" t="str">
        <x:v>ORD-00402</x:v>
      </x:c>
      <x:c r="B1609" s="3" t="n">
        <x:v>45944.20124490741</x:v>
      </x:c>
      <x:c r="C1609" t="str">
        <x:v>2025-10</x:v>
      </x:c>
      <x:c r="D1609" t="str">
        <x:v>CUS-0176</x:v>
      </x:c>
      <x:c r="E1609" t="str">
        <x:v>Midlands</x:v>
      </x:c>
      <x:c r="F1609" t="str">
        <x:v>Marketplace</x:v>
      </x:c>
      <x:c r="G1609" t="str">
        <x:v>Beauty</x:v>
      </x:c>
      <x:c r="H1609" t="str">
        <x:v>Skin Care Set</x:v>
      </x:c>
      <x:c r="I1609" t="n">
        <x:v>5</x:v>
      </x:c>
      <x:c r="J1609" s="4" t="n">
        <x:v>46.85</x:v>
      </x:c>
      <x:c r="K1609" s="4" t="n">
        <x:v>18</x:v>
      </x:c>
      <x:c r="L1609" s="5" t="n">
        <x:v>0.05</x:v>
      </x:c>
      <x:c r="M1609" s="4" t="n">
        <x:f>ROUND(I1609*J1609*(1-L1609),2)</x:f>
        <x:v>222.54</x:v>
      </x:c>
      <x:c r="N1609" s="4" t="n">
        <x:f>ROUND(I1609*K1609,2)</x:f>
        <x:v>90</x:v>
      </x:c>
      <x:c r="O1609" s="4" t="n">
        <x:f>ROUND(M1609-N1609,2)</x:f>
        <x:v>132.54</x:v>
      </x:c>
      <x:c r="P1609" s="6" t="n">
        <x:v>4.4</x:v>
      </x:c>
      <x:c r="Q1609" t="str">
        <x:v>No</x:v>
      </x:c>
    </x:row>
    <x:row r="1610">
      <x:c r="A1610" t="str">
        <x:v>ORD-01542</x:v>
      </x:c>
      <x:c r="B1610" s="3" t="n">
        <x:v>45944.624715439815</x:v>
      </x:c>
      <x:c r="C1610" t="str">
        <x:v>2025-10</x:v>
      </x:c>
      <x:c r="D1610" t="str">
        <x:v>CUS-0201</x:v>
      </x:c>
      <x:c r="E1610" t="str">
        <x:v>South West</x:v>
      </x:c>
      <x:c r="F1610" t="str">
        <x:v>Marketplace</x:v>
      </x:c>
      <x:c r="G1610" t="str">
        <x:v>Home</x:v>
      </x:c>
      <x:c r="H1610" t="str">
        <x:v>Desk Lamp</x:v>
      </x:c>
      <x:c r="I1610" t="n">
        <x:v>5</x:v>
      </x:c>
      <x:c r="J1610" s="4" t="n">
        <x:v>33.38</x:v>
      </x:c>
      <x:c r="K1610" s="4" t="n">
        <x:v>17</x:v>
      </x:c>
      <x:c r="L1610" s="5" t="n">
        <x:v>0</x:v>
      </x:c>
      <x:c r="M1610" s="4" t="n">
        <x:f>ROUND(I1610*J1610*(1-L1610),2)</x:f>
        <x:v>166.9</x:v>
      </x:c>
      <x:c r="N1610" s="4" t="n">
        <x:f>ROUND(I1610*K1610,2)</x:f>
        <x:v>85</x:v>
      </x:c>
      <x:c r="O1610" s="4" t="n">
        <x:f>ROUND(M1610-N1610,2)</x:f>
        <x:v>81.9</x:v>
      </x:c>
      <x:c r="P1610" s="6" t="n">
        <x:v>4.4</x:v>
      </x:c>
      <x:c r="Q1610" t="str">
        <x:v>No</x:v>
      </x:c>
    </x:row>
    <x:row r="1611">
      <x:c r="A1611" t="str">
        <x:v>ORD-01335</x:v>
      </x:c>
      <x:c r="B1611" s="3" t="n">
        <x:v>45944.998991238426</x:v>
      </x:c>
      <x:c r="C1611" t="str">
        <x:v>2025-10</x:v>
      </x:c>
      <x:c r="D1611" t="str">
        <x:v>CUS-0540</x:v>
      </x:c>
      <x:c r="E1611" t="str">
        <x:v>South West</x:v>
      </x:c>
      <x:c r="F1611" t="str">
        <x:v>Marketplace</x:v>
      </x:c>
      <x:c r="G1611" t="str">
        <x:v>Beauty</x:v>
      </x:c>
      <x:c r="H1611" t="str">
        <x:v>Skin Care Set</x:v>
      </x:c>
      <x:c r="I1611" t="n">
        <x:v>5</x:v>
      </x:c>
      <x:c r="J1611" s="4" t="n">
        <x:v>43.76</x:v>
      </x:c>
      <x:c r="K1611" s="4" t="n">
        <x:v>18</x:v>
      </x:c>
      <x:c r="L1611" s="5" t="n">
        <x:v>0.15</x:v>
      </x:c>
      <x:c r="M1611" s="4" t="n">
        <x:f>ROUND(I1611*J1611*(1-L1611),2)</x:f>
        <x:v>185.98</x:v>
      </x:c>
      <x:c r="N1611" s="4" t="n">
        <x:f>ROUND(I1611*K1611,2)</x:f>
        <x:v>90</x:v>
      </x:c>
      <x:c r="O1611" s="4" t="n">
        <x:f>ROUND(M1611-N1611,2)</x:f>
        <x:v>95.98</x:v>
      </x:c>
      <x:c r="P1611" s="6" t="n">
        <x:v>5</x:v>
      </x:c>
      <x:c r="Q1611" t="str">
        <x:v>No</x:v>
      </x:c>
    </x:row>
    <x:row r="1612">
      <x:c r="A1612" t="str">
        <x:v>ORD-00471</x:v>
      </x:c>
      <x:c r="B1612" s="3" t="n">
        <x:v>45945.06318142361</x:v>
      </x:c>
      <x:c r="C1612" t="str">
        <x:v>2025-10</x:v>
      </x:c>
      <x:c r="D1612" t="str">
        <x:v>CUS-0025</x:v>
      </x:c>
      <x:c r="E1612" t="str">
        <x:v>South West</x:v>
      </x:c>
      <x:c r="F1612" t="str">
        <x:v>Store</x:v>
      </x:c>
      <x:c r="G1612" t="str">
        <x:v>Electronics</x:v>
      </x:c>
      <x:c r="H1612" t="str">
        <x:v>Smart Watch</x:v>
      </x:c>
      <x:c r="I1612" t="n">
        <x:v>3</x:v>
      </x:c>
      <x:c r="J1612" s="4" t="n">
        <x:v>167.58</x:v>
      </x:c>
      <x:c r="K1612" s="4" t="n">
        <x:v>92</x:v>
      </x:c>
      <x:c r="L1612" s="5" t="n">
        <x:v>0</x:v>
      </x:c>
      <x:c r="M1612" s="4" t="n">
        <x:f>ROUND(I1612*J1612*(1-L1612),2)</x:f>
        <x:v>502.74</x:v>
      </x:c>
      <x:c r="N1612" s="4" t="n">
        <x:f>ROUND(I1612*K1612,2)</x:f>
        <x:v>276</x:v>
      </x:c>
      <x:c r="O1612" s="4" t="n">
        <x:f>ROUND(M1612-N1612,2)</x:f>
        <x:v>226.74</x:v>
      </x:c>
      <x:c r="P1612" s="6" t="n">
        <x:v>3.8</x:v>
      </x:c>
      <x:c r="Q1612" t="str">
        <x:v>No</x:v>
      </x:c>
    </x:row>
    <x:row r="1613">
      <x:c r="A1613" t="str">
        <x:v>ORD-00862</x:v>
      </x:c>
      <x:c r="B1613" s="3" t="n">
        <x:v>45945.10093400463</x:v>
      </x:c>
      <x:c r="C1613" t="str">
        <x:v>2025-10</x:v>
      </x:c>
      <x:c r="D1613" t="str">
        <x:v>CUS-0077</x:v>
      </x:c>
      <x:c r="E1613" t="str">
        <x:v>Wales</x:v>
      </x:c>
      <x:c r="F1613" t="str">
        <x:v>Online</x:v>
      </x:c>
      <x:c r="G1613" t="str">
        <x:v>Home</x:v>
      </x:c>
      <x:c r="H1613" t="str">
        <x:v>Coffee Maker</x:v>
      </x:c>
      <x:c r="I1613" t="n">
        <x:v>3</x:v>
      </x:c>
      <x:c r="J1613" s="4" t="n">
        <x:v>78.56</x:v>
      </x:c>
      <x:c r="K1613" s="4" t="n">
        <x:v>41</x:v>
      </x:c>
      <x:c r="L1613" s="5" t="n">
        <x:v>0.05</x:v>
      </x:c>
      <x:c r="M1613" s="4" t="n">
        <x:f>ROUND(I1613*J1613*(1-L1613),2)</x:f>
        <x:v>223.9</x:v>
      </x:c>
      <x:c r="N1613" s="4" t="n">
        <x:f>ROUND(I1613*K1613,2)</x:f>
        <x:v>123</x:v>
      </x:c>
      <x:c r="O1613" s="4" t="n">
        <x:f>ROUND(M1613-N1613,2)</x:f>
        <x:v>100.9</x:v>
      </x:c>
      <x:c r="P1613" s="6" t="n">
        <x:v>4.1</x:v>
      </x:c>
      <x:c r="Q1613" t="str">
        <x:v>No</x:v>
      </x:c>
    </x:row>
    <x:row r="1614">
      <x:c r="A1614" t="str">
        <x:v>ORD-01198</x:v>
      </x:c>
      <x:c r="B1614" s="3" t="n">
        <x:v>45945.28658079861</x:v>
      </x:c>
      <x:c r="C1614" t="str">
        <x:v>2025-10</x:v>
      </x:c>
      <x:c r="D1614" t="str">
        <x:v>CUS-0563</x:v>
      </x:c>
      <x:c r="E1614" t="str">
        <x:v>Midlands</x:v>
      </x:c>
      <x:c r="F1614" t="str">
        <x:v>Online</x:v>
      </x:c>
      <x:c r="G1614" t="str">
        <x:v>Sports</x:v>
      </x:c>
      <x:c r="H1614" t="str">
        <x:v>Fitness Tracker</x:v>
      </x:c>
      <x:c r="I1614" t="n">
        <x:v>1</x:v>
      </x:c>
      <x:c r="J1614" s="4" t="n">
        <x:v>54.02</x:v>
      </x:c>
      <x:c r="K1614" s="4" t="n">
        <x:v>27</x:v>
      </x:c>
      <x:c r="L1614" s="5" t="n">
        <x:v>0</x:v>
      </x:c>
      <x:c r="M1614" s="4" t="n">
        <x:f>ROUND(I1614*J1614*(1-L1614),2)</x:f>
        <x:v>54.02</x:v>
      </x:c>
      <x:c r="N1614" s="4" t="n">
        <x:f>ROUND(I1614*K1614,2)</x:f>
        <x:v>27</x:v>
      </x:c>
      <x:c r="O1614" s="4" t="n">
        <x:f>ROUND(M1614-N1614,2)</x:f>
        <x:v>27.02</x:v>
      </x:c>
      <x:c r="P1614" s="6" t="n">
        <x:v>3.6</x:v>
      </x:c>
      <x:c r="Q1614" t="str">
        <x:v>No</x:v>
      </x:c>
    </x:row>
    <x:row r="1615">
      <x:c r="A1615" t="str">
        <x:v>ORD-00049</x:v>
      </x:c>
      <x:c r="B1615" s="3" t="n">
        <x:v>45945.43246055555</x:v>
      </x:c>
      <x:c r="C1615" t="str">
        <x:v>2025-10</x:v>
      </x:c>
      <x:c r="D1615" t="str">
        <x:v>CUS-0594</x:v>
      </x:c>
      <x:c r="E1615" t="str">
        <x:v>South East</x:v>
      </x:c>
      <x:c r="F1615" t="str">
        <x:v>Store</x:v>
      </x:c>
      <x:c r="G1615" t="str">
        <x:v>Electronics</x:v>
      </x:c>
      <x:c r="H1615" t="str">
        <x:v>Bluetooth Speaker</x:v>
      </x:c>
      <x:c r="I1615" t="n">
        <x:v>5</x:v>
      </x:c>
      <x:c r="J1615" s="4" t="n">
        <x:v>67.93</x:v>
      </x:c>
      <x:c r="K1615" s="4" t="n">
        <x:v>34</x:v>
      </x:c>
      <x:c r="L1615" s="5" t="n">
        <x:v>0.1</x:v>
      </x:c>
      <x:c r="M1615" s="4" t="n">
        <x:f>ROUND(I1615*J1615*(1-L1615),2)</x:f>
        <x:v>305.69</x:v>
      </x:c>
      <x:c r="N1615" s="4" t="n">
        <x:f>ROUND(I1615*K1615,2)</x:f>
        <x:v>170</x:v>
      </x:c>
      <x:c r="O1615" s="4" t="n">
        <x:f>ROUND(M1615-N1615,2)</x:f>
        <x:v>135.69</x:v>
      </x:c>
      <x:c r="P1615" s="6" t="n">
        <x:v>4.9</x:v>
      </x:c>
      <x:c r="Q1615" t="str">
        <x:v>No</x:v>
      </x:c>
    </x:row>
    <x:row r="1616">
      <x:c r="A1616" t="str">
        <x:v>ORD-00323</x:v>
      </x:c>
      <x:c r="B1616" s="3" t="n">
        <x:v>45945.49603681713</x:v>
      </x:c>
      <x:c r="C1616" t="str">
        <x:v>2025-10</x:v>
      </x:c>
      <x:c r="D1616" t="str">
        <x:v>CUS-0138</x:v>
      </x:c>
      <x:c r="E1616" t="str">
        <x:v>London</x:v>
      </x:c>
      <x:c r="F1616" t="str">
        <x:v>Online</x:v>
      </x:c>
      <x:c r="G1616" t="str">
        <x:v>Electronics</x:v>
      </x:c>
      <x:c r="H1616" t="str">
        <x:v>Smart Watch</x:v>
      </x:c>
      <x:c r="I1616" t="n">
        <x:v>5</x:v>
      </x:c>
      <x:c r="J1616" s="4" t="n">
        <x:v>167.95</x:v>
      </x:c>
      <x:c r="K1616" s="4" t="n">
        <x:v>92</x:v>
      </x:c>
      <x:c r="L1616" s="5" t="n">
        <x:v>0</x:v>
      </x:c>
      <x:c r="M1616" s="4" t="n">
        <x:f>ROUND(I1616*J1616*(1-L1616),2)</x:f>
        <x:v>839.75</x:v>
      </x:c>
      <x:c r="N1616" s="4" t="n">
        <x:f>ROUND(I1616*K1616,2)</x:f>
        <x:v>460</x:v>
      </x:c>
      <x:c r="O1616" s="4" t="n">
        <x:f>ROUND(M1616-N1616,2)</x:f>
        <x:v>379.75</x:v>
      </x:c>
      <x:c r="P1616" s="6" t="n">
        <x:v>5</x:v>
      </x:c>
      <x:c r="Q1616" t="str">
        <x:v>No</x:v>
      </x:c>
    </x:row>
    <x:row r="1617">
      <x:c r="A1617" t="str">
        <x:v>ORD-00200</x:v>
      </x:c>
      <x:c r="B1617" s="3" t="n">
        <x:v>45945.559476759256</x:v>
      </x:c>
      <x:c r="C1617" t="str">
        <x:v>2025-10</x:v>
      </x:c>
      <x:c r="D1617" t="str">
        <x:v>CUS-0493</x:v>
      </x:c>
      <x:c r="E1617" t="str">
        <x:v>South East</x:v>
      </x:c>
      <x:c r="F1617" t="str">
        <x:v>Online</x:v>
      </x:c>
      <x:c r="G1617" t="str">
        <x:v>Beauty</x:v>
      </x:c>
      <x:c r="H1617" t="str">
        <x:v>Skin Care Set</x:v>
      </x:c>
      <x:c r="I1617" t="n">
        <x:v>1</x:v>
      </x:c>
      <x:c r="J1617" s="4" t="n">
        <x:v>44.34</x:v>
      </x:c>
      <x:c r="K1617" s="4" t="n">
        <x:v>18</x:v>
      </x:c>
      <x:c r="L1617" s="5" t="n">
        <x:v>0.05</x:v>
      </x:c>
      <x:c r="M1617" s="4" t="n">
        <x:f>ROUND(I1617*J1617*(1-L1617),2)</x:f>
        <x:v>42.12</x:v>
      </x:c>
      <x:c r="N1617" s="4" t="n">
        <x:f>ROUND(I1617*K1617,2)</x:f>
        <x:v>18</x:v>
      </x:c>
      <x:c r="O1617" s="4" t="n">
        <x:f>ROUND(M1617-N1617,2)</x:f>
        <x:v>24.12</x:v>
      </x:c>
      <x:c r="P1617" s="6" t="n">
        <x:v>4.1</x:v>
      </x:c>
      <x:c r="Q1617" t="str">
        <x:v>No</x:v>
      </x:c>
    </x:row>
    <x:row r="1618">
      <x:c r="A1618" t="str">
        <x:v>ORD-00761</x:v>
      </x:c>
      <x:c r="B1618" s="3" t="n">
        <x:v>45945.6237828588</x:v>
      </x:c>
      <x:c r="C1618" t="str">
        <x:v>2025-10</x:v>
      </x:c>
      <x:c r="D1618" t="str">
        <x:v>CUS-0578</x:v>
      </x:c>
      <x:c r="E1618" t="str">
        <x:v>Midlands</x:v>
      </x:c>
      <x:c r="F1618" t="str">
        <x:v>Store</x:v>
      </x:c>
      <x:c r="G1618" t="str">
        <x:v>Sports</x:v>
      </x:c>
      <x:c r="H1618" t="str">
        <x:v>Running Shoes</x:v>
      </x:c>
      <x:c r="I1618" t="n">
        <x:v>3</x:v>
      </x:c>
      <x:c r="J1618" s="4" t="n">
        <x:v>78.79</x:v>
      </x:c>
      <x:c r="K1618" s="4" t="n">
        <x:v>38</x:v>
      </x:c>
      <x:c r="L1618" s="5" t="n">
        <x:v>0</x:v>
      </x:c>
      <x:c r="M1618" s="4" t="n">
        <x:f>ROUND(I1618*J1618*(1-L1618),2)</x:f>
        <x:v>236.37</x:v>
      </x:c>
      <x:c r="N1618" s="4" t="n">
        <x:f>ROUND(I1618*K1618,2)</x:f>
        <x:v>114</x:v>
      </x:c>
      <x:c r="O1618" s="4" t="n">
        <x:f>ROUND(M1618-N1618,2)</x:f>
        <x:v>122.37</x:v>
      </x:c>
      <x:c r="P1618" s="6" t="n">
        <x:v>3.8</x:v>
      </x:c>
      <x:c r="Q1618" t="str">
        <x:v>No</x:v>
      </x:c>
    </x:row>
    <x:row r="1619">
      <x:c r="A1619" t="str">
        <x:v>ORD-00416</x:v>
      </x:c>
      <x:c r="B1619" s="3" t="n">
        <x:v>45946.56157400463</x:v>
      </x:c>
      <x:c r="C1619" t="str">
        <x:v>2025-10</x:v>
      </x:c>
      <x:c r="D1619" t="str">
        <x:v>CUS-0042</x:v>
      </x:c>
      <x:c r="E1619" t="str">
        <x:v>London</x:v>
      </x:c>
      <x:c r="F1619" t="str">
        <x:v>Store</x:v>
      </x:c>
      <x:c r="G1619" t="str">
        <x:v>Fashion</x:v>
      </x:c>
      <x:c r="H1619" t="str">
        <x:v>Classic Trainers</x:v>
      </x:c>
      <x:c r="I1619" t="n">
        <x:v>2</x:v>
      </x:c>
      <x:c r="J1619" s="4" t="n">
        <x:v>70.12</x:v>
      </x:c>
      <x:c r="K1619" s="4" t="n">
        <x:v>32</x:v>
      </x:c>
      <x:c r="L1619" s="5" t="n">
        <x:v>0.2</x:v>
      </x:c>
      <x:c r="M1619" s="4" t="n">
        <x:f>ROUND(I1619*J1619*(1-L1619),2)</x:f>
        <x:v>112.19</x:v>
      </x:c>
      <x:c r="N1619" s="4" t="n">
        <x:f>ROUND(I1619*K1619,2)</x:f>
        <x:v>64</x:v>
      </x:c>
      <x:c r="O1619" s="4" t="n">
        <x:f>ROUND(M1619-N1619,2)</x:f>
        <x:v>48.19</x:v>
      </x:c>
      <x:c r="P1619" s="6" t="n">
        <x:v>4.2</x:v>
      </x:c>
      <x:c r="Q1619" t="str">
        <x:v>No</x:v>
      </x:c>
    </x:row>
    <x:row r="1620">
      <x:c r="A1620" t="str">
        <x:v>ORD-01214</x:v>
      </x:c>
      <x:c r="B1620" s="3" t="n">
        <x:v>45946.94036717593</x:v>
      </x:c>
      <x:c r="C1620" t="str">
        <x:v>2025-10</x:v>
      </x:c>
      <x:c r="D1620" t="str">
        <x:v>CUS-0443</x:v>
      </x:c>
      <x:c r="E1620" t="str">
        <x:v>Scotland</x:v>
      </x:c>
      <x:c r="F1620" t="str">
        <x:v>Online</x:v>
      </x:c>
      <x:c r="G1620" t="str">
        <x:v>Sports</x:v>
      </x:c>
      <x:c r="H1620" t="str">
        <x:v>Running Shoes</x:v>
      </x:c>
      <x:c r="I1620" t="n">
        <x:v>1</x:v>
      </x:c>
      <x:c r="J1620" s="4" t="n">
        <x:v>80.19</x:v>
      </x:c>
      <x:c r="K1620" s="4" t="n">
        <x:v>38</x:v>
      </x:c>
      <x:c r="L1620" s="5" t="n">
        <x:v>0</x:v>
      </x:c>
      <x:c r="M1620" s="4" t="n">
        <x:f>ROUND(I1620*J1620*(1-L1620),2)</x:f>
        <x:v>80.19</x:v>
      </x:c>
      <x:c r="N1620" s="4" t="n">
        <x:f>ROUND(I1620*K1620,2)</x:f>
        <x:v>38</x:v>
      </x:c>
      <x:c r="O1620" s="4" t="n">
        <x:f>ROUND(M1620-N1620,2)</x:f>
        <x:v>42.19</x:v>
      </x:c>
      <x:c r="P1620" s="6" t="n">
        <x:v>3.6</x:v>
      </x:c>
      <x:c r="Q1620" t="str">
        <x:v>No</x:v>
      </x:c>
    </x:row>
    <x:row r="1621">
      <x:c r="A1621" t="str">
        <x:v>ORD-01120</x:v>
      </x:c>
      <x:c r="B1621" s="3" t="n">
        <x:v>45947.22423072917</x:v>
      </x:c>
      <x:c r="C1621" t="str">
        <x:v>2025-10</x:v>
      </x:c>
      <x:c r="D1621" t="str">
        <x:v>CUS-0347</x:v>
      </x:c>
      <x:c r="E1621" t="str">
        <x:v>South West</x:v>
      </x:c>
      <x:c r="F1621" t="str">
        <x:v>Store</x:v>
      </x:c>
      <x:c r="G1621" t="str">
        <x:v>Fashion</x:v>
      </x:c>
      <x:c r="H1621" t="str">
        <x:v>Backpack</x:v>
      </x:c>
      <x:c r="I1621" t="n">
        <x:v>5</x:v>
      </x:c>
      <x:c r="J1621" s="4" t="n">
        <x:v>48.24</x:v>
      </x:c>
      <x:c r="K1621" s="4" t="n">
        <x:v>21</x:v>
      </x:c>
      <x:c r="L1621" s="5" t="n">
        <x:v>0.1</x:v>
      </x:c>
      <x:c r="M1621" s="4" t="n">
        <x:f>ROUND(I1621*J1621*(1-L1621),2)</x:f>
        <x:v>217.08</x:v>
      </x:c>
      <x:c r="N1621" s="4" t="n">
        <x:f>ROUND(I1621*K1621,2)</x:f>
        <x:v>105</x:v>
      </x:c>
      <x:c r="O1621" s="4" t="n">
        <x:f>ROUND(M1621-N1621,2)</x:f>
        <x:v>112.08</x:v>
      </x:c>
      <x:c r="P1621" s="6" t="n">
        <x:v>3.6</x:v>
      </x:c>
      <x:c r="Q1621" t="str">
        <x:v>No</x:v>
      </x:c>
    </x:row>
    <x:row r="1622">
      <x:c r="A1622" t="str">
        <x:v>ORD-01280</x:v>
      </x:c>
      <x:c r="B1622" s="3" t="n">
        <x:v>45947.33445596065</x:v>
      </x:c>
      <x:c r="C1622" t="str">
        <x:v>2025-10</x:v>
      </x:c>
      <x:c r="D1622" t="str">
        <x:v>CUS-0153</x:v>
      </x:c>
      <x:c r="E1622" t="str">
        <x:v>Wales</x:v>
      </x:c>
      <x:c r="F1622" t="str">
        <x:v>Store</x:v>
      </x:c>
      <x:c r="G1622" t="str">
        <x:v>Electronics</x:v>
      </x:c>
      <x:c r="H1622" t="str">
        <x:v>Wireless Headphones</x:v>
      </x:c>
      <x:c r="I1622" t="n">
        <x:v>2</x:v>
      </x:c>
      <x:c r="J1622" s="4" t="n">
        <x:v>91.86</x:v>
      </x:c>
      <x:c r="K1622" s="4" t="n">
        <x:v>48</x:v>
      </x:c>
      <x:c r="L1622" s="5" t="n">
        <x:v>0</x:v>
      </x:c>
      <x:c r="M1622" s="4" t="n">
        <x:f>ROUND(I1622*J1622*(1-L1622),2)</x:f>
        <x:v>183.72</x:v>
      </x:c>
      <x:c r="N1622" s="4" t="n">
        <x:f>ROUND(I1622*K1622,2)</x:f>
        <x:v>96</x:v>
      </x:c>
      <x:c r="O1622" s="4" t="n">
        <x:f>ROUND(M1622-N1622,2)</x:f>
        <x:v>87.72</x:v>
      </x:c>
      <x:c r="P1622" s="6" t="n">
        <x:v>4.3</x:v>
      </x:c>
      <x:c r="Q1622" t="str">
        <x:v>Yes</x:v>
      </x:c>
    </x:row>
    <x:row r="1623">
      <x:c r="A1623" t="str">
        <x:v>ORD-00174</x:v>
      </x:c>
      <x:c r="B1623" s="3" t="n">
        <x:v>45947.558571574074</x:v>
      </x:c>
      <x:c r="C1623" t="str">
        <x:v>2025-10</x:v>
      </x:c>
      <x:c r="D1623" t="str">
        <x:v>CUS-0314</x:v>
      </x:c>
      <x:c r="E1623" t="str">
        <x:v>North East</x:v>
      </x:c>
      <x:c r="F1623" t="str">
        <x:v>Online</x:v>
      </x:c>
      <x:c r="G1623" t="str">
        <x:v>Electronics</x:v>
      </x:c>
      <x:c r="H1623" t="str">
        <x:v>Wireless Headphones</x:v>
      </x:c>
      <x:c r="I1623" t="n">
        <x:v>2</x:v>
      </x:c>
      <x:c r="J1623" s="4" t="n">
        <x:v>85.88</x:v>
      </x:c>
      <x:c r="K1623" s="4" t="n">
        <x:v>48</x:v>
      </x:c>
      <x:c r="L1623" s="5" t="n">
        <x:v>0</x:v>
      </x:c>
      <x:c r="M1623" s="4" t="n">
        <x:f>ROUND(I1623*J1623*(1-L1623),2)</x:f>
        <x:v>171.76</x:v>
      </x:c>
      <x:c r="N1623" s="4" t="n">
        <x:f>ROUND(I1623*K1623,2)</x:f>
        <x:v>96</x:v>
      </x:c>
      <x:c r="O1623" s="4" t="n">
        <x:f>ROUND(M1623-N1623,2)</x:f>
        <x:v>75.76</x:v>
      </x:c>
      <x:c r="P1623" s="6" t="n">
        <x:v>5</x:v>
      </x:c>
      <x:c r="Q1623" t="str">
        <x:v>No</x:v>
      </x:c>
    </x:row>
    <x:row r="1624">
      <x:c r="A1624" t="str">
        <x:v>ORD-01610</x:v>
      </x:c>
      <x:c r="B1624" s="3" t="n">
        <x:v>45947.608423391204</x:v>
      </x:c>
      <x:c r="C1624" t="str">
        <x:v>2025-10</x:v>
      </x:c>
      <x:c r="D1624" t="str">
        <x:v>CUS-0243</x:v>
      </x:c>
      <x:c r="E1624" t="str">
        <x:v>London</x:v>
      </x:c>
      <x:c r="F1624" t="str">
        <x:v>Online</x:v>
      </x:c>
      <x:c r="G1624" t="str">
        <x:v>Fashion</x:v>
      </x:c>
      <x:c r="H1624" t="str">
        <x:v>Classic Trainers</x:v>
      </x:c>
      <x:c r="I1624" t="n">
        <x:v>1</x:v>
      </x:c>
      <x:c r="J1624" s="4" t="n">
        <x:v>67.13</x:v>
      </x:c>
      <x:c r="K1624" s="4" t="n">
        <x:v>32</x:v>
      </x:c>
      <x:c r="L1624" s="5" t="n">
        <x:v>0.2</x:v>
      </x:c>
      <x:c r="M1624" s="4" t="n">
        <x:f>ROUND(I1624*J1624*(1-L1624),2)</x:f>
        <x:v>53.7</x:v>
      </x:c>
      <x:c r="N1624" s="4" t="n">
        <x:f>ROUND(I1624*K1624,2)</x:f>
        <x:v>32</x:v>
      </x:c>
      <x:c r="O1624" s="4" t="n">
        <x:f>ROUND(M1624-N1624,2)</x:f>
        <x:v>21.7</x:v>
      </x:c>
      <x:c r="P1624" s="6" t="n">
        <x:v>3.5</x:v>
      </x:c>
      <x:c r="Q1624" t="str">
        <x:v>No</x:v>
      </x:c>
    </x:row>
    <x:row r="1625">
      <x:c r="A1625" t="str">
        <x:v>ORD-01437</x:v>
      </x:c>
      <x:c r="B1625" s="3" t="n">
        <x:v>45948.68283078704</x:v>
      </x:c>
      <x:c r="C1625" t="str">
        <x:v>2025-10</x:v>
      </x:c>
      <x:c r="D1625" t="str">
        <x:v>CUS-0122</x:v>
      </x:c>
      <x:c r="E1625" t="str">
        <x:v>South West</x:v>
      </x:c>
      <x:c r="F1625" t="str">
        <x:v>Online</x:v>
      </x:c>
      <x:c r="G1625" t="str">
        <x:v>Sports</x:v>
      </x:c>
      <x:c r="H1625" t="str">
        <x:v>Fitness Tracker</x:v>
      </x:c>
      <x:c r="I1625" t="n">
        <x:v>1</x:v>
      </x:c>
      <x:c r="J1625" s="4" t="n">
        <x:v>54.57</x:v>
      </x:c>
      <x:c r="K1625" s="4" t="n">
        <x:v>27</x:v>
      </x:c>
      <x:c r="L1625" s="5" t="n">
        <x:v>0</x:v>
      </x:c>
      <x:c r="M1625" s="4" t="n">
        <x:f>ROUND(I1625*J1625*(1-L1625),2)</x:f>
        <x:v>54.57</x:v>
      </x:c>
      <x:c r="N1625" s="4" t="n">
        <x:f>ROUND(I1625*K1625,2)</x:f>
        <x:v>27</x:v>
      </x:c>
      <x:c r="O1625" s="4" t="n">
        <x:f>ROUND(M1625-N1625,2)</x:f>
        <x:v>27.57</x:v>
      </x:c>
      <x:c r="P1625" s="6" t="n">
        <x:v>3.9</x:v>
      </x:c>
      <x:c r="Q1625" t="str">
        <x:v>No</x:v>
      </x:c>
    </x:row>
    <x:row r="1626">
      <x:c r="A1626" t="str">
        <x:v>ORD-01401</x:v>
      </x:c>
      <x:c r="B1626" s="3" t="n">
        <x:v>45948.711916782406</x:v>
      </x:c>
      <x:c r="C1626" t="str">
        <x:v>2025-10</x:v>
      </x:c>
      <x:c r="D1626" t="str">
        <x:v>CUS-0436</x:v>
      </x:c>
      <x:c r="E1626" t="str">
        <x:v>North West</x:v>
      </x:c>
      <x:c r="F1626" t="str">
        <x:v>Store</x:v>
      </x:c>
      <x:c r="G1626" t="str">
        <x:v>Beauty</x:v>
      </x:c>
      <x:c r="H1626" t="str">
        <x:v>Hair Dryer</x:v>
      </x:c>
      <x:c r="I1626" t="n">
        <x:v>1</x:v>
      </x:c>
      <x:c r="J1626" s="4" t="n">
        <x:v>62.75</x:v>
      </x:c>
      <x:c r="K1626" s="4" t="n">
        <x:v>29</x:v>
      </x:c>
      <x:c r="L1626" s="5" t="n">
        <x:v>0</x:v>
      </x:c>
      <x:c r="M1626" s="4" t="n">
        <x:f>ROUND(I1626*J1626*(1-L1626),2)</x:f>
        <x:v>62.75</x:v>
      </x:c>
      <x:c r="N1626" s="4" t="n">
        <x:f>ROUND(I1626*K1626,2)</x:f>
        <x:v>29</x:v>
      </x:c>
      <x:c r="O1626" s="4" t="n">
        <x:f>ROUND(M1626-N1626,2)</x:f>
        <x:v>33.75</x:v>
      </x:c>
      <x:c r="P1626" s="6" t="n">
        <x:v>3.9</x:v>
      </x:c>
      <x:c r="Q1626" t="str">
        <x:v>No</x:v>
      </x:c>
    </x:row>
    <x:row r="1627">
      <x:c r="A1627" t="str">
        <x:v>ORD-00056</x:v>
      </x:c>
      <x:c r="B1627" s="3" t="n">
        <x:v>45948.871427847225</x:v>
      </x:c>
      <x:c r="C1627" t="str">
        <x:v>2025-10</x:v>
      </x:c>
      <x:c r="D1627" t="str">
        <x:v>CUS-0572</x:v>
      </x:c>
      <x:c r="E1627" t="str">
        <x:v>Wales</x:v>
      </x:c>
      <x:c r="F1627" t="str">
        <x:v>Store</x:v>
      </x:c>
      <x:c r="G1627" t="str">
        <x:v>Fashion</x:v>
      </x:c>
      <x:c r="H1627" t="str">
        <x:v>Winter Jacket</x:v>
      </x:c>
      <x:c r="I1627" t="n">
        <x:v>2</x:v>
      </x:c>
      <x:c r="J1627" s="4" t="n">
        <x:v>93.1</x:v>
      </x:c>
      <x:c r="K1627" s="4" t="n">
        <x:v>46</x:v>
      </x:c>
      <x:c r="L1627" s="5" t="n">
        <x:v>0</x:v>
      </x:c>
      <x:c r="M1627" s="4" t="n">
        <x:f>ROUND(I1627*J1627*(1-L1627),2)</x:f>
        <x:v>186.2</x:v>
      </x:c>
      <x:c r="N1627" s="4" t="n">
        <x:f>ROUND(I1627*K1627,2)</x:f>
        <x:v>92</x:v>
      </x:c>
      <x:c r="O1627" s="4" t="n">
        <x:f>ROUND(M1627-N1627,2)</x:f>
        <x:v>94.2</x:v>
      </x:c>
      <x:c r="P1627" s="6" t="n">
        <x:v>4.4</x:v>
      </x:c>
      <x:c r="Q1627" t="str">
        <x:v>No</x:v>
      </x:c>
    </x:row>
    <x:row r="1628">
      <x:c r="A1628" t="str">
        <x:v>ORD-00938</x:v>
      </x:c>
      <x:c r="B1628" s="3" t="n">
        <x:v>45949.15128291667</x:v>
      </x:c>
      <x:c r="C1628" t="str">
        <x:v>2025-10</x:v>
      </x:c>
      <x:c r="D1628" t="str">
        <x:v>CUS-0118</x:v>
      </x:c>
      <x:c r="E1628" t="str">
        <x:v>North West</x:v>
      </x:c>
      <x:c r="F1628" t="str">
        <x:v>Store</x:v>
      </x:c>
      <x:c r="G1628" t="str">
        <x:v>Fashion</x:v>
      </x:c>
      <x:c r="H1628" t="str">
        <x:v>Backpack</x:v>
      </x:c>
      <x:c r="I1628" t="n">
        <x:v>5</x:v>
      </x:c>
      <x:c r="J1628" s="4" t="n">
        <x:v>52.15</x:v>
      </x:c>
      <x:c r="K1628" s="4" t="n">
        <x:v>21</x:v>
      </x:c>
      <x:c r="L1628" s="5" t="n">
        <x:v>0</x:v>
      </x:c>
      <x:c r="M1628" s="4" t="n">
        <x:f>ROUND(I1628*J1628*(1-L1628),2)</x:f>
        <x:v>260.75</x:v>
      </x:c>
      <x:c r="N1628" s="4" t="n">
        <x:f>ROUND(I1628*K1628,2)</x:f>
        <x:v>105</x:v>
      </x:c>
      <x:c r="O1628" s="4" t="n">
        <x:f>ROUND(M1628-N1628,2)</x:f>
        <x:v>155.75</x:v>
      </x:c>
      <x:c r="P1628" s="6" t="n">
        <x:v>4.5</x:v>
      </x:c>
      <x:c r="Q1628" t="str">
        <x:v>No</x:v>
      </x:c>
    </x:row>
    <x:row r="1629">
      <x:c r="A1629" t="str">
        <x:v>ORD-01086</x:v>
      </x:c>
      <x:c r="B1629" s="3" t="n">
        <x:v>45949.71391375</x:v>
      </x:c>
      <x:c r="C1629" t="str">
        <x:v>2025-10</x:v>
      </x:c>
      <x:c r="D1629" t="str">
        <x:v>CUS-0411</x:v>
      </x:c>
      <x:c r="E1629" t="str">
        <x:v>South East</x:v>
      </x:c>
      <x:c r="F1629" t="str">
        <x:v>Store</x:v>
      </x:c>
      <x:c r="G1629" t="str">
        <x:v>Fashion</x:v>
      </x:c>
      <x:c r="H1629" t="str">
        <x:v>Winter Jacket</x:v>
      </x:c>
      <x:c r="I1629" t="n">
        <x:v>5</x:v>
      </x:c>
      <x:c r="J1629" s="4" t="n">
        <x:v>92.93</x:v>
      </x:c>
      <x:c r="K1629" s="4" t="n">
        <x:v>46</x:v>
      </x:c>
      <x:c r="L1629" s="5" t="n">
        <x:v>0.05</x:v>
      </x:c>
      <x:c r="M1629" s="4" t="n">
        <x:f>ROUND(I1629*J1629*(1-L1629),2)</x:f>
        <x:v>441.42</x:v>
      </x:c>
      <x:c r="N1629" s="4" t="n">
        <x:f>ROUND(I1629*K1629,2)</x:f>
        <x:v>230</x:v>
      </x:c>
      <x:c r="O1629" s="4" t="n">
        <x:f>ROUND(M1629-N1629,2)</x:f>
        <x:v>211.42</x:v>
      </x:c>
      <x:c r="P1629" s="6" t="n">
        <x:v>3.7</x:v>
      </x:c>
      <x:c r="Q1629" t="str">
        <x:v>No</x:v>
      </x:c>
    </x:row>
    <x:row r="1630">
      <x:c r="A1630" t="str">
        <x:v>ORD-00782</x:v>
      </x:c>
      <x:c r="B1630" s="3" t="n">
        <x:v>45949.72529741898</x:v>
      </x:c>
      <x:c r="C1630" t="str">
        <x:v>2025-10</x:v>
      </x:c>
      <x:c r="D1630" t="str">
        <x:v>CUS-0496</x:v>
      </x:c>
      <x:c r="E1630" t="str">
        <x:v>Wales</x:v>
      </x:c>
      <x:c r="F1630" t="str">
        <x:v>Online</x:v>
      </x:c>
      <x:c r="G1630" t="str">
        <x:v>Sports</x:v>
      </x:c>
      <x:c r="H1630" t="str">
        <x:v>Fitness Tracker</x:v>
      </x:c>
      <x:c r="I1630" t="n">
        <x:v>5</x:v>
      </x:c>
      <x:c r="J1630" s="4" t="n">
        <x:v>54.94</x:v>
      </x:c>
      <x:c r="K1630" s="4" t="n">
        <x:v>27</x:v>
      </x:c>
      <x:c r="L1630" s="5" t="n">
        <x:v>0.05</x:v>
      </x:c>
      <x:c r="M1630" s="4" t="n">
        <x:f>ROUND(I1630*J1630*(1-L1630),2)</x:f>
        <x:v>260.96</x:v>
      </x:c>
      <x:c r="N1630" s="4" t="n">
        <x:f>ROUND(I1630*K1630,2)</x:f>
        <x:v>135</x:v>
      </x:c>
      <x:c r="O1630" s="4" t="n">
        <x:f>ROUND(M1630-N1630,2)</x:f>
        <x:v>125.96</x:v>
      </x:c>
      <x:c r="P1630" s="6" t="n">
        <x:v>4.2</x:v>
      </x:c>
      <x:c r="Q1630" t="str">
        <x:v>No</x:v>
      </x:c>
    </x:row>
    <x:row r="1631">
      <x:c r="A1631" t="str">
        <x:v>ORD-01687</x:v>
      </x:c>
      <x:c r="B1631" s="3" t="n">
        <x:v>45949.87055917824</x:v>
      </x:c>
      <x:c r="C1631" t="str">
        <x:v>2025-10</x:v>
      </x:c>
      <x:c r="D1631" t="str">
        <x:v>CUS-0372</x:v>
      </x:c>
      <x:c r="E1631" t="str">
        <x:v>Scotland</x:v>
      </x:c>
      <x:c r="F1631" t="str">
        <x:v>Marketplace</x:v>
      </x:c>
      <x:c r="G1631" t="str">
        <x:v>Beauty</x:v>
      </x:c>
      <x:c r="H1631" t="str">
        <x:v>Skin Care Set</x:v>
      </x:c>
      <x:c r="I1631" t="n">
        <x:v>5</x:v>
      </x:c>
      <x:c r="J1631" s="4" t="n">
        <x:v>45.12</x:v>
      </x:c>
      <x:c r="K1631" s="4" t="n">
        <x:v>18</x:v>
      </x:c>
      <x:c r="L1631" s="5" t="n">
        <x:v>0</x:v>
      </x:c>
      <x:c r="M1631" s="4" t="n">
        <x:f>ROUND(I1631*J1631*(1-L1631),2)</x:f>
        <x:v>225.6</x:v>
      </x:c>
      <x:c r="N1631" s="4" t="n">
        <x:f>ROUND(I1631*K1631,2)</x:f>
        <x:v>90</x:v>
      </x:c>
      <x:c r="O1631" s="4" t="n">
        <x:f>ROUND(M1631-N1631,2)</x:f>
        <x:v>135.6</x:v>
      </x:c>
      <x:c r="P1631" s="6" t="n">
        <x:v>4.9</x:v>
      </x:c>
      <x:c r="Q1631" t="str">
        <x:v>No</x:v>
      </x:c>
    </x:row>
    <x:row r="1632">
      <x:c r="A1632" t="str">
        <x:v>ORD-00741</x:v>
      </x:c>
      <x:c r="B1632" s="3" t="n">
        <x:v>45949.95719511574</x:v>
      </x:c>
      <x:c r="C1632" t="str">
        <x:v>2025-10</x:v>
      </x:c>
      <x:c r="D1632" t="str">
        <x:v>CUS-0322</x:v>
      </x:c>
      <x:c r="E1632" t="str">
        <x:v>North West</x:v>
      </x:c>
      <x:c r="F1632" t="str">
        <x:v>Marketplace</x:v>
      </x:c>
      <x:c r="G1632" t="str">
        <x:v>Home</x:v>
      </x:c>
      <x:c r="H1632" t="str">
        <x:v>Air Fryer</x:v>
      </x:c>
      <x:c r="I1632" t="n">
        <x:v>4</x:v>
      </x:c>
      <x:c r="J1632" s="4" t="n">
        <x:v>121.89</x:v>
      </x:c>
      <x:c r="K1632" s="4" t="n">
        <x:v>69</x:v>
      </x:c>
      <x:c r="L1632" s="5" t="n">
        <x:v>0.1</x:v>
      </x:c>
      <x:c r="M1632" s="4" t="n">
        <x:f>ROUND(I1632*J1632*(1-L1632),2)</x:f>
        <x:v>438.8</x:v>
      </x:c>
      <x:c r="N1632" s="4" t="n">
        <x:f>ROUND(I1632*K1632,2)</x:f>
        <x:v>276</x:v>
      </x:c>
      <x:c r="O1632" s="4" t="n">
        <x:f>ROUND(M1632-N1632,2)</x:f>
        <x:v>162.8</x:v>
      </x:c>
      <x:c r="P1632" s="6" t="n">
        <x:v>4.6</x:v>
      </x:c>
      <x:c r="Q1632" t="str">
        <x:v>No</x:v>
      </x:c>
    </x:row>
    <x:row r="1633">
      <x:c r="A1633" t="str">
        <x:v>ORD-01132</x:v>
      </x:c>
      <x:c r="B1633" s="3" t="n">
        <x:v>45950.09468125</x:v>
      </x:c>
      <x:c r="C1633" t="str">
        <x:v>2025-10</x:v>
      </x:c>
      <x:c r="D1633" t="str">
        <x:v>CUS-0147</x:v>
      </x:c>
      <x:c r="E1633" t="str">
        <x:v>North West</x:v>
      </x:c>
      <x:c r="F1633" t="str">
        <x:v>Marketplace</x:v>
      </x:c>
      <x:c r="G1633" t="str">
        <x:v>Beauty</x:v>
      </x:c>
      <x:c r="H1633" t="str">
        <x:v>Skin Care Set</x:v>
      </x:c>
      <x:c r="I1633" t="n">
        <x:v>2</x:v>
      </x:c>
      <x:c r="J1633" s="4" t="n">
        <x:v>43.96</x:v>
      </x:c>
      <x:c r="K1633" s="4" t="n">
        <x:v>18</x:v>
      </x:c>
      <x:c r="L1633" s="5" t="n">
        <x:v>0.05</x:v>
      </x:c>
      <x:c r="M1633" s="4" t="n">
        <x:f>ROUND(I1633*J1633*(1-L1633),2)</x:f>
        <x:v>83.52</x:v>
      </x:c>
      <x:c r="N1633" s="4" t="n">
        <x:f>ROUND(I1633*K1633,2)</x:f>
        <x:v>36</x:v>
      </x:c>
      <x:c r="O1633" s="4" t="n">
        <x:f>ROUND(M1633-N1633,2)</x:f>
        <x:v>47.52</x:v>
      </x:c>
      <x:c r="P1633" s="6" t="n">
        <x:v>4.4</x:v>
      </x:c>
      <x:c r="Q1633" t="str">
        <x:v>No</x:v>
      </x:c>
    </x:row>
    <x:row r="1634">
      <x:c r="A1634" t="str">
        <x:v>ORD-01630</x:v>
      </x:c>
      <x:c r="B1634" s="3" t="n">
        <x:v>45950.49243042824</x:v>
      </x:c>
      <x:c r="C1634" t="str">
        <x:v>2025-10</x:v>
      </x:c>
      <x:c r="D1634" t="str">
        <x:v>CUS-0361</x:v>
      </x:c>
      <x:c r="E1634" t="str">
        <x:v>North East</x:v>
      </x:c>
      <x:c r="F1634" t="str">
        <x:v>Store</x:v>
      </x:c>
      <x:c r="G1634" t="str">
        <x:v>Fashion</x:v>
      </x:c>
      <x:c r="H1634" t="str">
        <x:v>Classic Trainers</x:v>
      </x:c>
      <x:c r="I1634" t="n">
        <x:v>5</x:v>
      </x:c>
      <x:c r="J1634" s="4" t="n">
        <x:v>70.95</x:v>
      </x:c>
      <x:c r="K1634" s="4" t="n">
        <x:v>32</x:v>
      </x:c>
      <x:c r="L1634" s="5" t="n">
        <x:v>0</x:v>
      </x:c>
      <x:c r="M1634" s="4" t="n">
        <x:f>ROUND(I1634*J1634*(1-L1634),2)</x:f>
        <x:v>354.75</x:v>
      </x:c>
      <x:c r="N1634" s="4" t="n">
        <x:f>ROUND(I1634*K1634,2)</x:f>
        <x:v>160</x:v>
      </x:c>
      <x:c r="O1634" s="4" t="n">
        <x:f>ROUND(M1634-N1634,2)</x:f>
        <x:v>194.75</x:v>
      </x:c>
      <x:c r="P1634" s="6" t="n">
        <x:v>5</x:v>
      </x:c>
      <x:c r="Q1634" t="str">
        <x:v>No</x:v>
      </x:c>
    </x:row>
    <x:row r="1635">
      <x:c r="A1635" t="str">
        <x:v>ORD-00321</x:v>
      </x:c>
      <x:c r="B1635" s="3" t="n">
        <x:v>45950.834013541666</x:v>
      </x:c>
      <x:c r="C1635" t="str">
        <x:v>2025-10</x:v>
      </x:c>
      <x:c r="D1635" t="str">
        <x:v>CUS-0011</x:v>
      </x:c>
      <x:c r="E1635" t="str">
        <x:v>Scotland</x:v>
      </x:c>
      <x:c r="F1635" t="str">
        <x:v>Store</x:v>
      </x:c>
      <x:c r="G1635" t="str">
        <x:v>Fashion</x:v>
      </x:c>
      <x:c r="H1635" t="str">
        <x:v>Winter Jacket</x:v>
      </x:c>
      <x:c r="I1635" t="n">
        <x:v>1</x:v>
      </x:c>
      <x:c r="J1635" s="4" t="n">
        <x:v>97.83</x:v>
      </x:c>
      <x:c r="K1635" s="4" t="n">
        <x:v>46</x:v>
      </x:c>
      <x:c r="L1635" s="5" t="n">
        <x:v>0</x:v>
      </x:c>
      <x:c r="M1635" s="4" t="n">
        <x:f>ROUND(I1635*J1635*(1-L1635),2)</x:f>
        <x:v>97.83</x:v>
      </x:c>
      <x:c r="N1635" s="4" t="n">
        <x:f>ROUND(I1635*K1635,2)</x:f>
        <x:v>46</x:v>
      </x:c>
      <x:c r="O1635" s="4" t="n">
        <x:f>ROUND(M1635-N1635,2)</x:f>
        <x:v>51.83</x:v>
      </x:c>
      <x:c r="P1635" s="6" t="n">
        <x:v>4.9</x:v>
      </x:c>
      <x:c r="Q1635" t="str">
        <x:v>No</x:v>
      </x:c>
    </x:row>
    <x:row r="1636">
      <x:c r="A1636" t="str">
        <x:v>ORD-01373</x:v>
      </x:c>
      <x:c r="B1636" s="3" t="n">
        <x:v>45951.26999631945</x:v>
      </x:c>
      <x:c r="C1636" t="str">
        <x:v>2025-10</x:v>
      </x:c>
      <x:c r="D1636" t="str">
        <x:v>CUS-0174</x:v>
      </x:c>
      <x:c r="E1636" t="str">
        <x:v>Scotland</x:v>
      </x:c>
      <x:c r="F1636" t="str">
        <x:v>Marketplace</x:v>
      </x:c>
      <x:c r="G1636" t="str">
        <x:v>Fashion</x:v>
      </x:c>
      <x:c r="H1636" t="str">
        <x:v>Classic Trainers</x:v>
      </x:c>
      <x:c r="I1636" t="n">
        <x:v>3</x:v>
      </x:c>
      <x:c r="J1636" s="4" t="n">
        <x:v>72.95</x:v>
      </x:c>
      <x:c r="K1636" s="4" t="n">
        <x:v>32</x:v>
      </x:c>
      <x:c r="L1636" s="5" t="n">
        <x:v>0.1</x:v>
      </x:c>
      <x:c r="M1636" s="4" t="n">
        <x:f>ROUND(I1636*J1636*(1-L1636),2)</x:f>
        <x:v>196.97</x:v>
      </x:c>
      <x:c r="N1636" s="4" t="n">
        <x:f>ROUND(I1636*K1636,2)</x:f>
        <x:v>96</x:v>
      </x:c>
      <x:c r="O1636" s="4" t="n">
        <x:f>ROUND(M1636-N1636,2)</x:f>
        <x:v>100.97</x:v>
      </x:c>
      <x:c r="P1636" s="6" t="n">
        <x:v>4.1</x:v>
      </x:c>
      <x:c r="Q1636" t="str">
        <x:v>No</x:v>
      </x:c>
    </x:row>
    <x:row r="1637">
      <x:c r="A1637" t="str">
        <x:v>ORD-01507</x:v>
      </x:c>
      <x:c r="B1637" s="3" t="n">
        <x:v>45951.460023472224</x:v>
      </x:c>
      <x:c r="C1637" t="str">
        <x:v>2025-10</x:v>
      </x:c>
      <x:c r="D1637" t="str">
        <x:v>CUS-0466</x:v>
      </x:c>
      <x:c r="E1637" t="str">
        <x:v>South East</x:v>
      </x:c>
      <x:c r="F1637" t="str">
        <x:v>Store</x:v>
      </x:c>
      <x:c r="G1637" t="str">
        <x:v>Electronics</x:v>
      </x:c>
      <x:c r="H1637" t="str">
        <x:v>Wireless Headphones</x:v>
      </x:c>
      <x:c r="I1637" t="n">
        <x:v>5</x:v>
      </x:c>
      <x:c r="J1637" s="4" t="n">
        <x:v>87.8</x:v>
      </x:c>
      <x:c r="K1637" s="4" t="n">
        <x:v>48</x:v>
      </x:c>
      <x:c r="L1637" s="5" t="n">
        <x:v>0.1</x:v>
      </x:c>
      <x:c r="M1637" s="4" t="n">
        <x:f>ROUND(I1637*J1637*(1-L1637),2)</x:f>
        <x:v>395.1</x:v>
      </x:c>
      <x:c r="N1637" s="4" t="n">
        <x:f>ROUND(I1637*K1637,2)</x:f>
        <x:v>240</x:v>
      </x:c>
      <x:c r="O1637" s="4" t="n">
        <x:f>ROUND(M1637-N1637,2)</x:f>
        <x:v>155.1</x:v>
      </x:c>
      <x:c r="P1637" s="6" t="n">
        <x:v>4</x:v>
      </x:c>
      <x:c r="Q1637" t="str">
        <x:v>No</x:v>
      </x:c>
    </x:row>
    <x:row r="1638">
      <x:c r="A1638" t="str">
        <x:v>ORD-00382</x:v>
      </x:c>
      <x:c r="B1638" s="3" t="n">
        <x:v>45952.28676403935</x:v>
      </x:c>
      <x:c r="C1638" t="str">
        <x:v>2025-10</x:v>
      </x:c>
      <x:c r="D1638" t="str">
        <x:v>CUS-0052</x:v>
      </x:c>
      <x:c r="E1638" t="str">
        <x:v>South West</x:v>
      </x:c>
      <x:c r="F1638" t="str">
        <x:v>Online</x:v>
      </x:c>
      <x:c r="G1638" t="str">
        <x:v>Electronics</x:v>
      </x:c>
      <x:c r="H1638" t="str">
        <x:v>Smart Watch</x:v>
      </x:c>
      <x:c r="I1638" t="n">
        <x:v>5</x:v>
      </x:c>
      <x:c r="J1638" s="4" t="n">
        <x:v>153.86</x:v>
      </x:c>
      <x:c r="K1638" s="4" t="n">
        <x:v>92</x:v>
      </x:c>
      <x:c r="L1638" s="5" t="n">
        <x:v>0.2</x:v>
      </x:c>
      <x:c r="M1638" s="4" t="n">
        <x:f>ROUND(I1638*J1638*(1-L1638),2)</x:f>
        <x:v>615.44</x:v>
      </x:c>
      <x:c r="N1638" s="4" t="n">
        <x:f>ROUND(I1638*K1638,2)</x:f>
        <x:v>460</x:v>
      </x:c>
      <x:c r="O1638" s="4" t="n">
        <x:f>ROUND(M1638-N1638,2)</x:f>
        <x:v>155.44</x:v>
      </x:c>
      <x:c r="P1638" s="6" t="n">
        <x:v>5</x:v>
      </x:c>
      <x:c r="Q1638" t="str">
        <x:v>No</x:v>
      </x:c>
    </x:row>
    <x:row r="1639">
      <x:c r="A1639" t="str">
        <x:v>ORD-00974</x:v>
      </x:c>
      <x:c r="B1639" s="3" t="n">
        <x:v>45952.47389020833</x:v>
      </x:c>
      <x:c r="C1639" t="str">
        <x:v>2025-10</x:v>
      </x:c>
      <x:c r="D1639" t="str">
        <x:v>CUS-0382</x:v>
      </x:c>
      <x:c r="E1639" t="str">
        <x:v>London</x:v>
      </x:c>
      <x:c r="F1639" t="str">
        <x:v>Online</x:v>
      </x:c>
      <x:c r="G1639" t="str">
        <x:v>Beauty</x:v>
      </x:c>
      <x:c r="H1639" t="str">
        <x:v>Skin Care Set</x:v>
      </x:c>
      <x:c r="I1639" t="n">
        <x:v>1</x:v>
      </x:c>
      <x:c r="J1639" s="4" t="n">
        <x:v>45.69</x:v>
      </x:c>
      <x:c r="K1639" s="4" t="n">
        <x:v>18</x:v>
      </x:c>
      <x:c r="L1639" s="5" t="n">
        <x:v>0</x:v>
      </x:c>
      <x:c r="M1639" s="4" t="n">
        <x:f>ROUND(I1639*J1639*(1-L1639),2)</x:f>
        <x:v>45.69</x:v>
      </x:c>
      <x:c r="N1639" s="4" t="n">
        <x:f>ROUND(I1639*K1639,2)</x:f>
        <x:v>18</x:v>
      </x:c>
      <x:c r="O1639" s="4" t="n">
        <x:f>ROUND(M1639-N1639,2)</x:f>
        <x:v>27.69</x:v>
      </x:c>
      <x:c r="P1639" s="6" t="n">
        <x:v>4.4</x:v>
      </x:c>
      <x:c r="Q1639" t="str">
        <x:v>No</x:v>
      </x:c>
    </x:row>
    <x:row r="1640">
      <x:c r="A1640" t="str">
        <x:v>ORD-01556</x:v>
      </x:c>
      <x:c r="B1640" s="3" t="n">
        <x:v>45952.53220295139</x:v>
      </x:c>
      <x:c r="C1640" t="str">
        <x:v>2025-10</x:v>
      </x:c>
      <x:c r="D1640" t="str">
        <x:v>CUS-0325</x:v>
      </x:c>
      <x:c r="E1640" t="str">
        <x:v>Scotland</x:v>
      </x:c>
      <x:c r="F1640" t="str">
        <x:v>Online</x:v>
      </x:c>
      <x:c r="G1640" t="str">
        <x:v>Beauty</x:v>
      </x:c>
      <x:c r="H1640" t="str">
        <x:v>Skin Care Set</x:v>
      </x:c>
      <x:c r="I1640" t="n">
        <x:v>1</x:v>
      </x:c>
      <x:c r="J1640" s="4" t="n">
        <x:v>44.44</x:v>
      </x:c>
      <x:c r="K1640" s="4" t="n">
        <x:v>18</x:v>
      </x:c>
      <x:c r="L1640" s="5" t="n">
        <x:v>0.15</x:v>
      </x:c>
      <x:c r="M1640" s="4" t="n">
        <x:f>ROUND(I1640*J1640*(1-L1640),2)</x:f>
        <x:v>37.77</x:v>
      </x:c>
      <x:c r="N1640" s="4" t="n">
        <x:f>ROUND(I1640*K1640,2)</x:f>
        <x:v>18</x:v>
      </x:c>
      <x:c r="O1640" s="4" t="n">
        <x:f>ROUND(M1640-N1640,2)</x:f>
        <x:v>19.77</x:v>
      </x:c>
      <x:c r="P1640" s="6" t="n">
        <x:v>4.2</x:v>
      </x:c>
      <x:c r="Q1640" t="str">
        <x:v>No</x:v>
      </x:c>
    </x:row>
    <x:row r="1641">
      <x:c r="A1641" t="str">
        <x:v>ORD-01055</x:v>
      </x:c>
      <x:c r="B1641" s="3" t="n">
        <x:v>45952.67989658565</x:v>
      </x:c>
      <x:c r="C1641" t="str">
        <x:v>2025-10</x:v>
      </x:c>
      <x:c r="D1641" t="str">
        <x:v>CUS-0373</x:v>
      </x:c>
      <x:c r="E1641" t="str">
        <x:v>Midlands</x:v>
      </x:c>
      <x:c r="F1641" t="str">
        <x:v>Online</x:v>
      </x:c>
      <x:c r="G1641" t="str">
        <x:v>Sports</x:v>
      </x:c>
      <x:c r="H1641" t="str">
        <x:v>Fitness Tracker</x:v>
      </x:c>
      <x:c r="I1641" t="n">
        <x:v>5</x:v>
      </x:c>
      <x:c r="J1641" s="4" t="n">
        <x:v>52.49</x:v>
      </x:c>
      <x:c r="K1641" s="4" t="n">
        <x:v>27</x:v>
      </x:c>
      <x:c r="L1641" s="5" t="n">
        <x:v>0.05</x:v>
      </x:c>
      <x:c r="M1641" s="4" t="n">
        <x:f>ROUND(I1641*J1641*(1-L1641),2)</x:f>
        <x:v>249.33</x:v>
      </x:c>
      <x:c r="N1641" s="4" t="n">
        <x:f>ROUND(I1641*K1641,2)</x:f>
        <x:v>135</x:v>
      </x:c>
      <x:c r="O1641" s="4" t="n">
        <x:f>ROUND(M1641-N1641,2)</x:f>
        <x:v>114.33</x:v>
      </x:c>
      <x:c r="P1641" s="6" t="n">
        <x:v>4.6</x:v>
      </x:c>
      <x:c r="Q1641" t="str">
        <x:v>No</x:v>
      </x:c>
    </x:row>
    <x:row r="1642">
      <x:c r="A1642" t="str">
        <x:v>ORD-00573</x:v>
      </x:c>
      <x:c r="B1642" s="3" t="n">
        <x:v>45953.23234915509</x:v>
      </x:c>
      <x:c r="C1642" t="str">
        <x:v>2025-10</x:v>
      </x:c>
      <x:c r="D1642" t="str">
        <x:v>CUS-0530</x:v>
      </x:c>
      <x:c r="E1642" t="str">
        <x:v>Scotland</x:v>
      </x:c>
      <x:c r="F1642" t="str">
        <x:v>Store</x:v>
      </x:c>
      <x:c r="G1642" t="str">
        <x:v>Home</x:v>
      </x:c>
      <x:c r="H1642" t="str">
        <x:v>Coffee Maker</x:v>
      </x:c>
      <x:c r="I1642" t="n">
        <x:v>1</x:v>
      </x:c>
      <x:c r="J1642" s="4" t="n">
        <x:v>76.55</x:v>
      </x:c>
      <x:c r="K1642" s="4" t="n">
        <x:v>41</x:v>
      </x:c>
      <x:c r="L1642" s="5" t="n">
        <x:v>0.1</x:v>
      </x:c>
      <x:c r="M1642" s="4" t="n">
        <x:f>ROUND(I1642*J1642*(1-L1642),2)</x:f>
        <x:v>68.9</x:v>
      </x:c>
      <x:c r="N1642" s="4" t="n">
        <x:f>ROUND(I1642*K1642,2)</x:f>
        <x:v>41</x:v>
      </x:c>
      <x:c r="O1642" s="4" t="n">
        <x:f>ROUND(M1642-N1642,2)</x:f>
        <x:v>27.9</x:v>
      </x:c>
      <x:c r="P1642" s="6" t="n">
        <x:v>4.4</x:v>
      </x:c>
      <x:c r="Q1642" t="str">
        <x:v>No</x:v>
      </x:c>
    </x:row>
    <x:row r="1643">
      <x:c r="A1643" t="str">
        <x:v>ORD-00502</x:v>
      </x:c>
      <x:c r="B1643" s="3" t="n">
        <x:v>45953.34195605324</x:v>
      </x:c>
      <x:c r="C1643" t="str">
        <x:v>2025-10</x:v>
      </x:c>
      <x:c r="D1643" t="str">
        <x:v>CUS-0266</x:v>
      </x:c>
      <x:c r="E1643" t="str">
        <x:v>North East</x:v>
      </x:c>
      <x:c r="F1643" t="str">
        <x:v>Marketplace</x:v>
      </x:c>
      <x:c r="G1643" t="str">
        <x:v>Electronics</x:v>
      </x:c>
      <x:c r="H1643" t="str">
        <x:v>Bluetooth Speaker</x:v>
      </x:c>
      <x:c r="I1643" t="n">
        <x:v>3</x:v>
      </x:c>
      <x:c r="J1643" s="4" t="n">
        <x:v>65.64</x:v>
      </x:c>
      <x:c r="K1643" s="4" t="n">
        <x:v>34</x:v>
      </x:c>
      <x:c r="L1643" s="5" t="n">
        <x:v>0</x:v>
      </x:c>
      <x:c r="M1643" s="4" t="n">
        <x:f>ROUND(I1643*J1643*(1-L1643),2)</x:f>
        <x:v>196.92</x:v>
      </x:c>
      <x:c r="N1643" s="4" t="n">
        <x:f>ROUND(I1643*K1643,2)</x:f>
        <x:v>102</x:v>
      </x:c>
      <x:c r="O1643" s="4" t="n">
        <x:f>ROUND(M1643-N1643,2)</x:f>
        <x:v>94.92</x:v>
      </x:c>
      <x:c r="P1643" s="6" t="n">
        <x:v>4</x:v>
      </x:c>
      <x:c r="Q1643" t="str">
        <x:v>No</x:v>
      </x:c>
    </x:row>
    <x:row r="1644">
      <x:c r="A1644" t="str">
        <x:v>ORD-00009</x:v>
      </x:c>
      <x:c r="B1644" s="3" t="n">
        <x:v>45953.608172002314</x:v>
      </x:c>
      <x:c r="C1644" t="str">
        <x:v>2025-10</x:v>
      </x:c>
      <x:c r="D1644" t="str">
        <x:v>CUS-0433</x:v>
      </x:c>
      <x:c r="E1644" t="str">
        <x:v>South West</x:v>
      </x:c>
      <x:c r="F1644" t="str">
        <x:v>Online</x:v>
      </x:c>
      <x:c r="G1644" t="str">
        <x:v>Electronics</x:v>
      </x:c>
      <x:c r="H1644" t="str">
        <x:v>Bluetooth Speaker</x:v>
      </x:c>
      <x:c r="I1644" t="n">
        <x:v>4</x:v>
      </x:c>
      <x:c r="J1644" s="4" t="n">
        <x:v>67.04</x:v>
      </x:c>
      <x:c r="K1644" s="4" t="n">
        <x:v>34</x:v>
      </x:c>
      <x:c r="L1644" s="5" t="n">
        <x:v>0</x:v>
      </x:c>
      <x:c r="M1644" s="4" t="n">
        <x:f>ROUND(I1644*J1644*(1-L1644),2)</x:f>
        <x:v>268.16</x:v>
      </x:c>
      <x:c r="N1644" s="4" t="n">
        <x:f>ROUND(I1644*K1644,2)</x:f>
        <x:v>136</x:v>
      </x:c>
      <x:c r="O1644" s="4" t="n">
        <x:f>ROUND(M1644-N1644,2)</x:f>
        <x:v>132.16</x:v>
      </x:c>
      <x:c r="P1644" s="6" t="n">
        <x:v>3.5</x:v>
      </x:c>
      <x:c r="Q1644" t="str">
        <x:v>No</x:v>
      </x:c>
    </x:row>
    <x:row r="1645">
      <x:c r="A1645" t="str">
        <x:v>ORD-01290</x:v>
      </x:c>
      <x:c r="B1645" s="3" t="n">
        <x:v>45954.46222886574</x:v>
      </x:c>
      <x:c r="C1645" t="str">
        <x:v>2025-10</x:v>
      </x:c>
      <x:c r="D1645" t="str">
        <x:v>CUS-0359</x:v>
      </x:c>
      <x:c r="E1645" t="str">
        <x:v>Midlands</x:v>
      </x:c>
      <x:c r="F1645" t="str">
        <x:v>Store</x:v>
      </x:c>
      <x:c r="G1645" t="str">
        <x:v>Sports</x:v>
      </x:c>
      <x:c r="H1645" t="str">
        <x:v>Fitness Tracker</x:v>
      </x:c>
      <x:c r="I1645" t="n">
        <x:v>1</x:v>
      </x:c>
      <x:c r="J1645" s="4" t="n">
        <x:v>56.63</x:v>
      </x:c>
      <x:c r="K1645" s="4" t="n">
        <x:v>27</x:v>
      </x:c>
      <x:c r="L1645" s="5" t="n">
        <x:v>0</x:v>
      </x:c>
      <x:c r="M1645" s="4" t="n">
        <x:f>ROUND(I1645*J1645*(1-L1645),2)</x:f>
        <x:v>56.63</x:v>
      </x:c>
      <x:c r="N1645" s="4" t="n">
        <x:f>ROUND(I1645*K1645,2)</x:f>
        <x:v>27</x:v>
      </x:c>
      <x:c r="O1645" s="4" t="n">
        <x:f>ROUND(M1645-N1645,2)</x:f>
        <x:v>29.63</x:v>
      </x:c>
      <x:c r="P1645" s="6" t="n">
        <x:v>4.1</x:v>
      </x:c>
      <x:c r="Q1645" t="str">
        <x:v>No</x:v>
      </x:c>
    </x:row>
    <x:row r="1646">
      <x:c r="A1646" t="str">
        <x:v>ORD-00336</x:v>
      </x:c>
      <x:c r="B1646" s="3" t="n">
        <x:v>45955.22231508102</x:v>
      </x:c>
      <x:c r="C1646" t="str">
        <x:v>2025-10</x:v>
      </x:c>
      <x:c r="D1646" t="str">
        <x:v>CUS-0351</x:v>
      </x:c>
      <x:c r="E1646" t="str">
        <x:v>Scotland</x:v>
      </x:c>
      <x:c r="F1646" t="str">
        <x:v>Store</x:v>
      </x:c>
      <x:c r="G1646" t="str">
        <x:v>Fashion</x:v>
      </x:c>
      <x:c r="H1646" t="str">
        <x:v>Backpack</x:v>
      </x:c>
      <x:c r="I1646" t="n">
        <x:v>3</x:v>
      </x:c>
      <x:c r="J1646" s="4" t="n">
        <x:v>48.72</x:v>
      </x:c>
      <x:c r="K1646" s="4" t="n">
        <x:v>21</x:v>
      </x:c>
      <x:c r="L1646" s="5" t="n">
        <x:v>0.15</x:v>
      </x:c>
      <x:c r="M1646" s="4" t="n">
        <x:f>ROUND(I1646*J1646*(1-L1646),2)</x:f>
        <x:v>124.24</x:v>
      </x:c>
      <x:c r="N1646" s="4" t="n">
        <x:f>ROUND(I1646*K1646,2)</x:f>
        <x:v>63</x:v>
      </x:c>
      <x:c r="O1646" s="4" t="n">
        <x:f>ROUND(M1646-N1646,2)</x:f>
        <x:v>61.24</x:v>
      </x:c>
      <x:c r="P1646" s="6" t="n">
        <x:v>3.7</x:v>
      </x:c>
      <x:c r="Q1646" t="str">
        <x:v>No</x:v>
      </x:c>
    </x:row>
    <x:row r="1647">
      <x:c r="A1647" t="str">
        <x:v>ORD-01292</x:v>
      </x:c>
      <x:c r="B1647" s="3" t="n">
        <x:v>45955.31592847222</x:v>
      </x:c>
      <x:c r="C1647" t="str">
        <x:v>2025-10</x:v>
      </x:c>
      <x:c r="D1647" t="str">
        <x:v>CUS-0260</x:v>
      </x:c>
      <x:c r="E1647" t="str">
        <x:v>North West</x:v>
      </x:c>
      <x:c r="F1647" t="str">
        <x:v>Store</x:v>
      </x:c>
      <x:c r="G1647" t="str">
        <x:v>Electronics</x:v>
      </x:c>
      <x:c r="H1647" t="str">
        <x:v>Bluetooth Speaker</x:v>
      </x:c>
      <x:c r="I1647" t="n">
        <x:v>1</x:v>
      </x:c>
      <x:c r="J1647" s="4" t="n">
        <x:v>68.06</x:v>
      </x:c>
      <x:c r="K1647" s="4" t="n">
        <x:v>34</x:v>
      </x:c>
      <x:c r="L1647" s="5" t="n">
        <x:v>0.1</x:v>
      </x:c>
      <x:c r="M1647" s="4" t="n">
        <x:f>ROUND(I1647*J1647*(1-L1647),2)</x:f>
        <x:v>61.25</x:v>
      </x:c>
      <x:c r="N1647" s="4" t="n">
        <x:f>ROUND(I1647*K1647,2)</x:f>
        <x:v>34</x:v>
      </x:c>
      <x:c r="O1647" s="4" t="n">
        <x:f>ROUND(M1647-N1647,2)</x:f>
        <x:v>27.25</x:v>
      </x:c>
      <x:c r="P1647" s="6" t="n">
        <x:v>4.9</x:v>
      </x:c>
      <x:c r="Q1647" t="str">
        <x:v>No</x:v>
      </x:c>
    </x:row>
    <x:row r="1648">
      <x:c r="A1648" t="str">
        <x:v>ORD-00292</x:v>
      </x:c>
      <x:c r="B1648" s="3" t="n">
        <x:v>45955.54789585648</x:v>
      </x:c>
      <x:c r="C1648" t="str">
        <x:v>2025-10</x:v>
      </x:c>
      <x:c r="D1648" t="str">
        <x:v>CUS-0536</x:v>
      </x:c>
      <x:c r="E1648" t="str">
        <x:v>Scotland</x:v>
      </x:c>
      <x:c r="F1648" t="str">
        <x:v>Marketplace</x:v>
      </x:c>
      <x:c r="G1648" t="str">
        <x:v>Electronics</x:v>
      </x:c>
      <x:c r="H1648" t="str">
        <x:v>Wireless Headphones</x:v>
      </x:c>
      <x:c r="I1648" t="n">
        <x:v>1</x:v>
      </x:c>
      <x:c r="J1648" s="4" t="n">
        <x:v>88.34</x:v>
      </x:c>
      <x:c r="K1648" s="4" t="n">
        <x:v>48</x:v>
      </x:c>
      <x:c r="L1648" s="5" t="n">
        <x:v>0.05</x:v>
      </x:c>
      <x:c r="M1648" s="4" t="n">
        <x:f>ROUND(I1648*J1648*(1-L1648),2)</x:f>
        <x:v>83.92</x:v>
      </x:c>
      <x:c r="N1648" s="4" t="n">
        <x:f>ROUND(I1648*K1648,2)</x:f>
        <x:v>48</x:v>
      </x:c>
      <x:c r="O1648" s="4" t="n">
        <x:f>ROUND(M1648-N1648,2)</x:f>
        <x:v>35.92</x:v>
      </x:c>
      <x:c r="P1648" s="6" t="n">
        <x:v>3.9</x:v>
      </x:c>
      <x:c r="Q1648" t="str">
        <x:v>No</x:v>
      </x:c>
    </x:row>
    <x:row r="1649">
      <x:c r="A1649" t="str">
        <x:v>ORD-00293</x:v>
      </x:c>
      <x:c r="B1649" s="3" t="n">
        <x:v>45956.69034350695</x:v>
      </x:c>
      <x:c r="C1649" t="str">
        <x:v>2025-10</x:v>
      </x:c>
      <x:c r="D1649" t="str">
        <x:v>CUS-0428</x:v>
      </x:c>
      <x:c r="E1649" t="str">
        <x:v>Wales</x:v>
      </x:c>
      <x:c r="F1649" t="str">
        <x:v>Store</x:v>
      </x:c>
      <x:c r="G1649" t="str">
        <x:v>Electronics</x:v>
      </x:c>
      <x:c r="H1649" t="str">
        <x:v>Wireless Headphones</x:v>
      </x:c>
      <x:c r="I1649" t="n">
        <x:v>3</x:v>
      </x:c>
      <x:c r="J1649" s="4" t="n">
        <x:v>93.51</x:v>
      </x:c>
      <x:c r="K1649" s="4" t="n">
        <x:v>48</x:v>
      </x:c>
      <x:c r="L1649" s="5" t="n">
        <x:v>0.05</x:v>
      </x:c>
      <x:c r="M1649" s="4" t="n">
        <x:f>ROUND(I1649*J1649*(1-L1649),2)</x:f>
        <x:v>266.5</x:v>
      </x:c>
      <x:c r="N1649" s="4" t="n">
        <x:f>ROUND(I1649*K1649,2)</x:f>
        <x:v>144</x:v>
      </x:c>
      <x:c r="O1649" s="4" t="n">
        <x:f>ROUND(M1649-N1649,2)</x:f>
        <x:v>122.5</x:v>
      </x:c>
      <x:c r="P1649" s="6" t="n">
        <x:v>4.4</x:v>
      </x:c>
      <x:c r="Q1649" t="str">
        <x:v>Yes</x:v>
      </x:c>
    </x:row>
    <x:row r="1650">
      <x:c r="A1650" t="str">
        <x:v>ORD-01621</x:v>
      </x:c>
      <x:c r="B1650" s="3" t="n">
        <x:v>45957.10558902778</x:v>
      </x:c>
      <x:c r="C1650" t="str">
        <x:v>2025-10</x:v>
      </x:c>
      <x:c r="D1650" t="str">
        <x:v>CUS-0613</x:v>
      </x:c>
      <x:c r="E1650" t="str">
        <x:v>Wales</x:v>
      </x:c>
      <x:c r="F1650" t="str">
        <x:v>Store</x:v>
      </x:c>
      <x:c r="G1650" t="str">
        <x:v>Beauty</x:v>
      </x:c>
      <x:c r="H1650" t="str">
        <x:v>Hair Dryer</x:v>
      </x:c>
      <x:c r="I1650" t="n">
        <x:v>1</x:v>
      </x:c>
      <x:c r="J1650" s="4" t="n">
        <x:v>61.33</x:v>
      </x:c>
      <x:c r="K1650" s="4" t="n">
        <x:v>29</x:v>
      </x:c>
      <x:c r="L1650" s="5" t="n">
        <x:v>0.2</x:v>
      </x:c>
      <x:c r="M1650" s="4" t="n">
        <x:f>ROUND(I1650*J1650*(1-L1650),2)</x:f>
        <x:v>49.06</x:v>
      </x:c>
      <x:c r="N1650" s="4" t="n">
        <x:f>ROUND(I1650*K1650,2)</x:f>
        <x:v>29</x:v>
      </x:c>
      <x:c r="O1650" s="4" t="n">
        <x:f>ROUND(M1650-N1650,2)</x:f>
        <x:v>20.06</x:v>
      </x:c>
      <x:c r="P1650" s="6" t="n">
        <x:v>5</x:v>
      </x:c>
      <x:c r="Q1650" t="str">
        <x:v>No</x:v>
      </x:c>
    </x:row>
    <x:row r="1651">
      <x:c r="A1651" t="str">
        <x:v>ORD-00602</x:v>
      </x:c>
      <x:c r="B1651" s="3" t="n">
        <x:v>45957.41050087963</x:v>
      </x:c>
      <x:c r="C1651" t="str">
        <x:v>2025-10</x:v>
      </x:c>
      <x:c r="D1651" t="str">
        <x:v>CUS-0370</x:v>
      </x:c>
      <x:c r="E1651" t="str">
        <x:v>North West</x:v>
      </x:c>
      <x:c r="F1651" t="str">
        <x:v>Marketplace</x:v>
      </x:c>
      <x:c r="G1651" t="str">
        <x:v>Electronics</x:v>
      </x:c>
      <x:c r="H1651" t="str">
        <x:v>Smart Watch</x:v>
      </x:c>
      <x:c r="I1651" t="n">
        <x:v>3</x:v>
      </x:c>
      <x:c r="J1651" s="4" t="n">
        <x:v>158.08</x:v>
      </x:c>
      <x:c r="K1651" s="4" t="n">
        <x:v>92</x:v>
      </x:c>
      <x:c r="L1651" s="5" t="n">
        <x:v>0</x:v>
      </x:c>
      <x:c r="M1651" s="4" t="n">
        <x:f>ROUND(I1651*J1651*(1-L1651),2)</x:f>
        <x:v>474.24</x:v>
      </x:c>
      <x:c r="N1651" s="4" t="n">
        <x:f>ROUND(I1651*K1651,2)</x:f>
        <x:v>276</x:v>
      </x:c>
      <x:c r="O1651" s="4" t="n">
        <x:f>ROUND(M1651-N1651,2)</x:f>
        <x:v>198.24</x:v>
      </x:c>
      <x:c r="P1651" s="6" t="n">
        <x:v>4.8</x:v>
      </x:c>
      <x:c r="Q1651" t="str">
        <x:v>No</x:v>
      </x:c>
    </x:row>
    <x:row r="1652">
      <x:c r="A1652" t="str">
        <x:v>ORD-01078</x:v>
      </x:c>
      <x:c r="B1652" s="3" t="n">
        <x:v>45957.53456136574</x:v>
      </x:c>
      <x:c r="C1652" t="str">
        <x:v>2025-10</x:v>
      </x:c>
      <x:c r="D1652" t="str">
        <x:v>CUS-0433</x:v>
      </x:c>
      <x:c r="E1652" t="str">
        <x:v>North East</x:v>
      </x:c>
      <x:c r="F1652" t="str">
        <x:v>Online</x:v>
      </x:c>
      <x:c r="G1652" t="str">
        <x:v>Books</x:v>
      </x:c>
      <x:c r="H1652" t="str">
        <x:v>Business Intelligence Guide</x:v>
      </x:c>
      <x:c r="I1652" t="n">
        <x:v>2</x:v>
      </x:c>
      <x:c r="J1652" s="4" t="n">
        <x:v>33.49</x:v>
      </x:c>
      <x:c r="K1652" s="4" t="n">
        <x:v>12</x:v>
      </x:c>
      <x:c r="L1652" s="5" t="n">
        <x:v>0.2</x:v>
      </x:c>
      <x:c r="M1652" s="4" t="n">
        <x:f>ROUND(I1652*J1652*(1-L1652),2)</x:f>
        <x:v>53.58</x:v>
      </x:c>
      <x:c r="N1652" s="4" t="n">
        <x:f>ROUND(I1652*K1652,2)</x:f>
        <x:v>24</x:v>
      </x:c>
      <x:c r="O1652" s="4" t="n">
        <x:f>ROUND(M1652-N1652,2)</x:f>
        <x:v>29.58</x:v>
      </x:c>
      <x:c r="P1652" s="6" t="n">
        <x:v>4.2</x:v>
      </x:c>
      <x:c r="Q1652" t="str">
        <x:v>No</x:v>
      </x:c>
    </x:row>
    <x:row r="1653">
      <x:c r="A1653" t="str">
        <x:v>ORD-00468</x:v>
      </x:c>
      <x:c r="B1653" s="3" t="n">
        <x:v>45957.555832314814</x:v>
      </x:c>
      <x:c r="C1653" t="str">
        <x:v>2025-10</x:v>
      </x:c>
      <x:c r="D1653" t="str">
        <x:v>CUS-0075</x:v>
      </x:c>
      <x:c r="E1653" t="str">
        <x:v>Wales</x:v>
      </x:c>
      <x:c r="F1653" t="str">
        <x:v>Marketplace</x:v>
      </x:c>
      <x:c r="G1653" t="str">
        <x:v>Sports</x:v>
      </x:c>
      <x:c r="H1653" t="str">
        <x:v>Yoga Mat</x:v>
      </x:c>
      <x:c r="I1653" t="n">
        <x:v>4</x:v>
      </x:c>
      <x:c r="J1653" s="4" t="n">
        <x:v>30.27</x:v>
      </x:c>
      <x:c r="K1653" s="4" t="n">
        <x:v>12</x:v>
      </x:c>
      <x:c r="L1653" s="5" t="n">
        <x:v>0.15</x:v>
      </x:c>
      <x:c r="M1653" s="4" t="n">
        <x:f>ROUND(I1653*J1653*(1-L1653),2)</x:f>
        <x:v>102.92</x:v>
      </x:c>
      <x:c r="N1653" s="4" t="n">
        <x:f>ROUND(I1653*K1653,2)</x:f>
        <x:v>48</x:v>
      </x:c>
      <x:c r="O1653" s="4" t="n">
        <x:f>ROUND(M1653-N1653,2)</x:f>
        <x:v>54.92</x:v>
      </x:c>
      <x:c r="P1653" s="6" t="n">
        <x:v>4</x:v>
      </x:c>
      <x:c r="Q1653" t="str">
        <x:v>No</x:v>
      </x:c>
    </x:row>
    <x:row r="1654">
      <x:c r="A1654" t="str">
        <x:v>ORD-00611</x:v>
      </x:c>
      <x:c r="B1654" s="3" t="n">
        <x:v>45957.56558533565</x:v>
      </x:c>
      <x:c r="C1654" t="str">
        <x:v>2025-10</x:v>
      </x:c>
      <x:c r="D1654" t="str">
        <x:v>CUS-0551</x:v>
      </x:c>
      <x:c r="E1654" t="str">
        <x:v>South East</x:v>
      </x:c>
      <x:c r="F1654" t="str">
        <x:v>Online</x:v>
      </x:c>
      <x:c r="G1654" t="str">
        <x:v>Fashion</x:v>
      </x:c>
      <x:c r="H1654" t="str">
        <x:v>Classic Trainers</x:v>
      </x:c>
      <x:c r="I1654" t="n">
        <x:v>3</x:v>
      </x:c>
      <x:c r="J1654" s="4" t="n">
        <x:v>71.16</x:v>
      </x:c>
      <x:c r="K1654" s="4" t="n">
        <x:v>32</x:v>
      </x:c>
      <x:c r="L1654" s="5" t="n">
        <x:v>0.15</x:v>
      </x:c>
      <x:c r="M1654" s="4" t="n">
        <x:f>ROUND(I1654*J1654*(1-L1654),2)</x:f>
        <x:v>181.46</x:v>
      </x:c>
      <x:c r="N1654" s="4" t="n">
        <x:f>ROUND(I1654*K1654,2)</x:f>
        <x:v>96</x:v>
      </x:c>
      <x:c r="O1654" s="4" t="n">
        <x:f>ROUND(M1654-N1654,2)</x:f>
        <x:v>85.46</x:v>
      </x:c>
      <x:c r="P1654" s="6" t="n">
        <x:v>4.4</x:v>
      </x:c>
      <x:c r="Q1654" t="str">
        <x:v>Yes</x:v>
      </x:c>
    </x:row>
    <x:row r="1655">
      <x:c r="A1655" t="str">
        <x:v>ORD-00260</x:v>
      </x:c>
      <x:c r="B1655" s="3" t="n">
        <x:v>45957.61989740741</x:v>
      </x:c>
      <x:c r="C1655" t="str">
        <x:v>2025-10</x:v>
      </x:c>
      <x:c r="D1655" t="str">
        <x:v>CUS-0030</x:v>
      </x:c>
      <x:c r="E1655" t="str">
        <x:v>South East</x:v>
      </x:c>
      <x:c r="F1655" t="str">
        <x:v>Marketplace</x:v>
      </x:c>
      <x:c r="G1655" t="str">
        <x:v>Fashion</x:v>
      </x:c>
      <x:c r="H1655" t="str">
        <x:v>Winter Jacket</x:v>
      </x:c>
      <x:c r="I1655" t="n">
        <x:v>3</x:v>
      </x:c>
      <x:c r="J1655" s="4" t="n">
        <x:v>91.18</x:v>
      </x:c>
      <x:c r="K1655" s="4" t="n">
        <x:v>46</x:v>
      </x:c>
      <x:c r="L1655" s="5" t="n">
        <x:v>0.05</x:v>
      </x:c>
      <x:c r="M1655" s="4" t="n">
        <x:f>ROUND(I1655*J1655*(1-L1655),2)</x:f>
        <x:v>259.86</x:v>
      </x:c>
      <x:c r="N1655" s="4" t="n">
        <x:f>ROUND(I1655*K1655,2)</x:f>
        <x:v>138</x:v>
      </x:c>
      <x:c r="O1655" s="4" t="n">
        <x:f>ROUND(M1655-N1655,2)</x:f>
        <x:v>121.86</x:v>
      </x:c>
      <x:c r="P1655" s="6" t="n">
        <x:v>3.6</x:v>
      </x:c>
      <x:c r="Q1655" t="str">
        <x:v>No</x:v>
      </x:c>
    </x:row>
    <x:row r="1656">
      <x:c r="A1656" t="str">
        <x:v>ORD-01640</x:v>
      </x:c>
      <x:c r="B1656" s="3" t="n">
        <x:v>45958.156165775465</x:v>
      </x:c>
      <x:c r="C1656" t="str">
        <x:v>2025-10</x:v>
      </x:c>
      <x:c r="D1656" t="str">
        <x:v>CUS-0591</x:v>
      </x:c>
      <x:c r="E1656" t="str">
        <x:v>North West</x:v>
      </x:c>
      <x:c r="F1656" t="str">
        <x:v>Store</x:v>
      </x:c>
      <x:c r="G1656" t="str">
        <x:v>Home</x:v>
      </x:c>
      <x:c r="H1656" t="str">
        <x:v>Desk Lamp</x:v>
      </x:c>
      <x:c r="I1656" t="n">
        <x:v>5</x:v>
      </x:c>
      <x:c r="J1656" s="4" t="n">
        <x:v>33.46</x:v>
      </x:c>
      <x:c r="K1656" s="4" t="n">
        <x:v>17</x:v>
      </x:c>
      <x:c r="L1656" s="5" t="n">
        <x:v>0.1</x:v>
      </x:c>
      <x:c r="M1656" s="4" t="n">
        <x:f>ROUND(I1656*J1656*(1-L1656),2)</x:f>
        <x:v>150.57</x:v>
      </x:c>
      <x:c r="N1656" s="4" t="n">
        <x:f>ROUND(I1656*K1656,2)</x:f>
        <x:v>85</x:v>
      </x:c>
      <x:c r="O1656" s="4" t="n">
        <x:f>ROUND(M1656-N1656,2)</x:f>
        <x:v>65.57</x:v>
      </x:c>
      <x:c r="P1656" s="6" t="n">
        <x:v>3.7</x:v>
      </x:c>
      <x:c r="Q1656" t="str">
        <x:v>No</x:v>
      </x:c>
    </x:row>
    <x:row r="1657">
      <x:c r="A1657" t="str">
        <x:v>ORD-00728</x:v>
      </x:c>
      <x:c r="B1657" s="3" t="n">
        <x:v>45958.343389849535</x:v>
      </x:c>
      <x:c r="C1657" t="str">
        <x:v>2025-10</x:v>
      </x:c>
      <x:c r="D1657" t="str">
        <x:v>CUS-0473</x:v>
      </x:c>
      <x:c r="E1657" t="str">
        <x:v>South East</x:v>
      </x:c>
      <x:c r="F1657" t="str">
        <x:v>Store</x:v>
      </x:c>
      <x:c r="G1657" t="str">
        <x:v>Home</x:v>
      </x:c>
      <x:c r="H1657" t="str">
        <x:v>Air Fryer</x:v>
      </x:c>
      <x:c r="I1657" t="n">
        <x:v>2</x:v>
      </x:c>
      <x:c r="J1657" s="4" t="n">
        <x:v>125.07</x:v>
      </x:c>
      <x:c r="K1657" s="4" t="n">
        <x:v>69</x:v>
      </x:c>
      <x:c r="L1657" s="5" t="n">
        <x:v>0.05</x:v>
      </x:c>
      <x:c r="M1657" s="4" t="n">
        <x:f>ROUND(I1657*J1657*(1-L1657),2)</x:f>
        <x:v>237.63</x:v>
      </x:c>
      <x:c r="N1657" s="4" t="n">
        <x:f>ROUND(I1657*K1657,2)</x:f>
        <x:v>138</x:v>
      </x:c>
      <x:c r="O1657" s="4" t="n">
        <x:f>ROUND(M1657-N1657,2)</x:f>
        <x:v>99.63</x:v>
      </x:c>
      <x:c r="P1657" s="6" t="n">
        <x:v>4.8</x:v>
      </x:c>
      <x:c r="Q1657" t="str">
        <x:v>Yes</x:v>
      </x:c>
    </x:row>
    <x:row r="1658">
      <x:c r="A1658" t="str">
        <x:v>ORD-00992</x:v>
      </x:c>
      <x:c r="B1658" s="3" t="n">
        <x:v>45958.72163709491</x:v>
      </x:c>
      <x:c r="C1658" t="str">
        <x:v>2025-10</x:v>
      </x:c>
      <x:c r="D1658" t="str">
        <x:v>CUS-0570</x:v>
      </x:c>
      <x:c r="E1658" t="str">
        <x:v>Midlands</x:v>
      </x:c>
      <x:c r="F1658" t="str">
        <x:v>Online</x:v>
      </x:c>
      <x:c r="G1658" t="str">
        <x:v>Fashion</x:v>
      </x:c>
      <x:c r="H1658" t="str">
        <x:v>Classic Trainers</x:v>
      </x:c>
      <x:c r="I1658" t="n">
        <x:v>4</x:v>
      </x:c>
      <x:c r="J1658" s="4" t="n">
        <x:v>66.72</x:v>
      </x:c>
      <x:c r="K1658" s="4" t="n">
        <x:v>32</x:v>
      </x:c>
      <x:c r="L1658" s="5" t="n">
        <x:v>0.15</x:v>
      </x:c>
      <x:c r="M1658" s="4" t="n">
        <x:f>ROUND(I1658*J1658*(1-L1658),2)</x:f>
        <x:v>226.85</x:v>
      </x:c>
      <x:c r="N1658" s="4" t="n">
        <x:f>ROUND(I1658*K1658,2)</x:f>
        <x:v>128</x:v>
      </x:c>
      <x:c r="O1658" s="4" t="n">
        <x:f>ROUND(M1658-N1658,2)</x:f>
        <x:v>98.85</x:v>
      </x:c>
      <x:c r="P1658" s="6" t="n">
        <x:v>4.8</x:v>
      </x:c>
      <x:c r="Q1658" t="str">
        <x:v>No</x:v>
      </x:c>
    </x:row>
    <x:row r="1659">
      <x:c r="A1659" t="str">
        <x:v>ORD-01554</x:v>
      </x:c>
      <x:c r="B1659" s="3" t="n">
        <x:v>45959.85320586806</x:v>
      </x:c>
      <x:c r="C1659" t="str">
        <x:v>2025-10</x:v>
      </x:c>
      <x:c r="D1659" t="str">
        <x:v>CUS-0489</x:v>
      </x:c>
      <x:c r="E1659" t="str">
        <x:v>Scotland</x:v>
      </x:c>
      <x:c r="F1659" t="str">
        <x:v>Online</x:v>
      </x:c>
      <x:c r="G1659" t="str">
        <x:v>Books</x:v>
      </x:c>
      <x:c r="H1659" t="str">
        <x:v>Data Analytics Handbook</x:v>
      </x:c>
      <x:c r="I1659" t="n">
        <x:v>3</x:v>
      </x:c>
      <x:c r="J1659" s="4" t="n">
        <x:v>39.34</x:v>
      </x:c>
      <x:c r="K1659" s="4" t="n">
        <x:v>14</x:v>
      </x:c>
      <x:c r="L1659" s="5" t="n">
        <x:v>0</x:v>
      </x:c>
      <x:c r="M1659" s="4" t="n">
        <x:f>ROUND(I1659*J1659*(1-L1659),2)</x:f>
        <x:v>118.02</x:v>
      </x:c>
      <x:c r="N1659" s="4" t="n">
        <x:f>ROUND(I1659*K1659,2)</x:f>
        <x:v>42</x:v>
      </x:c>
      <x:c r="O1659" s="4" t="n">
        <x:f>ROUND(M1659-N1659,2)</x:f>
        <x:v>76.02</x:v>
      </x:c>
      <x:c r="P1659" s="6" t="n">
        <x:v>3.7</x:v>
      </x:c>
      <x:c r="Q1659" t="str">
        <x:v>No</x:v>
      </x:c>
    </x:row>
    <x:row r="1660">
      <x:c r="A1660" t="str">
        <x:v>ORD-01050</x:v>
      </x:c>
      <x:c r="B1660" s="3" t="n">
        <x:v>45960.900614791666</x:v>
      </x:c>
      <x:c r="C1660" t="str">
        <x:v>2025-10</x:v>
      </x:c>
      <x:c r="D1660" t="str">
        <x:v>CUS-0054</x:v>
      </x:c>
      <x:c r="E1660" t="str">
        <x:v>Scotland</x:v>
      </x:c>
      <x:c r="F1660" t="str">
        <x:v>Marketplace</x:v>
      </x:c>
      <x:c r="G1660" t="str">
        <x:v>Electronics</x:v>
      </x:c>
      <x:c r="H1660" t="str">
        <x:v>Bluetooth Speaker</x:v>
      </x:c>
      <x:c r="I1660" t="n">
        <x:v>4</x:v>
      </x:c>
      <x:c r="J1660" s="4" t="n">
        <x:v>66.74</x:v>
      </x:c>
      <x:c r="K1660" s="4" t="n">
        <x:v>34</x:v>
      </x:c>
      <x:c r="L1660" s="5" t="n">
        <x:v>0</x:v>
      </x:c>
      <x:c r="M1660" s="4" t="n">
        <x:f>ROUND(I1660*J1660*(1-L1660),2)</x:f>
        <x:v>266.96</x:v>
      </x:c>
      <x:c r="N1660" s="4" t="n">
        <x:f>ROUND(I1660*K1660,2)</x:f>
        <x:v>136</x:v>
      </x:c>
      <x:c r="O1660" s="4" t="n">
        <x:f>ROUND(M1660-N1660,2)</x:f>
        <x:v>130.96</x:v>
      </x:c>
      <x:c r="P1660" s="6" t="n">
        <x:v>5</x:v>
      </x:c>
      <x:c r="Q1660" t="str">
        <x:v>No</x:v>
      </x:c>
    </x:row>
    <x:row r="1661">
      <x:c r="A1661" t="str">
        <x:v>ORD-00104</x:v>
      </x:c>
      <x:c r="B1661" s="3" t="n">
        <x:v>45961.31074159722</x:v>
      </x:c>
      <x:c r="C1661" t="str">
        <x:v>2025-10</x:v>
      </x:c>
      <x:c r="D1661" t="str">
        <x:v>CUS-0169</x:v>
      </x:c>
      <x:c r="E1661" t="str">
        <x:v>North West</x:v>
      </x:c>
      <x:c r="F1661" t="str">
        <x:v>Online</x:v>
      </x:c>
      <x:c r="G1661" t="str">
        <x:v>Home</x:v>
      </x:c>
      <x:c r="H1661" t="str">
        <x:v>Desk Lamp</x:v>
      </x:c>
      <x:c r="I1661" t="n">
        <x:v>5</x:v>
      </x:c>
      <x:c r="J1661" s="4" t="n">
        <x:v>36.09</x:v>
      </x:c>
      <x:c r="K1661" s="4" t="n">
        <x:v>17</x:v>
      </x:c>
      <x:c r="L1661" s="5" t="n">
        <x:v>0</x:v>
      </x:c>
      <x:c r="M1661" s="4" t="n">
        <x:f>ROUND(I1661*J1661*(1-L1661),2)</x:f>
        <x:v>180.45</x:v>
      </x:c>
      <x:c r="N1661" s="4" t="n">
        <x:f>ROUND(I1661*K1661,2)</x:f>
        <x:v>85</x:v>
      </x:c>
      <x:c r="O1661" s="4" t="n">
        <x:f>ROUND(M1661-N1661,2)</x:f>
        <x:v>95.45</x:v>
      </x:c>
      <x:c r="P1661" s="6" t="n">
        <x:v>5</x:v>
      </x:c>
      <x:c r="Q1661" t="str">
        <x:v>No</x:v>
      </x:c>
    </x:row>
    <x:row r="1662">
      <x:c r="A1662" t="str">
        <x:v>ORD-01185</x:v>
      </x:c>
      <x:c r="B1662" s="3" t="n">
        <x:v>45961.55003146991</x:v>
      </x:c>
      <x:c r="C1662" t="str">
        <x:v>2025-10</x:v>
      </x:c>
      <x:c r="D1662" t="str">
        <x:v>CUS-0406</x:v>
      </x:c>
      <x:c r="E1662" t="str">
        <x:v>South West</x:v>
      </x:c>
      <x:c r="F1662" t="str">
        <x:v>Online</x:v>
      </x:c>
      <x:c r="G1662" t="str">
        <x:v>Books</x:v>
      </x:c>
      <x:c r="H1662" t="str">
        <x:v>Business Intelligence Guide</x:v>
      </x:c>
      <x:c r="I1662" t="n">
        <x:v>3</x:v>
      </x:c>
      <x:c r="J1662" s="4" t="n">
        <x:v>36.38</x:v>
      </x:c>
      <x:c r="K1662" s="4" t="n">
        <x:v>12</x:v>
      </x:c>
      <x:c r="L1662" s="5" t="n">
        <x:v>0.15</x:v>
      </x:c>
      <x:c r="M1662" s="4" t="n">
        <x:f>ROUND(I1662*J1662*(1-L1662),2)</x:f>
        <x:v>92.77</x:v>
      </x:c>
      <x:c r="N1662" s="4" t="n">
        <x:f>ROUND(I1662*K1662,2)</x:f>
        <x:v>36</x:v>
      </x:c>
      <x:c r="O1662" s="4" t="n">
        <x:f>ROUND(M1662-N1662,2)</x:f>
        <x:v>56.77</x:v>
      </x:c>
      <x:c r="P1662" s="6" t="n">
        <x:v>3.5</x:v>
      </x:c>
      <x:c r="Q1662" t="str">
        <x:v>No</x:v>
      </x:c>
    </x:row>
    <x:row r="1663">
      <x:c r="A1663" t="str">
        <x:v>ORD-00283</x:v>
      </x:c>
      <x:c r="B1663" s="3" t="n">
        <x:v>45962.37189434028</x:v>
      </x:c>
      <x:c r="C1663" t="str">
        <x:v>2025-11</x:v>
      </x:c>
      <x:c r="D1663" t="str">
        <x:v>CUS-0054</x:v>
      </x:c>
      <x:c r="E1663" t="str">
        <x:v>Scotland</x:v>
      </x:c>
      <x:c r="F1663" t="str">
        <x:v>Store</x:v>
      </x:c>
      <x:c r="G1663" t="str">
        <x:v>Books</x:v>
      </x:c>
      <x:c r="H1663" t="str">
        <x:v>Business Intelligence Guide</x:v>
      </x:c>
      <x:c r="I1663" t="n">
        <x:v>3</x:v>
      </x:c>
      <x:c r="J1663" s="4" t="n">
        <x:v>34.86</x:v>
      </x:c>
      <x:c r="K1663" s="4" t="n">
        <x:v>12</x:v>
      </x:c>
      <x:c r="L1663" s="5" t="n">
        <x:v>0</x:v>
      </x:c>
      <x:c r="M1663" s="4" t="n">
        <x:f>ROUND(I1663*J1663*(1-L1663),2)</x:f>
        <x:v>104.58</x:v>
      </x:c>
      <x:c r="N1663" s="4" t="n">
        <x:f>ROUND(I1663*K1663,2)</x:f>
        <x:v>36</x:v>
      </x:c>
      <x:c r="O1663" s="4" t="n">
        <x:f>ROUND(M1663-N1663,2)</x:f>
        <x:v>68.58</x:v>
      </x:c>
      <x:c r="P1663" s="6" t="n">
        <x:v>4.1</x:v>
      </x:c>
      <x:c r="Q1663" t="str">
        <x:v>Yes</x:v>
      </x:c>
    </x:row>
    <x:row r="1664">
      <x:c r="A1664" t="str">
        <x:v>ORD-01695</x:v>
      </x:c>
      <x:c r="B1664" s="3" t="n">
        <x:v>45963.13851201389</x:v>
      </x:c>
      <x:c r="C1664" t="str">
        <x:v>2025-11</x:v>
      </x:c>
      <x:c r="D1664" t="str">
        <x:v>CUS-0599</x:v>
      </x:c>
      <x:c r="E1664" t="str">
        <x:v>South West</x:v>
      </x:c>
      <x:c r="F1664" t="str">
        <x:v>Store</x:v>
      </x:c>
      <x:c r="G1664" t="str">
        <x:v>Books</x:v>
      </x:c>
      <x:c r="H1664" t="str">
        <x:v>Business Intelligence Guide</x:v>
      </x:c>
      <x:c r="I1664" t="n">
        <x:v>3</x:v>
      </x:c>
      <x:c r="J1664" s="4" t="n">
        <x:v>34.56</x:v>
      </x:c>
      <x:c r="K1664" s="4" t="n">
        <x:v>12</x:v>
      </x:c>
      <x:c r="L1664" s="5" t="n">
        <x:v>0.2</x:v>
      </x:c>
      <x:c r="M1664" s="4" t="n">
        <x:f>ROUND(I1664*J1664*(1-L1664),2)</x:f>
        <x:v>82.94</x:v>
      </x:c>
      <x:c r="N1664" s="4" t="n">
        <x:f>ROUND(I1664*K1664,2)</x:f>
        <x:v>36</x:v>
      </x:c>
      <x:c r="O1664" s="4" t="n">
        <x:f>ROUND(M1664-N1664,2)</x:f>
        <x:v>46.94</x:v>
      </x:c>
      <x:c r="P1664" s="6" t="n">
        <x:v>3.5</x:v>
      </x:c>
      <x:c r="Q1664" t="str">
        <x:v>Yes</x:v>
      </x:c>
    </x:row>
    <x:row r="1665">
      <x:c r="A1665" t="str">
        <x:v>ORD-01434</x:v>
      </x:c>
      <x:c r="B1665" s="3" t="n">
        <x:v>45963.44181054398</x:v>
      </x:c>
      <x:c r="C1665" t="str">
        <x:v>2025-11</x:v>
      </x:c>
      <x:c r="D1665" t="str">
        <x:v>CUS-0106</x:v>
      </x:c>
      <x:c r="E1665" t="str">
        <x:v>Wales</x:v>
      </x:c>
      <x:c r="F1665" t="str">
        <x:v>Online</x:v>
      </x:c>
      <x:c r="G1665" t="str">
        <x:v>Sports</x:v>
      </x:c>
      <x:c r="H1665" t="str">
        <x:v>Fitness Tracker</x:v>
      </x:c>
      <x:c r="I1665" t="n">
        <x:v>5</x:v>
      </x:c>
      <x:c r="J1665" s="4" t="n">
        <x:v>55.95</x:v>
      </x:c>
      <x:c r="K1665" s="4" t="n">
        <x:v>27</x:v>
      </x:c>
      <x:c r="L1665" s="5" t="n">
        <x:v>0.15</x:v>
      </x:c>
      <x:c r="M1665" s="4" t="n">
        <x:f>ROUND(I1665*J1665*(1-L1665),2)</x:f>
        <x:v>237.79</x:v>
      </x:c>
      <x:c r="N1665" s="4" t="n">
        <x:f>ROUND(I1665*K1665,2)</x:f>
        <x:v>135</x:v>
      </x:c>
      <x:c r="O1665" s="4" t="n">
        <x:f>ROUND(M1665-N1665,2)</x:f>
        <x:v>102.79</x:v>
      </x:c>
      <x:c r="P1665" s="6" t="n">
        <x:v>5</x:v>
      </x:c>
      <x:c r="Q1665" t="str">
        <x:v>No</x:v>
      </x:c>
    </x:row>
    <x:row r="1666">
      <x:c r="A1666" t="str">
        <x:v>ORD-01738</x:v>
      </x:c>
      <x:c r="B1666" s="3" t="n">
        <x:v>45963.613696851855</x:v>
      </x:c>
      <x:c r="C1666" t="str">
        <x:v>2025-11</x:v>
      </x:c>
      <x:c r="D1666" t="str">
        <x:v>CUS-0122</x:v>
      </x:c>
      <x:c r="E1666" t="str">
        <x:v>South East</x:v>
      </x:c>
      <x:c r="F1666" t="str">
        <x:v>Marketplace</x:v>
      </x:c>
      <x:c r="G1666" t="str">
        <x:v>Sports</x:v>
      </x:c>
      <x:c r="H1666" t="str">
        <x:v>Yoga Mat</x:v>
      </x:c>
      <x:c r="I1666" t="n">
        <x:v>2</x:v>
      </x:c>
      <x:c r="J1666" s="4" t="n">
        <x:v>29.02</x:v>
      </x:c>
      <x:c r="K1666" s="4" t="n">
        <x:v>12</x:v>
      </x:c>
      <x:c r="L1666" s="5" t="n">
        <x:v>0.05</x:v>
      </x:c>
      <x:c r="M1666" s="4" t="n">
        <x:f>ROUND(I1666*J1666*(1-L1666),2)</x:f>
        <x:v>55.14</x:v>
      </x:c>
      <x:c r="N1666" s="4" t="n">
        <x:f>ROUND(I1666*K1666,2)</x:f>
        <x:v>24</x:v>
      </x:c>
      <x:c r="O1666" s="4" t="n">
        <x:f>ROUND(M1666-N1666,2)</x:f>
        <x:v>31.14</x:v>
      </x:c>
      <x:c r="P1666" s="6" t="n">
        <x:v>4.3</x:v>
      </x:c>
      <x:c r="Q1666" t="str">
        <x:v>No</x:v>
      </x:c>
    </x:row>
    <x:row r="1667">
      <x:c r="A1667" t="str">
        <x:v>ORD-00515</x:v>
      </x:c>
      <x:c r="B1667" s="3" t="n">
        <x:v>45964.84561752315</x:v>
      </x:c>
      <x:c r="C1667" t="str">
        <x:v>2025-11</x:v>
      </x:c>
      <x:c r="D1667" t="str">
        <x:v>CUS-0505</x:v>
      </x:c>
      <x:c r="E1667" t="str">
        <x:v>North West</x:v>
      </x:c>
      <x:c r="F1667" t="str">
        <x:v>Online</x:v>
      </x:c>
      <x:c r="G1667" t="str">
        <x:v>Sports</x:v>
      </x:c>
      <x:c r="H1667" t="str">
        <x:v>Yoga Mat</x:v>
      </x:c>
      <x:c r="I1667" t="n">
        <x:v>3</x:v>
      </x:c>
      <x:c r="J1667" s="4" t="n">
        <x:v>30.77</x:v>
      </x:c>
      <x:c r="K1667" s="4" t="n">
        <x:v>12</x:v>
      </x:c>
      <x:c r="L1667" s="5" t="n">
        <x:v>0.2</x:v>
      </x:c>
      <x:c r="M1667" s="4" t="n">
        <x:f>ROUND(I1667*J1667*(1-L1667),2)</x:f>
        <x:v>73.85</x:v>
      </x:c>
      <x:c r="N1667" s="4" t="n">
        <x:f>ROUND(I1667*K1667,2)</x:f>
        <x:v>36</x:v>
      </x:c>
      <x:c r="O1667" s="4" t="n">
        <x:f>ROUND(M1667-N1667,2)</x:f>
        <x:v>37.85</x:v>
      </x:c>
      <x:c r="P1667" s="6" t="n">
        <x:v>3.8</x:v>
      </x:c>
      <x:c r="Q1667" t="str">
        <x:v>No</x:v>
      </x:c>
    </x:row>
    <x:row r="1668">
      <x:c r="A1668" t="str">
        <x:v>ORD-01204</x:v>
      </x:c>
      <x:c r="B1668" s="3" t="n">
        <x:v>45965.272740625</x:v>
      </x:c>
      <x:c r="C1668" t="str">
        <x:v>2025-11</x:v>
      </x:c>
      <x:c r="D1668" t="str">
        <x:v>CUS-0522</x:v>
      </x:c>
      <x:c r="E1668" t="str">
        <x:v>South West</x:v>
      </x:c>
      <x:c r="F1668" t="str">
        <x:v>Online</x:v>
      </x:c>
      <x:c r="G1668" t="str">
        <x:v>Home</x:v>
      </x:c>
      <x:c r="H1668" t="str">
        <x:v>Desk Lamp</x:v>
      </x:c>
      <x:c r="I1668" t="n">
        <x:v>5</x:v>
      </x:c>
      <x:c r="J1668" s="4" t="n">
        <x:v>34.53</x:v>
      </x:c>
      <x:c r="K1668" s="4" t="n">
        <x:v>17</x:v>
      </x:c>
      <x:c r="L1668" s="5" t="n">
        <x:v>0</x:v>
      </x:c>
      <x:c r="M1668" s="4" t="n">
        <x:f>ROUND(I1668*J1668*(1-L1668),2)</x:f>
        <x:v>172.65</x:v>
      </x:c>
      <x:c r="N1668" s="4" t="n">
        <x:f>ROUND(I1668*K1668,2)</x:f>
        <x:v>85</x:v>
      </x:c>
      <x:c r="O1668" s="4" t="n">
        <x:f>ROUND(M1668-N1668,2)</x:f>
        <x:v>87.65</x:v>
      </x:c>
      <x:c r="P1668" s="6" t="n">
        <x:v>4.6</x:v>
      </x:c>
      <x:c r="Q1668" t="str">
        <x:v>No</x:v>
      </x:c>
    </x:row>
    <x:row r="1669">
      <x:c r="A1669" t="str">
        <x:v>ORD-01742</x:v>
      </x:c>
      <x:c r="B1669" s="3" t="n">
        <x:v>45965.272765775466</x:v>
      </x:c>
      <x:c r="C1669" t="str">
        <x:v>2025-11</x:v>
      </x:c>
      <x:c r="D1669" t="str">
        <x:v>CUS-0394</x:v>
      </x:c>
      <x:c r="E1669" t="str">
        <x:v>North East</x:v>
      </x:c>
      <x:c r="F1669" t="str">
        <x:v>Store</x:v>
      </x:c>
      <x:c r="G1669" t="str">
        <x:v>Sports</x:v>
      </x:c>
      <x:c r="H1669" t="str">
        <x:v>Running Shoes</x:v>
      </x:c>
      <x:c r="I1669" t="n">
        <x:v>2</x:v>
      </x:c>
      <x:c r="J1669" s="4" t="n">
        <x:v>82.77</x:v>
      </x:c>
      <x:c r="K1669" s="4" t="n">
        <x:v>38</x:v>
      </x:c>
      <x:c r="L1669" s="5" t="n">
        <x:v>0.05</x:v>
      </x:c>
      <x:c r="M1669" s="4" t="n">
        <x:f>ROUND(I1669*J1669*(1-L1669),2)</x:f>
        <x:v>157.26</x:v>
      </x:c>
      <x:c r="N1669" s="4" t="n">
        <x:f>ROUND(I1669*K1669,2)</x:f>
        <x:v>76</x:v>
      </x:c>
      <x:c r="O1669" s="4" t="n">
        <x:f>ROUND(M1669-N1669,2)</x:f>
        <x:v>81.26</x:v>
      </x:c>
      <x:c r="P1669" s="6" t="n">
        <x:v>3.8</x:v>
      </x:c>
      <x:c r="Q1669" t="str">
        <x:v>No</x:v>
      </x:c>
    </x:row>
    <x:row r="1670">
      <x:c r="A1670" t="str">
        <x:v>ORD-00096</x:v>
      </x:c>
      <x:c r="B1670" s="3" t="n">
        <x:v>45965.597524606485</x:v>
      </x:c>
      <x:c r="C1670" t="str">
        <x:v>2025-11</x:v>
      </x:c>
      <x:c r="D1670" t="str">
        <x:v>CUS-0271</x:v>
      </x:c>
      <x:c r="E1670" t="str">
        <x:v>South West</x:v>
      </x:c>
      <x:c r="F1670" t="str">
        <x:v>Marketplace</x:v>
      </x:c>
      <x:c r="G1670" t="str">
        <x:v>Books</x:v>
      </x:c>
      <x:c r="H1670" t="str">
        <x:v>Data Analytics Handbook</x:v>
      </x:c>
      <x:c r="I1670" t="n">
        <x:v>1</x:v>
      </x:c>
      <x:c r="J1670" s="4" t="n">
        <x:v>41.61</x:v>
      </x:c>
      <x:c r="K1670" s="4" t="n">
        <x:v>14</x:v>
      </x:c>
      <x:c r="L1670" s="5" t="n">
        <x:v>0</x:v>
      </x:c>
      <x:c r="M1670" s="4" t="n">
        <x:f>ROUND(I1670*J1670*(1-L1670),2)</x:f>
        <x:v>41.61</x:v>
      </x:c>
      <x:c r="N1670" s="4" t="n">
        <x:f>ROUND(I1670*K1670,2)</x:f>
        <x:v>14</x:v>
      </x:c>
      <x:c r="O1670" s="4" t="n">
        <x:f>ROUND(M1670-N1670,2)</x:f>
        <x:v>27.61</x:v>
      </x:c>
      <x:c r="P1670" s="6" t="n">
        <x:v>4</x:v>
      </x:c>
      <x:c r="Q1670" t="str">
        <x:v>No</x:v>
      </x:c>
    </x:row>
    <x:row r="1671">
      <x:c r="A1671" t="str">
        <x:v>ORD-01003</x:v>
      </x:c>
      <x:c r="B1671" s="3" t="n">
        <x:v>45965.88128923611</x:v>
      </x:c>
      <x:c r="C1671" t="str">
        <x:v>2025-11</x:v>
      </x:c>
      <x:c r="D1671" t="str">
        <x:v>CUS-0259</x:v>
      </x:c>
      <x:c r="E1671" t="str">
        <x:v>North East</x:v>
      </x:c>
      <x:c r="F1671" t="str">
        <x:v>Online</x:v>
      </x:c>
      <x:c r="G1671" t="str">
        <x:v>Books</x:v>
      </x:c>
      <x:c r="H1671" t="str">
        <x:v>Business Intelligence Guide</x:v>
      </x:c>
      <x:c r="I1671" t="n">
        <x:v>1</x:v>
      </x:c>
      <x:c r="J1671" s="4" t="n">
        <x:v>36.7</x:v>
      </x:c>
      <x:c r="K1671" s="4" t="n">
        <x:v>12</x:v>
      </x:c>
      <x:c r="L1671" s="5" t="n">
        <x:v>0.15</x:v>
      </x:c>
      <x:c r="M1671" s="4" t="n">
        <x:f>ROUND(I1671*J1671*(1-L1671),2)</x:f>
        <x:v>31.2</x:v>
      </x:c>
      <x:c r="N1671" s="4" t="n">
        <x:f>ROUND(I1671*K1671,2)</x:f>
        <x:v>12</x:v>
      </x:c>
      <x:c r="O1671" s="4" t="n">
        <x:f>ROUND(M1671-N1671,2)</x:f>
        <x:v>19.2</x:v>
      </x:c>
      <x:c r="P1671" s="6" t="n">
        <x:v>4.1</x:v>
      </x:c>
      <x:c r="Q1671" t="str">
        <x:v>No</x:v>
      </x:c>
    </x:row>
    <x:row r="1672">
      <x:c r="A1672" t="str">
        <x:v>ORD-01622</x:v>
      </x:c>
      <x:c r="B1672" s="3" t="n">
        <x:v>45966.262783171296</x:v>
      </x:c>
      <x:c r="C1672" t="str">
        <x:v>2025-11</x:v>
      </x:c>
      <x:c r="D1672" t="str">
        <x:v>CUS-0151</x:v>
      </x:c>
      <x:c r="E1672" t="str">
        <x:v>Midlands</x:v>
      </x:c>
      <x:c r="F1672" t="str">
        <x:v>Store</x:v>
      </x:c>
      <x:c r="G1672" t="str">
        <x:v>Beauty</x:v>
      </x:c>
      <x:c r="H1672" t="str">
        <x:v>Hair Dryer</x:v>
      </x:c>
      <x:c r="I1672" t="n">
        <x:v>1</x:v>
      </x:c>
      <x:c r="J1672" s="4" t="n">
        <x:v>58.09</x:v>
      </x:c>
      <x:c r="K1672" s="4" t="n">
        <x:v>29</x:v>
      </x:c>
      <x:c r="L1672" s="5" t="n">
        <x:v>0</x:v>
      </x:c>
      <x:c r="M1672" s="4" t="n">
        <x:f>ROUND(I1672*J1672*(1-L1672),2)</x:f>
        <x:v>58.09</x:v>
      </x:c>
      <x:c r="N1672" s="4" t="n">
        <x:f>ROUND(I1672*K1672,2)</x:f>
        <x:v>29</x:v>
      </x:c>
      <x:c r="O1672" s="4" t="n">
        <x:f>ROUND(M1672-N1672,2)</x:f>
        <x:v>29.09</x:v>
      </x:c>
      <x:c r="P1672" s="6" t="n">
        <x:v>3.8</x:v>
      </x:c>
      <x:c r="Q1672" t="str">
        <x:v>No</x:v>
      </x:c>
    </x:row>
    <x:row r="1673">
      <x:c r="A1673" t="str">
        <x:v>ORD-00154</x:v>
      </x:c>
      <x:c r="B1673" s="3" t="n">
        <x:v>45966.80811278935</x:v>
      </x:c>
      <x:c r="C1673" t="str">
        <x:v>2025-11</x:v>
      </x:c>
      <x:c r="D1673" t="str">
        <x:v>CUS-0370</x:v>
      </x:c>
      <x:c r="E1673" t="str">
        <x:v>Wales</x:v>
      </x:c>
      <x:c r="F1673" t="str">
        <x:v>Store</x:v>
      </x:c>
      <x:c r="G1673" t="str">
        <x:v>Home</x:v>
      </x:c>
      <x:c r="H1673" t="str">
        <x:v>Air Fryer</x:v>
      </x:c>
      <x:c r="I1673" t="n">
        <x:v>1</x:v>
      </x:c>
      <x:c r="J1673" s="4" t="n">
        <x:v>120.76</x:v>
      </x:c>
      <x:c r="K1673" s="4" t="n">
        <x:v>69</x:v>
      </x:c>
      <x:c r="L1673" s="5" t="n">
        <x:v>0.1</x:v>
      </x:c>
      <x:c r="M1673" s="4" t="n">
        <x:f>ROUND(I1673*J1673*(1-L1673),2)</x:f>
        <x:v>108.68</x:v>
      </x:c>
      <x:c r="N1673" s="4" t="n">
        <x:f>ROUND(I1673*K1673,2)</x:f>
        <x:v>69</x:v>
      </x:c>
      <x:c r="O1673" s="4" t="n">
        <x:f>ROUND(M1673-N1673,2)</x:f>
        <x:v>39.68</x:v>
      </x:c>
      <x:c r="P1673" s="6" t="n">
        <x:v>5</x:v>
      </x:c>
      <x:c r="Q1673" t="str">
        <x:v>No</x:v>
      </x:c>
    </x:row>
    <x:row r="1674">
      <x:c r="A1674" t="str">
        <x:v>ORD-01301</x:v>
      </x:c>
      <x:c r="B1674" s="3" t="n">
        <x:v>45966.86821799768</x:v>
      </x:c>
      <x:c r="C1674" t="str">
        <x:v>2025-11</x:v>
      </x:c>
      <x:c r="D1674" t="str">
        <x:v>CUS-0138</x:v>
      </x:c>
      <x:c r="E1674" t="str">
        <x:v>North West</x:v>
      </x:c>
      <x:c r="F1674" t="str">
        <x:v>Store</x:v>
      </x:c>
      <x:c r="G1674" t="str">
        <x:v>Home</x:v>
      </x:c>
      <x:c r="H1674" t="str">
        <x:v>Desk Lamp</x:v>
      </x:c>
      <x:c r="I1674" t="n">
        <x:v>4</x:v>
      </x:c>
      <x:c r="J1674" s="4" t="n">
        <x:v>35.56</x:v>
      </x:c>
      <x:c r="K1674" s="4" t="n">
        <x:v>17</x:v>
      </x:c>
      <x:c r="L1674" s="5" t="n">
        <x:v>0</x:v>
      </x:c>
      <x:c r="M1674" s="4" t="n">
        <x:f>ROUND(I1674*J1674*(1-L1674),2)</x:f>
        <x:v>142.24</x:v>
      </x:c>
      <x:c r="N1674" s="4" t="n">
        <x:f>ROUND(I1674*K1674,2)</x:f>
        <x:v>68</x:v>
      </x:c>
      <x:c r="O1674" s="4" t="n">
        <x:f>ROUND(M1674-N1674,2)</x:f>
        <x:v>74.24</x:v>
      </x:c>
      <x:c r="P1674" s="6" t="n">
        <x:v>4.1</x:v>
      </x:c>
      <x:c r="Q1674" t="str">
        <x:v>No</x:v>
      </x:c>
    </x:row>
    <x:row r="1675">
      <x:c r="A1675" t="str">
        <x:v>ORD-00128</x:v>
      </x:c>
      <x:c r="B1675" s="3" t="n">
        <x:v>45967.21354853009</x:v>
      </x:c>
      <x:c r="C1675" t="str">
        <x:v>2025-11</x:v>
      </x:c>
      <x:c r="D1675" t="str">
        <x:v>CUS-0100</x:v>
      </x:c>
      <x:c r="E1675" t="str">
        <x:v>North West</x:v>
      </x:c>
      <x:c r="F1675" t="str">
        <x:v>Store</x:v>
      </x:c>
      <x:c r="G1675" t="str">
        <x:v>Fashion</x:v>
      </x:c>
      <x:c r="H1675" t="str">
        <x:v>Classic Trainers</x:v>
      </x:c>
      <x:c r="I1675" t="n">
        <x:v>5</x:v>
      </x:c>
      <x:c r="J1675" s="4" t="n">
        <x:v>73.21</x:v>
      </x:c>
      <x:c r="K1675" s="4" t="n">
        <x:v>32</x:v>
      </x:c>
      <x:c r="L1675" s="5" t="n">
        <x:v>0.1</x:v>
      </x:c>
      <x:c r="M1675" s="4" t="n">
        <x:f>ROUND(I1675*J1675*(1-L1675),2)</x:f>
        <x:v>329.45</x:v>
      </x:c>
      <x:c r="N1675" s="4" t="n">
        <x:f>ROUND(I1675*K1675,2)</x:f>
        <x:v>160</x:v>
      </x:c>
      <x:c r="O1675" s="4" t="n">
        <x:f>ROUND(M1675-N1675,2)</x:f>
        <x:v>169.45</x:v>
      </x:c>
      <x:c r="P1675" s="6" t="n">
        <x:v>4.4</x:v>
      </x:c>
      <x:c r="Q1675" t="str">
        <x:v>No</x:v>
      </x:c>
    </x:row>
    <x:row r="1676">
      <x:c r="A1676" t="str">
        <x:v>ORD-00367</x:v>
      </x:c>
      <x:c r="B1676" s="3" t="n">
        <x:v>45967.26141752315</x:v>
      </x:c>
      <x:c r="C1676" t="str">
        <x:v>2025-11</x:v>
      </x:c>
      <x:c r="D1676" t="str">
        <x:v>CUS-0352</x:v>
      </x:c>
      <x:c r="E1676" t="str">
        <x:v>South East</x:v>
      </x:c>
      <x:c r="F1676" t="str">
        <x:v>Marketplace</x:v>
      </x:c>
      <x:c r="G1676" t="str">
        <x:v>Books</x:v>
      </x:c>
      <x:c r="H1676" t="str">
        <x:v>Data Analytics Handbook</x:v>
      </x:c>
      <x:c r="I1676" t="n">
        <x:v>3</x:v>
      </x:c>
      <x:c r="J1676" s="4" t="n">
        <x:v>38.69</x:v>
      </x:c>
      <x:c r="K1676" s="4" t="n">
        <x:v>14</x:v>
      </x:c>
      <x:c r="L1676" s="5" t="n">
        <x:v>0.05</x:v>
      </x:c>
      <x:c r="M1676" s="4" t="n">
        <x:f>ROUND(I1676*J1676*(1-L1676),2)</x:f>
        <x:v>110.27</x:v>
      </x:c>
      <x:c r="N1676" s="4" t="n">
        <x:f>ROUND(I1676*K1676,2)</x:f>
        <x:v>42</x:v>
      </x:c>
      <x:c r="O1676" s="4" t="n">
        <x:f>ROUND(M1676-N1676,2)</x:f>
        <x:v>68.27</x:v>
      </x:c>
      <x:c r="P1676" s="6" t="n">
        <x:v>4.8</x:v>
      </x:c>
      <x:c r="Q1676" t="str">
        <x:v>No</x:v>
      </x:c>
    </x:row>
    <x:row r="1677">
      <x:c r="A1677" t="str">
        <x:v>ORD-00605</x:v>
      </x:c>
      <x:c r="B1677" s="3" t="n">
        <x:v>45967.94678107639</x:v>
      </x:c>
      <x:c r="C1677" t="str">
        <x:v>2025-11</x:v>
      </x:c>
      <x:c r="D1677" t="str">
        <x:v>CUS-0548</x:v>
      </x:c>
      <x:c r="E1677" t="str">
        <x:v>North East</x:v>
      </x:c>
      <x:c r="F1677" t="str">
        <x:v>Store</x:v>
      </x:c>
      <x:c r="G1677" t="str">
        <x:v>Fashion</x:v>
      </x:c>
      <x:c r="H1677" t="str">
        <x:v>Backpack</x:v>
      </x:c>
      <x:c r="I1677" t="n">
        <x:v>3</x:v>
      </x:c>
      <x:c r="J1677" s="4" t="n">
        <x:v>47.71</x:v>
      </x:c>
      <x:c r="K1677" s="4" t="n">
        <x:v>21</x:v>
      </x:c>
      <x:c r="L1677" s="5" t="n">
        <x:v>0.05</x:v>
      </x:c>
      <x:c r="M1677" s="4" t="n">
        <x:f>ROUND(I1677*J1677*(1-L1677),2)</x:f>
        <x:v>135.97</x:v>
      </x:c>
      <x:c r="N1677" s="4" t="n">
        <x:f>ROUND(I1677*K1677,2)</x:f>
        <x:v>63</x:v>
      </x:c>
      <x:c r="O1677" s="4" t="n">
        <x:f>ROUND(M1677-N1677,2)</x:f>
        <x:v>72.97</x:v>
      </x:c>
      <x:c r="P1677" s="6" t="n">
        <x:v>4.6</x:v>
      </x:c>
      <x:c r="Q1677" t="str">
        <x:v>No</x:v>
      </x:c>
    </x:row>
    <x:row r="1678">
      <x:c r="A1678" t="str">
        <x:v>ORD-01747</x:v>
      </x:c>
      <x:c r="B1678" s="3" t="n">
        <x:v>45968.00187396991</x:v>
      </x:c>
      <x:c r="C1678" t="str">
        <x:v>2025-11</x:v>
      </x:c>
      <x:c r="D1678" t="str">
        <x:v>CUS-0141</x:v>
      </x:c>
      <x:c r="E1678" t="str">
        <x:v>Scotland</x:v>
      </x:c>
      <x:c r="F1678" t="str">
        <x:v>Store</x:v>
      </x:c>
      <x:c r="G1678" t="str">
        <x:v>Home</x:v>
      </x:c>
      <x:c r="H1678" t="str">
        <x:v>Air Fryer</x:v>
      </x:c>
      <x:c r="I1678" t="n">
        <x:v>2</x:v>
      </x:c>
      <x:c r="J1678" s="4" t="n">
        <x:v>120.33</x:v>
      </x:c>
      <x:c r="K1678" s="4" t="n">
        <x:v>69</x:v>
      </x:c>
      <x:c r="L1678" s="5" t="n">
        <x:v>0.15</x:v>
      </x:c>
      <x:c r="M1678" s="4" t="n">
        <x:f>ROUND(I1678*J1678*(1-L1678),2)</x:f>
        <x:v>204.56</x:v>
      </x:c>
      <x:c r="N1678" s="4" t="n">
        <x:f>ROUND(I1678*K1678,2)</x:f>
        <x:v>138</x:v>
      </x:c>
      <x:c r="O1678" s="4" t="n">
        <x:f>ROUND(M1678-N1678,2)</x:f>
        <x:v>66.56</x:v>
      </x:c>
      <x:c r="P1678" s="6" t="n">
        <x:v>3.3</x:v>
      </x:c>
      <x:c r="Q1678" t="str">
        <x:v>No</x:v>
      </x:c>
    </x:row>
    <x:row r="1679">
      <x:c r="A1679" t="str">
        <x:v>ORD-01121</x:v>
      </x:c>
      <x:c r="B1679" s="3" t="n">
        <x:v>45968.171573148145</x:v>
      </x:c>
      <x:c r="C1679" t="str">
        <x:v>2025-11</x:v>
      </x:c>
      <x:c r="D1679" t="str">
        <x:v>CUS-0415</x:v>
      </x:c>
      <x:c r="E1679" t="str">
        <x:v>Wales</x:v>
      </x:c>
      <x:c r="F1679" t="str">
        <x:v>Marketplace</x:v>
      </x:c>
      <x:c r="G1679" t="str">
        <x:v>Home</x:v>
      </x:c>
      <x:c r="H1679" t="str">
        <x:v>Coffee Maker</x:v>
      </x:c>
      <x:c r="I1679" t="n">
        <x:v>3</x:v>
      </x:c>
      <x:c r="J1679" s="4" t="n">
        <x:v>76.53</x:v>
      </x:c>
      <x:c r="K1679" s="4" t="n">
        <x:v>41</x:v>
      </x:c>
      <x:c r="L1679" s="5" t="n">
        <x:v>0.15</x:v>
      </x:c>
      <x:c r="M1679" s="4" t="n">
        <x:f>ROUND(I1679*J1679*(1-L1679),2)</x:f>
        <x:v>195.15</x:v>
      </x:c>
      <x:c r="N1679" s="4" t="n">
        <x:f>ROUND(I1679*K1679,2)</x:f>
        <x:v>123</x:v>
      </x:c>
      <x:c r="O1679" s="4" t="n">
        <x:f>ROUND(M1679-N1679,2)</x:f>
        <x:v>72.15</x:v>
      </x:c>
      <x:c r="P1679" s="6" t="n">
        <x:v>4.5</x:v>
      </x:c>
      <x:c r="Q1679" t="str">
        <x:v>Yes</x:v>
      </x:c>
    </x:row>
    <x:row r="1680">
      <x:c r="A1680" t="str">
        <x:v>ORD-01173</x:v>
      </x:c>
      <x:c r="B1680" s="3" t="n">
        <x:v>45968.79277032407</x:v>
      </x:c>
      <x:c r="C1680" t="str">
        <x:v>2025-11</x:v>
      </x:c>
      <x:c r="D1680" t="str">
        <x:v>CUS-0099</x:v>
      </x:c>
      <x:c r="E1680" t="str">
        <x:v>South East</x:v>
      </x:c>
      <x:c r="F1680" t="str">
        <x:v>Online</x:v>
      </x:c>
      <x:c r="G1680" t="str">
        <x:v>Fashion</x:v>
      </x:c>
      <x:c r="H1680" t="str">
        <x:v>Backpack</x:v>
      </x:c>
      <x:c r="I1680" t="n">
        <x:v>4</x:v>
      </x:c>
      <x:c r="J1680" s="4" t="n">
        <x:v>47.53</x:v>
      </x:c>
      <x:c r="K1680" s="4" t="n">
        <x:v>21</x:v>
      </x:c>
      <x:c r="L1680" s="5" t="n">
        <x:v>0.2</x:v>
      </x:c>
      <x:c r="M1680" s="4" t="n">
        <x:f>ROUND(I1680*J1680*(1-L1680),2)</x:f>
        <x:v>152.1</x:v>
      </x:c>
      <x:c r="N1680" s="4" t="n">
        <x:f>ROUND(I1680*K1680,2)</x:f>
        <x:v>84</x:v>
      </x:c>
      <x:c r="O1680" s="4" t="n">
        <x:f>ROUND(M1680-N1680,2)</x:f>
        <x:v>68.1</x:v>
      </x:c>
      <x:c r="P1680" s="6" t="n">
        <x:v>4.2</x:v>
      </x:c>
      <x:c r="Q1680" t="str">
        <x:v>No</x:v>
      </x:c>
    </x:row>
    <x:row r="1681">
      <x:c r="A1681" t="str">
        <x:v>ORD-01260</x:v>
      </x:c>
      <x:c r="B1681" s="3" t="n">
        <x:v>45968.89373408565</x:v>
      </x:c>
      <x:c r="C1681" t="str">
        <x:v>2025-11</x:v>
      </x:c>
      <x:c r="D1681" t="str">
        <x:v>CUS-0397</x:v>
      </x:c>
      <x:c r="E1681" t="str">
        <x:v>South East</x:v>
      </x:c>
      <x:c r="F1681" t="str">
        <x:v>Online</x:v>
      </x:c>
      <x:c r="G1681" t="str">
        <x:v>Beauty</x:v>
      </x:c>
      <x:c r="H1681" t="str">
        <x:v>Hair Dryer</x:v>
      </x:c>
      <x:c r="I1681" t="n">
        <x:v>5</x:v>
      </x:c>
      <x:c r="J1681" s="4" t="n">
        <x:v>60.25</x:v>
      </x:c>
      <x:c r="K1681" s="4" t="n">
        <x:v>29</x:v>
      </x:c>
      <x:c r="L1681" s="5" t="n">
        <x:v>0.15</x:v>
      </x:c>
      <x:c r="M1681" s="4" t="n">
        <x:f>ROUND(I1681*J1681*(1-L1681),2)</x:f>
        <x:v>256.06</x:v>
      </x:c>
      <x:c r="N1681" s="4" t="n">
        <x:f>ROUND(I1681*K1681,2)</x:f>
        <x:v>145</x:v>
      </x:c>
      <x:c r="O1681" s="4" t="n">
        <x:f>ROUND(M1681-N1681,2)</x:f>
        <x:v>111.06</x:v>
      </x:c>
      <x:c r="P1681" s="6" t="n">
        <x:v>3.5</x:v>
      </x:c>
      <x:c r="Q1681" t="str">
        <x:v>No</x:v>
      </x:c>
    </x:row>
    <x:row r="1682">
      <x:c r="A1682" t="str">
        <x:v>ORD-00708</x:v>
      </x:c>
      <x:c r="B1682" s="3" t="n">
        <x:v>45969.53346846065</x:v>
      </x:c>
      <x:c r="C1682" t="str">
        <x:v>2025-11</x:v>
      </x:c>
      <x:c r="D1682" t="str">
        <x:v>CUS-0467</x:v>
      </x:c>
      <x:c r="E1682" t="str">
        <x:v>South West</x:v>
      </x:c>
      <x:c r="F1682" t="str">
        <x:v>Marketplace</x:v>
      </x:c>
      <x:c r="G1682" t="str">
        <x:v>Sports</x:v>
      </x:c>
      <x:c r="H1682" t="str">
        <x:v>Fitness Tracker</x:v>
      </x:c>
      <x:c r="I1682" t="n">
        <x:v>4</x:v>
      </x:c>
      <x:c r="J1682" s="4" t="n">
        <x:v>57.73</x:v>
      </x:c>
      <x:c r="K1682" s="4" t="n">
        <x:v>27</x:v>
      </x:c>
      <x:c r="L1682" s="5" t="n">
        <x:v>0.2</x:v>
      </x:c>
      <x:c r="M1682" s="4" t="n">
        <x:f>ROUND(I1682*J1682*(1-L1682),2)</x:f>
        <x:v>184.74</x:v>
      </x:c>
      <x:c r="N1682" s="4" t="n">
        <x:f>ROUND(I1682*K1682,2)</x:f>
        <x:v>108</x:v>
      </x:c>
      <x:c r="O1682" s="4" t="n">
        <x:f>ROUND(M1682-N1682,2)</x:f>
        <x:v>76.74</x:v>
      </x:c>
      <x:c r="P1682" s="6" t="n">
        <x:v>4.2</x:v>
      </x:c>
      <x:c r="Q1682" t="str">
        <x:v>No</x:v>
      </x:c>
    </x:row>
    <x:row r="1683">
      <x:c r="A1683" t="str">
        <x:v>ORD-01763</x:v>
      </x:c>
      <x:c r="B1683" s="3" t="n">
        <x:v>45970.917708229164</x:v>
      </x:c>
      <x:c r="C1683" t="str">
        <x:v>2025-11</x:v>
      </x:c>
      <x:c r="D1683" t="str">
        <x:v>CUS-0427</x:v>
      </x:c>
      <x:c r="E1683" t="str">
        <x:v>Wales</x:v>
      </x:c>
      <x:c r="F1683" t="str">
        <x:v>Store</x:v>
      </x:c>
      <x:c r="G1683" t="str">
        <x:v>Beauty</x:v>
      </x:c>
      <x:c r="H1683" t="str">
        <x:v>Hair Dryer</x:v>
      </x:c>
      <x:c r="I1683" t="n">
        <x:v>1</x:v>
      </x:c>
      <x:c r="J1683" s="4" t="n">
        <x:v>60.66</x:v>
      </x:c>
      <x:c r="K1683" s="4" t="n">
        <x:v>29</x:v>
      </x:c>
      <x:c r="L1683" s="5" t="n">
        <x:v>0.15</x:v>
      </x:c>
      <x:c r="M1683" s="4" t="n">
        <x:f>ROUND(I1683*J1683*(1-L1683),2)</x:f>
        <x:v>51.56</x:v>
      </x:c>
      <x:c r="N1683" s="4" t="n">
        <x:f>ROUND(I1683*K1683,2)</x:f>
        <x:v>29</x:v>
      </x:c>
      <x:c r="O1683" s="4" t="n">
        <x:f>ROUND(M1683-N1683,2)</x:f>
        <x:v>22.56</x:v>
      </x:c>
      <x:c r="P1683" s="6" t="n">
        <x:v>4.5</x:v>
      </x:c>
      <x:c r="Q1683" t="str">
        <x:v>No</x:v>
      </x:c>
    </x:row>
    <x:row r="1684">
      <x:c r="A1684" t="str">
        <x:v>ORD-00339</x:v>
      </x:c>
      <x:c r="B1684" s="3" t="n">
        <x:v>45972.524143333336</x:v>
      </x:c>
      <x:c r="C1684" t="str">
        <x:v>2025-11</x:v>
      </x:c>
      <x:c r="D1684" t="str">
        <x:v>CUS-0017</x:v>
      </x:c>
      <x:c r="E1684" t="str">
        <x:v>South East</x:v>
      </x:c>
      <x:c r="F1684" t="str">
        <x:v>Store</x:v>
      </x:c>
      <x:c r="G1684" t="str">
        <x:v>Beauty</x:v>
      </x:c>
      <x:c r="H1684" t="str">
        <x:v>Skin Care Set</x:v>
      </x:c>
      <x:c r="I1684" t="n">
        <x:v>4</x:v>
      </x:c>
      <x:c r="J1684" s="4" t="n">
        <x:v>44.31</x:v>
      </x:c>
      <x:c r="K1684" s="4" t="n">
        <x:v>18</x:v>
      </x:c>
      <x:c r="L1684" s="5" t="n">
        <x:v>0.15</x:v>
      </x:c>
      <x:c r="M1684" s="4" t="n">
        <x:f>ROUND(I1684*J1684*(1-L1684),2)</x:f>
        <x:v>150.65</x:v>
      </x:c>
      <x:c r="N1684" s="4" t="n">
        <x:f>ROUND(I1684*K1684,2)</x:f>
        <x:v>72</x:v>
      </x:c>
      <x:c r="O1684" s="4" t="n">
        <x:f>ROUND(M1684-N1684,2)</x:f>
        <x:v>78.65</x:v>
      </x:c>
      <x:c r="P1684" s="6" t="n">
        <x:v>4.2</x:v>
      </x:c>
      <x:c r="Q1684" t="str">
        <x:v>No</x:v>
      </x:c>
    </x:row>
    <x:row r="1685">
      <x:c r="A1685" t="str">
        <x:v>ORD-00388</x:v>
      </x:c>
      <x:c r="B1685" s="3" t="n">
        <x:v>45973.11904636574</x:v>
      </x:c>
      <x:c r="C1685" t="str">
        <x:v>2025-11</x:v>
      </x:c>
      <x:c r="D1685" t="str">
        <x:v>CUS-0141</x:v>
      </x:c>
      <x:c r="E1685" t="str">
        <x:v>South West</x:v>
      </x:c>
      <x:c r="F1685" t="str">
        <x:v>Store</x:v>
      </x:c>
      <x:c r="G1685" t="str">
        <x:v>Home</x:v>
      </x:c>
      <x:c r="H1685" t="str">
        <x:v>Air Fryer</x:v>
      </x:c>
      <x:c r="I1685" t="n">
        <x:v>5</x:v>
      </x:c>
      <x:c r="J1685" s="4" t="n">
        <x:v>115.75</x:v>
      </x:c>
      <x:c r="K1685" s="4" t="n">
        <x:v>69</x:v>
      </x:c>
      <x:c r="L1685" s="5" t="n">
        <x:v>0</x:v>
      </x:c>
      <x:c r="M1685" s="4" t="n">
        <x:f>ROUND(I1685*J1685*(1-L1685),2)</x:f>
        <x:v>578.75</x:v>
      </x:c>
      <x:c r="N1685" s="4" t="n">
        <x:f>ROUND(I1685*K1685,2)</x:f>
        <x:v>345</x:v>
      </x:c>
      <x:c r="O1685" s="4" t="n">
        <x:f>ROUND(M1685-N1685,2)</x:f>
        <x:v>233.75</x:v>
      </x:c>
      <x:c r="P1685" s="6" t="n">
        <x:v>4.6</x:v>
      </x:c>
      <x:c r="Q1685" t="str">
        <x:v>No</x:v>
      </x:c>
    </x:row>
    <x:row r="1686">
      <x:c r="A1686" t="str">
        <x:v>ORD-00158</x:v>
      </x:c>
      <x:c r="B1686" s="3" t="n">
        <x:v>45973.25430493055</x:v>
      </x:c>
      <x:c r="C1686" t="str">
        <x:v>2025-11</x:v>
      </x:c>
      <x:c r="D1686" t="str">
        <x:v>CUS-0479</x:v>
      </x:c>
      <x:c r="E1686" t="str">
        <x:v>South East</x:v>
      </x:c>
      <x:c r="F1686" t="str">
        <x:v>Online</x:v>
      </x:c>
      <x:c r="G1686" t="str">
        <x:v>Fashion</x:v>
      </x:c>
      <x:c r="H1686" t="str">
        <x:v>Classic Trainers</x:v>
      </x:c>
      <x:c r="I1686" t="n">
        <x:v>3</x:v>
      </x:c>
      <x:c r="J1686" s="4" t="n">
        <x:v>70.85</x:v>
      </x:c>
      <x:c r="K1686" s="4" t="n">
        <x:v>32</x:v>
      </x:c>
      <x:c r="L1686" s="5" t="n">
        <x:v>0</x:v>
      </x:c>
      <x:c r="M1686" s="4" t="n">
        <x:f>ROUND(I1686*J1686*(1-L1686),2)</x:f>
        <x:v>212.55</x:v>
      </x:c>
      <x:c r="N1686" s="4" t="n">
        <x:f>ROUND(I1686*K1686,2)</x:f>
        <x:v>96</x:v>
      </x:c>
      <x:c r="O1686" s="4" t="n">
        <x:f>ROUND(M1686-N1686,2)</x:f>
        <x:v>116.55</x:v>
      </x:c>
      <x:c r="P1686" s="6" t="n">
        <x:v>5</x:v>
      </x:c>
      <x:c r="Q1686" t="str">
        <x:v>No</x:v>
      </x:c>
    </x:row>
    <x:row r="1687">
      <x:c r="A1687" t="str">
        <x:v>ORD-01581</x:v>
      </x:c>
      <x:c r="B1687" s="3" t="n">
        <x:v>45973.332561180556</x:v>
      </x:c>
      <x:c r="C1687" t="str">
        <x:v>2025-11</x:v>
      </x:c>
      <x:c r="D1687" t="str">
        <x:v>CUS-0437</x:v>
      </x:c>
      <x:c r="E1687" t="str">
        <x:v>South East</x:v>
      </x:c>
      <x:c r="F1687" t="str">
        <x:v>Marketplace</x:v>
      </x:c>
      <x:c r="G1687" t="str">
        <x:v>Electronics</x:v>
      </x:c>
      <x:c r="H1687" t="str">
        <x:v>Bluetooth Speaker</x:v>
      </x:c>
      <x:c r="I1687" t="n">
        <x:v>3</x:v>
      </x:c>
      <x:c r="J1687" s="4" t="n">
        <x:v>66.76</x:v>
      </x:c>
      <x:c r="K1687" s="4" t="n">
        <x:v>34</x:v>
      </x:c>
      <x:c r="L1687" s="5" t="n">
        <x:v>0</x:v>
      </x:c>
      <x:c r="M1687" s="4" t="n">
        <x:f>ROUND(I1687*J1687*(1-L1687),2)</x:f>
        <x:v>200.28</x:v>
      </x:c>
      <x:c r="N1687" s="4" t="n">
        <x:f>ROUND(I1687*K1687,2)</x:f>
        <x:v>102</x:v>
      </x:c>
      <x:c r="O1687" s="4" t="n">
        <x:f>ROUND(M1687-N1687,2)</x:f>
        <x:v>98.28</x:v>
      </x:c>
      <x:c r="P1687" s="6" t="n">
        <x:v>4.4</x:v>
      </x:c>
      <x:c r="Q1687" t="str">
        <x:v>No</x:v>
      </x:c>
    </x:row>
    <x:row r="1688">
      <x:c r="A1688" t="str">
        <x:v>ORD-01091</x:v>
      </x:c>
      <x:c r="B1688" s="3" t="n">
        <x:v>45974.03907399306</x:v>
      </x:c>
      <x:c r="C1688" t="str">
        <x:v>2025-11</x:v>
      </x:c>
      <x:c r="D1688" t="str">
        <x:v>CUS-0509</x:v>
      </x:c>
      <x:c r="E1688" t="str">
        <x:v>Wales</x:v>
      </x:c>
      <x:c r="F1688" t="str">
        <x:v>Store</x:v>
      </x:c>
      <x:c r="G1688" t="str">
        <x:v>Electronics</x:v>
      </x:c>
      <x:c r="H1688" t="str">
        <x:v>Smart Watch</x:v>
      </x:c>
      <x:c r="I1688" t="n">
        <x:v>1</x:v>
      </x:c>
      <x:c r="J1688" s="4" t="n">
        <x:v>162.57</x:v>
      </x:c>
      <x:c r="K1688" s="4" t="n">
        <x:v>92</x:v>
      </x:c>
      <x:c r="L1688" s="5" t="n">
        <x:v>0.15</x:v>
      </x:c>
      <x:c r="M1688" s="4" t="n">
        <x:f>ROUND(I1688*J1688*(1-L1688),2)</x:f>
        <x:v>138.18</x:v>
      </x:c>
      <x:c r="N1688" s="4" t="n">
        <x:f>ROUND(I1688*K1688,2)</x:f>
        <x:v>92</x:v>
      </x:c>
      <x:c r="O1688" s="4" t="n">
        <x:f>ROUND(M1688-N1688,2)</x:f>
        <x:v>46.18</x:v>
      </x:c>
      <x:c r="P1688" s="6" t="n">
        <x:v>3.6</x:v>
      </x:c>
      <x:c r="Q1688" t="str">
        <x:v>No</x:v>
      </x:c>
    </x:row>
    <x:row r="1689">
      <x:c r="A1689" t="str">
        <x:v>ORD-01045</x:v>
      </x:c>
      <x:c r="B1689" s="3" t="n">
        <x:v>45974.14810877315</x:v>
      </x:c>
      <x:c r="C1689" t="str">
        <x:v>2025-11</x:v>
      </x:c>
      <x:c r="D1689" t="str">
        <x:v>CUS-0325</x:v>
      </x:c>
      <x:c r="E1689" t="str">
        <x:v>Midlands</x:v>
      </x:c>
      <x:c r="F1689" t="str">
        <x:v>Store</x:v>
      </x:c>
      <x:c r="G1689" t="str">
        <x:v>Fashion</x:v>
      </x:c>
      <x:c r="H1689" t="str">
        <x:v>Classic Trainers</x:v>
      </x:c>
      <x:c r="I1689" t="n">
        <x:v>2</x:v>
      </x:c>
      <x:c r="J1689" s="4" t="n">
        <x:v>73.18</x:v>
      </x:c>
      <x:c r="K1689" s="4" t="n">
        <x:v>32</x:v>
      </x:c>
      <x:c r="L1689" s="5" t="n">
        <x:v>0.1</x:v>
      </x:c>
      <x:c r="M1689" s="4" t="n">
        <x:f>ROUND(I1689*J1689*(1-L1689),2)</x:f>
        <x:v>131.72</x:v>
      </x:c>
      <x:c r="N1689" s="4" t="n">
        <x:f>ROUND(I1689*K1689,2)</x:f>
        <x:v>64</x:v>
      </x:c>
      <x:c r="O1689" s="4" t="n">
        <x:f>ROUND(M1689-N1689,2)</x:f>
        <x:v>67.72</x:v>
      </x:c>
      <x:c r="P1689" s="6" t="n">
        <x:v>4.5</x:v>
      </x:c>
      <x:c r="Q1689" t="str">
        <x:v>No</x:v>
      </x:c>
    </x:row>
    <x:row r="1690">
      <x:c r="A1690" t="str">
        <x:v>ORD-00364</x:v>
      </x:c>
      <x:c r="B1690" s="3" t="n">
        <x:v>45974.57636521991</x:v>
      </x:c>
      <x:c r="C1690" t="str">
        <x:v>2025-11</x:v>
      </x:c>
      <x:c r="D1690" t="str">
        <x:v>CUS-0439</x:v>
      </x:c>
      <x:c r="E1690" t="str">
        <x:v>Wales</x:v>
      </x:c>
      <x:c r="F1690" t="str">
        <x:v>Store</x:v>
      </x:c>
      <x:c r="G1690" t="str">
        <x:v>Home</x:v>
      </x:c>
      <x:c r="H1690" t="str">
        <x:v>Coffee Maker</x:v>
      </x:c>
      <x:c r="I1690" t="n">
        <x:v>3</x:v>
      </x:c>
      <x:c r="J1690" s="4" t="n">
        <x:v>74.17</x:v>
      </x:c>
      <x:c r="K1690" s="4" t="n">
        <x:v>41</x:v>
      </x:c>
      <x:c r="L1690" s="5" t="n">
        <x:v>0.05</x:v>
      </x:c>
      <x:c r="M1690" s="4" t="n">
        <x:f>ROUND(I1690*J1690*(1-L1690),2)</x:f>
        <x:v>211.38</x:v>
      </x:c>
      <x:c r="N1690" s="4" t="n">
        <x:f>ROUND(I1690*K1690,2)</x:f>
        <x:v>123</x:v>
      </x:c>
      <x:c r="O1690" s="4" t="n">
        <x:f>ROUND(M1690-N1690,2)</x:f>
        <x:v>88.38</x:v>
      </x:c>
      <x:c r="P1690" s="6" t="n">
        <x:v>3.2</x:v>
      </x:c>
      <x:c r="Q1690" t="str">
        <x:v>No</x:v>
      </x:c>
    </x:row>
    <x:row r="1691">
      <x:c r="A1691" t="str">
        <x:v>ORD-01324</x:v>
      </x:c>
      <x:c r="B1691" s="3" t="n">
        <x:v>45974.634126585646</x:v>
      </x:c>
      <x:c r="C1691" t="str">
        <x:v>2025-11</x:v>
      </x:c>
      <x:c r="D1691" t="str">
        <x:v>CUS-0206</x:v>
      </x:c>
      <x:c r="E1691" t="str">
        <x:v>North East</x:v>
      </x:c>
      <x:c r="F1691" t="str">
        <x:v>Online</x:v>
      </x:c>
      <x:c r="G1691" t="str">
        <x:v>Books</x:v>
      </x:c>
      <x:c r="H1691" t="str">
        <x:v>Data Analytics Handbook</x:v>
      </x:c>
      <x:c r="I1691" t="n">
        <x:v>2</x:v>
      </x:c>
      <x:c r="J1691" s="4" t="n">
        <x:v>38.12</x:v>
      </x:c>
      <x:c r="K1691" s="4" t="n">
        <x:v>14</x:v>
      </x:c>
      <x:c r="L1691" s="5" t="n">
        <x:v>0.15</x:v>
      </x:c>
      <x:c r="M1691" s="4" t="n">
        <x:f>ROUND(I1691*J1691*(1-L1691),2)</x:f>
        <x:v>64.8</x:v>
      </x:c>
      <x:c r="N1691" s="4" t="n">
        <x:f>ROUND(I1691*K1691,2)</x:f>
        <x:v>28</x:v>
      </x:c>
      <x:c r="O1691" s="4" t="n">
        <x:f>ROUND(M1691-N1691,2)</x:f>
        <x:v>36.8</x:v>
      </x:c>
      <x:c r="P1691" s="6" t="n">
        <x:v>5</x:v>
      </x:c>
      <x:c r="Q1691" t="str">
        <x:v>No</x:v>
      </x:c>
    </x:row>
    <x:row r="1692">
      <x:c r="A1692" t="str">
        <x:v>ORD-01298</x:v>
      </x:c>
      <x:c r="B1692" s="3" t="n">
        <x:v>45975.48937221065</x:v>
      </x:c>
      <x:c r="C1692" t="str">
        <x:v>2025-11</x:v>
      </x:c>
      <x:c r="D1692" t="str">
        <x:v>CUS-0549</x:v>
      </x:c>
      <x:c r="E1692" t="str">
        <x:v>Midlands</x:v>
      </x:c>
      <x:c r="F1692" t="str">
        <x:v>Store</x:v>
      </x:c>
      <x:c r="G1692" t="str">
        <x:v>Electronics</x:v>
      </x:c>
      <x:c r="H1692" t="str">
        <x:v>Wireless Headphones</x:v>
      </x:c>
      <x:c r="I1692" t="n">
        <x:v>1</x:v>
      </x:c>
      <x:c r="J1692" s="4" t="n">
        <x:v>93.65</x:v>
      </x:c>
      <x:c r="K1692" s="4" t="n">
        <x:v>48</x:v>
      </x:c>
      <x:c r="L1692" s="5" t="n">
        <x:v>0.05</x:v>
      </x:c>
      <x:c r="M1692" s="4" t="n">
        <x:f>ROUND(I1692*J1692*(1-L1692),2)</x:f>
        <x:v>88.97</x:v>
      </x:c>
      <x:c r="N1692" s="4" t="n">
        <x:f>ROUND(I1692*K1692,2)</x:f>
        <x:v>48</x:v>
      </x:c>
      <x:c r="O1692" s="4" t="n">
        <x:f>ROUND(M1692-N1692,2)</x:f>
        <x:v>40.97</x:v>
      </x:c>
      <x:c r="P1692" s="6" t="n">
        <x:v>4.2</x:v>
      </x:c>
      <x:c r="Q1692" t="str">
        <x:v>No</x:v>
      </x:c>
    </x:row>
    <x:row r="1693">
      <x:c r="A1693" t="str">
        <x:v>ORD-01233</x:v>
      </x:c>
      <x:c r="B1693" s="3" t="n">
        <x:v>45975.7153115625</x:v>
      </x:c>
      <x:c r="C1693" t="str">
        <x:v>2025-11</x:v>
      </x:c>
      <x:c r="D1693" t="str">
        <x:v>CUS-0106</x:v>
      </x:c>
      <x:c r="E1693" t="str">
        <x:v>Scotland</x:v>
      </x:c>
      <x:c r="F1693" t="str">
        <x:v>Marketplace</x:v>
      </x:c>
      <x:c r="G1693" t="str">
        <x:v>Home</x:v>
      </x:c>
      <x:c r="H1693" t="str">
        <x:v>Coffee Maker</x:v>
      </x:c>
      <x:c r="I1693" t="n">
        <x:v>2</x:v>
      </x:c>
      <x:c r="J1693" s="4" t="n">
        <x:v>74.45</x:v>
      </x:c>
      <x:c r="K1693" s="4" t="n">
        <x:v>41</x:v>
      </x:c>
      <x:c r="L1693" s="5" t="n">
        <x:v>0.05</x:v>
      </x:c>
      <x:c r="M1693" s="4" t="n">
        <x:f>ROUND(I1693*J1693*(1-L1693),2)</x:f>
        <x:v>141.46</x:v>
      </x:c>
      <x:c r="N1693" s="4" t="n">
        <x:f>ROUND(I1693*K1693,2)</x:f>
        <x:v>82</x:v>
      </x:c>
      <x:c r="O1693" s="4" t="n">
        <x:f>ROUND(M1693-N1693,2)</x:f>
        <x:v>59.46</x:v>
      </x:c>
      <x:c r="P1693" s="6" t="n">
        <x:v>3.4</x:v>
      </x:c>
      <x:c r="Q1693" t="str">
        <x:v>No</x:v>
      </x:c>
    </x:row>
    <x:row r="1694">
      <x:c r="A1694" t="str">
        <x:v>ORD-00986</x:v>
      </x:c>
      <x:c r="B1694" s="3" t="n">
        <x:v>45975.79123519676</x:v>
      </x:c>
      <x:c r="C1694" t="str">
        <x:v>2025-11</x:v>
      </x:c>
      <x:c r="D1694" t="str">
        <x:v>CUS-0342</x:v>
      </x:c>
      <x:c r="E1694" t="str">
        <x:v>South West</x:v>
      </x:c>
      <x:c r="F1694" t="str">
        <x:v>Marketplace</x:v>
      </x:c>
      <x:c r="G1694" t="str">
        <x:v>Home</x:v>
      </x:c>
      <x:c r="H1694" t="str">
        <x:v>Desk Lamp</x:v>
      </x:c>
      <x:c r="I1694" t="n">
        <x:v>3</x:v>
      </x:c>
      <x:c r="J1694" s="4" t="n">
        <x:v>35.22</x:v>
      </x:c>
      <x:c r="K1694" s="4" t="n">
        <x:v>17</x:v>
      </x:c>
      <x:c r="L1694" s="5" t="n">
        <x:v>0</x:v>
      </x:c>
      <x:c r="M1694" s="4" t="n">
        <x:f>ROUND(I1694*J1694*(1-L1694),2)</x:f>
        <x:v>105.66</x:v>
      </x:c>
      <x:c r="N1694" s="4" t="n">
        <x:f>ROUND(I1694*K1694,2)</x:f>
        <x:v>51</x:v>
      </x:c>
      <x:c r="O1694" s="4" t="n">
        <x:f>ROUND(M1694-N1694,2)</x:f>
        <x:v>54.66</x:v>
      </x:c>
      <x:c r="P1694" s="6" t="n">
        <x:v>3.7</x:v>
      </x:c>
      <x:c r="Q1694" t="str">
        <x:v>No</x:v>
      </x:c>
    </x:row>
    <x:row r="1695">
      <x:c r="A1695" t="str">
        <x:v>ORD-01311</x:v>
      </x:c>
      <x:c r="B1695" s="3" t="n">
        <x:v>45975.799499988425</x:v>
      </x:c>
      <x:c r="C1695" t="str">
        <x:v>2025-11</x:v>
      </x:c>
      <x:c r="D1695" t="str">
        <x:v>CUS-0098</x:v>
      </x:c>
      <x:c r="E1695" t="str">
        <x:v>South East</x:v>
      </x:c>
      <x:c r="F1695" t="str">
        <x:v>Store</x:v>
      </x:c>
      <x:c r="G1695" t="str">
        <x:v>Electronics</x:v>
      </x:c>
      <x:c r="H1695" t="str">
        <x:v>Bluetooth Speaker</x:v>
      </x:c>
      <x:c r="I1695" t="n">
        <x:v>1</x:v>
      </x:c>
      <x:c r="J1695" s="4" t="n">
        <x:v>65.14</x:v>
      </x:c>
      <x:c r="K1695" s="4" t="n">
        <x:v>34</x:v>
      </x:c>
      <x:c r="L1695" s="5" t="n">
        <x:v>0.2</x:v>
      </x:c>
      <x:c r="M1695" s="4" t="n">
        <x:f>ROUND(I1695*J1695*(1-L1695),2)</x:f>
        <x:v>52.11</x:v>
      </x:c>
      <x:c r="N1695" s="4" t="n">
        <x:f>ROUND(I1695*K1695,2)</x:f>
        <x:v>34</x:v>
      </x:c>
      <x:c r="O1695" s="4" t="n">
        <x:f>ROUND(M1695-N1695,2)</x:f>
        <x:v>18.11</x:v>
      </x:c>
      <x:c r="P1695" s="6" t="n">
        <x:v>4.8</x:v>
      </x:c>
      <x:c r="Q1695" t="str">
        <x:v>No</x:v>
      </x:c>
    </x:row>
    <x:row r="1696">
      <x:c r="A1696" t="str">
        <x:v>ORD-00607</x:v>
      </x:c>
      <x:c r="B1696" s="3" t="n">
        <x:v>45975.98531538194</x:v>
      </x:c>
      <x:c r="C1696" t="str">
        <x:v>2025-11</x:v>
      </x:c>
      <x:c r="D1696" t="str">
        <x:v>CUS-0330</x:v>
      </x:c>
      <x:c r="E1696" t="str">
        <x:v>Scotland</x:v>
      </x:c>
      <x:c r="F1696" t="str">
        <x:v>Store</x:v>
      </x:c>
      <x:c r="G1696" t="str">
        <x:v>Books</x:v>
      </x:c>
      <x:c r="H1696" t="str">
        <x:v>Data Analytics Handbook</x:v>
      </x:c>
      <x:c r="I1696" t="n">
        <x:v>4</x:v>
      </x:c>
      <x:c r="J1696" s="4" t="n">
        <x:v>40.35</x:v>
      </x:c>
      <x:c r="K1696" s="4" t="n">
        <x:v>14</x:v>
      </x:c>
      <x:c r="L1696" s="5" t="n">
        <x:v>0.2</x:v>
      </x:c>
      <x:c r="M1696" s="4" t="n">
        <x:f>ROUND(I1696*J1696*(1-L1696),2)</x:f>
        <x:v>129.12</x:v>
      </x:c>
      <x:c r="N1696" s="4" t="n">
        <x:f>ROUND(I1696*K1696,2)</x:f>
        <x:v>56</x:v>
      </x:c>
      <x:c r="O1696" s="4" t="n">
        <x:f>ROUND(M1696-N1696,2)</x:f>
        <x:v>73.12</x:v>
      </x:c>
      <x:c r="P1696" s="6" t="n">
        <x:v>4.6</x:v>
      </x:c>
      <x:c r="Q1696" t="str">
        <x:v>No</x:v>
      </x:c>
    </x:row>
    <x:row r="1697">
      <x:c r="A1697" t="str">
        <x:v>ORD-00144</x:v>
      </x:c>
      <x:c r="B1697" s="3" t="n">
        <x:v>45976.02452356482</x:v>
      </x:c>
      <x:c r="C1697" t="str">
        <x:v>2025-11</x:v>
      </x:c>
      <x:c r="D1697" t="str">
        <x:v>CUS-0010</x:v>
      </x:c>
      <x:c r="E1697" t="str">
        <x:v>Scotland</x:v>
      </x:c>
      <x:c r="F1697" t="str">
        <x:v>Marketplace</x:v>
      </x:c>
      <x:c r="G1697" t="str">
        <x:v>Home</x:v>
      </x:c>
      <x:c r="H1697" t="str">
        <x:v>Air Fryer</x:v>
      </x:c>
      <x:c r="I1697" t="n">
        <x:v>3</x:v>
      </x:c>
      <x:c r="J1697" s="4" t="n">
        <x:v>121.19</x:v>
      </x:c>
      <x:c r="K1697" s="4" t="n">
        <x:v>69</x:v>
      </x:c>
      <x:c r="L1697" s="5" t="n">
        <x:v>0.15</x:v>
      </x:c>
      <x:c r="M1697" s="4" t="n">
        <x:f>ROUND(I1697*J1697*(1-L1697),2)</x:f>
        <x:v>309.03</x:v>
      </x:c>
      <x:c r="N1697" s="4" t="n">
        <x:f>ROUND(I1697*K1697,2)</x:f>
        <x:v>207</x:v>
      </x:c>
      <x:c r="O1697" s="4" t="n">
        <x:f>ROUND(M1697-N1697,2)</x:f>
        <x:v>102.03</x:v>
      </x:c>
      <x:c r="P1697" s="6" t="n">
        <x:v>4.2</x:v>
      </x:c>
      <x:c r="Q1697" t="str">
        <x:v>No</x:v>
      </x:c>
    </x:row>
    <x:row r="1698">
      <x:c r="A1698" t="str">
        <x:v>ORD-00781</x:v>
      </x:c>
      <x:c r="B1698" s="3" t="n">
        <x:v>45977.16485954861</x:v>
      </x:c>
      <x:c r="C1698" t="str">
        <x:v>2025-11</x:v>
      </x:c>
      <x:c r="D1698" t="str">
        <x:v>CUS-0396</x:v>
      </x:c>
      <x:c r="E1698" t="str">
        <x:v>South East</x:v>
      </x:c>
      <x:c r="F1698" t="str">
        <x:v>Online</x:v>
      </x:c>
      <x:c r="G1698" t="str">
        <x:v>Sports</x:v>
      </x:c>
      <x:c r="H1698" t="str">
        <x:v>Yoga Mat</x:v>
      </x:c>
      <x:c r="I1698" t="n">
        <x:v>5</x:v>
      </x:c>
      <x:c r="J1698" s="4" t="n">
        <x:v>29.34</x:v>
      </x:c>
      <x:c r="K1698" s="4" t="n">
        <x:v>12</x:v>
      </x:c>
      <x:c r="L1698" s="5" t="n">
        <x:v>0.2</x:v>
      </x:c>
      <x:c r="M1698" s="4" t="n">
        <x:f>ROUND(I1698*J1698*(1-L1698),2)</x:f>
        <x:v>117.36</x:v>
      </x:c>
      <x:c r="N1698" s="4" t="n">
        <x:f>ROUND(I1698*K1698,2)</x:f>
        <x:v>60</x:v>
      </x:c>
      <x:c r="O1698" s="4" t="n">
        <x:f>ROUND(M1698-N1698,2)</x:f>
        <x:v>57.36</x:v>
      </x:c>
      <x:c r="P1698" s="6" t="n">
        <x:v>4.3</x:v>
      </x:c>
      <x:c r="Q1698" t="str">
        <x:v>Yes</x:v>
      </x:c>
    </x:row>
    <x:row r="1699">
      <x:c r="A1699" t="str">
        <x:v>ORD-00606</x:v>
      </x:c>
      <x:c r="B1699" s="3" t="n">
        <x:v>45977.40370342592</x:v>
      </x:c>
      <x:c r="C1699" t="str">
        <x:v>2025-11</x:v>
      </x:c>
      <x:c r="D1699" t="str">
        <x:v>CUS-0608</x:v>
      </x:c>
      <x:c r="E1699" t="str">
        <x:v>North East</x:v>
      </x:c>
      <x:c r="F1699" t="str">
        <x:v>Online</x:v>
      </x:c>
      <x:c r="G1699" t="str">
        <x:v>Electronics</x:v>
      </x:c>
      <x:c r="H1699" t="str">
        <x:v>Wireless Headphones</x:v>
      </x:c>
      <x:c r="I1699" t="n">
        <x:v>4</x:v>
      </x:c>
      <x:c r="J1699" s="4" t="n">
        <x:v>87.62</x:v>
      </x:c>
      <x:c r="K1699" s="4" t="n">
        <x:v>48</x:v>
      </x:c>
      <x:c r="L1699" s="5" t="n">
        <x:v>0.15</x:v>
      </x:c>
      <x:c r="M1699" s="4" t="n">
        <x:f>ROUND(I1699*J1699*(1-L1699),2)</x:f>
        <x:v>297.91</x:v>
      </x:c>
      <x:c r="N1699" s="4" t="n">
        <x:f>ROUND(I1699*K1699,2)</x:f>
        <x:v>192</x:v>
      </x:c>
      <x:c r="O1699" s="4" t="n">
        <x:f>ROUND(M1699-N1699,2)</x:f>
        <x:v>105.91</x:v>
      </x:c>
      <x:c r="P1699" s="6" t="n">
        <x:v>5</x:v>
      </x:c>
      <x:c r="Q1699" t="str">
        <x:v>No</x:v>
      </x:c>
    </x:row>
    <x:row r="1700">
      <x:c r="A1700" t="str">
        <x:v>ORD-00608</x:v>
      </x:c>
      <x:c r="B1700" s="3" t="n">
        <x:v>45977.441151099534</x:v>
      </x:c>
      <x:c r="C1700" t="str">
        <x:v>2025-11</x:v>
      </x:c>
      <x:c r="D1700" t="str">
        <x:v>CUS-0486</x:v>
      </x:c>
      <x:c r="E1700" t="str">
        <x:v>South West</x:v>
      </x:c>
      <x:c r="F1700" t="str">
        <x:v>Online</x:v>
      </x:c>
      <x:c r="G1700" t="str">
        <x:v>Sports</x:v>
      </x:c>
      <x:c r="H1700" t="str">
        <x:v>Running Shoes</x:v>
      </x:c>
      <x:c r="I1700" t="n">
        <x:v>5</x:v>
      </x:c>
      <x:c r="J1700" s="4" t="n">
        <x:v>82.63</x:v>
      </x:c>
      <x:c r="K1700" s="4" t="n">
        <x:v>38</x:v>
      </x:c>
      <x:c r="L1700" s="5" t="n">
        <x:v>0</x:v>
      </x:c>
      <x:c r="M1700" s="4" t="n">
        <x:f>ROUND(I1700*J1700*(1-L1700),2)</x:f>
        <x:v>413.15</x:v>
      </x:c>
      <x:c r="N1700" s="4" t="n">
        <x:f>ROUND(I1700*K1700,2)</x:f>
        <x:v>190</x:v>
      </x:c>
      <x:c r="O1700" s="4" t="n">
        <x:f>ROUND(M1700-N1700,2)</x:f>
        <x:v>223.15</x:v>
      </x:c>
      <x:c r="P1700" s="6" t="n">
        <x:v>4.1</x:v>
      </x:c>
      <x:c r="Q1700" t="str">
        <x:v>No</x:v>
      </x:c>
    </x:row>
    <x:row r="1701">
      <x:c r="A1701" t="str">
        <x:v>ORD-00044</x:v>
      </x:c>
      <x:c r="B1701" s="3" t="n">
        <x:v>45978.05473105324</x:v>
      </x:c>
      <x:c r="C1701" t="str">
        <x:v>2025-11</x:v>
      </x:c>
      <x:c r="D1701" t="str">
        <x:v>CUS-0569</x:v>
      </x:c>
      <x:c r="E1701" t="str">
        <x:v>North East</x:v>
      </x:c>
      <x:c r="F1701" t="str">
        <x:v>Marketplace</x:v>
      </x:c>
      <x:c r="G1701" t="str">
        <x:v>Sports</x:v>
      </x:c>
      <x:c r="H1701" t="str">
        <x:v>Yoga Mat</x:v>
      </x:c>
      <x:c r="I1701" t="n">
        <x:v>1</x:v>
      </x:c>
      <x:c r="J1701" s="4" t="n">
        <x:v>29.11</x:v>
      </x:c>
      <x:c r="K1701" s="4" t="n">
        <x:v>12</x:v>
      </x:c>
      <x:c r="L1701" s="5" t="n">
        <x:v>0.15</x:v>
      </x:c>
      <x:c r="M1701" s="4" t="n">
        <x:f>ROUND(I1701*J1701*(1-L1701),2)</x:f>
        <x:v>24.74</x:v>
      </x:c>
      <x:c r="N1701" s="4" t="n">
        <x:f>ROUND(I1701*K1701,2)</x:f>
        <x:v>12</x:v>
      </x:c>
      <x:c r="O1701" s="4" t="n">
        <x:f>ROUND(M1701-N1701,2)</x:f>
        <x:v>12.74</x:v>
      </x:c>
      <x:c r="P1701" s="6" t="n">
        <x:v>5</x:v>
      </x:c>
      <x:c r="Q1701" t="str">
        <x:v>No</x:v>
      </x:c>
    </x:row>
    <x:row r="1702">
      <x:c r="A1702" t="str">
        <x:v>ORD-00754</x:v>
      </x:c>
      <x:c r="B1702" s="3" t="n">
        <x:v>45978.102307361114</x:v>
      </x:c>
      <x:c r="C1702" t="str">
        <x:v>2025-11</x:v>
      </x:c>
      <x:c r="D1702" t="str">
        <x:v>CUS-0049</x:v>
      </x:c>
      <x:c r="E1702" t="str">
        <x:v>North West</x:v>
      </x:c>
      <x:c r="F1702" t="str">
        <x:v>Store</x:v>
      </x:c>
      <x:c r="G1702" t="str">
        <x:v>Books</x:v>
      </x:c>
      <x:c r="H1702" t="str">
        <x:v>Business Intelligence Guide</x:v>
      </x:c>
      <x:c r="I1702" t="n">
        <x:v>4</x:v>
      </x:c>
      <x:c r="J1702" s="4" t="n">
        <x:v>35.62</x:v>
      </x:c>
      <x:c r="K1702" s="4" t="n">
        <x:v>12</x:v>
      </x:c>
      <x:c r="L1702" s="5" t="n">
        <x:v>0.05</x:v>
      </x:c>
      <x:c r="M1702" s="4" t="n">
        <x:f>ROUND(I1702*J1702*(1-L1702),2)</x:f>
        <x:v>135.36</x:v>
      </x:c>
      <x:c r="N1702" s="4" t="n">
        <x:f>ROUND(I1702*K1702,2)</x:f>
        <x:v>48</x:v>
      </x:c>
      <x:c r="O1702" s="4" t="n">
        <x:f>ROUND(M1702-N1702,2)</x:f>
        <x:v>87.36</x:v>
      </x:c>
      <x:c r="P1702" s="6" t="n">
        <x:v>4.3</x:v>
      </x:c>
      <x:c r="Q1702" t="str">
        <x:v>No</x:v>
      </x:c>
    </x:row>
    <x:row r="1703">
      <x:c r="A1703" t="str">
        <x:v>ORD-00632</x:v>
      </x:c>
      <x:c r="B1703" s="3" t="n">
        <x:v>45978.66300262731</x:v>
      </x:c>
      <x:c r="C1703" t="str">
        <x:v>2025-11</x:v>
      </x:c>
      <x:c r="D1703" t="str">
        <x:v>CUS-0561</x:v>
      </x:c>
      <x:c r="E1703" t="str">
        <x:v>London</x:v>
      </x:c>
      <x:c r="F1703" t="str">
        <x:v>Store</x:v>
      </x:c>
      <x:c r="G1703" t="str">
        <x:v>Sports</x:v>
      </x:c>
      <x:c r="H1703" t="str">
        <x:v>Yoga Mat</x:v>
      </x:c>
      <x:c r="I1703" t="n">
        <x:v>4</x:v>
      </x:c>
      <x:c r="J1703" s="4" t="n">
        <x:v>29.96</x:v>
      </x:c>
      <x:c r="K1703" s="4" t="n">
        <x:v>12</x:v>
      </x:c>
      <x:c r="L1703" s="5" t="n">
        <x:v>0</x:v>
      </x:c>
      <x:c r="M1703" s="4" t="n">
        <x:f>ROUND(I1703*J1703*(1-L1703),2)</x:f>
        <x:v>119.84</x:v>
      </x:c>
      <x:c r="N1703" s="4" t="n">
        <x:f>ROUND(I1703*K1703,2)</x:f>
        <x:v>48</x:v>
      </x:c>
      <x:c r="O1703" s="4" t="n">
        <x:f>ROUND(M1703-N1703,2)</x:f>
        <x:v>71.84</x:v>
      </x:c>
      <x:c r="P1703" s="6" t="n">
        <x:v>4.1</x:v>
      </x:c>
      <x:c r="Q1703" t="str">
        <x:v>No</x:v>
      </x:c>
    </x:row>
    <x:row r="1704">
      <x:c r="A1704" t="str">
        <x:v>ORD-00365</x:v>
      </x:c>
      <x:c r="B1704" s="3" t="n">
        <x:v>45978.86035703704</x:v>
      </x:c>
      <x:c r="C1704" t="str">
        <x:v>2025-11</x:v>
      </x:c>
      <x:c r="D1704" t="str">
        <x:v>CUS-0237</x:v>
      </x:c>
      <x:c r="E1704" t="str">
        <x:v>London</x:v>
      </x:c>
      <x:c r="F1704" t="str">
        <x:v>Marketplace</x:v>
      </x:c>
      <x:c r="G1704" t="str">
        <x:v>Sports</x:v>
      </x:c>
      <x:c r="H1704" t="str">
        <x:v>Yoga Mat</x:v>
      </x:c>
      <x:c r="I1704" t="n">
        <x:v>2</x:v>
      </x:c>
      <x:c r="J1704" s="4" t="n">
        <x:v>30.28</x:v>
      </x:c>
      <x:c r="K1704" s="4" t="n">
        <x:v>12</x:v>
      </x:c>
      <x:c r="L1704" s="5" t="n">
        <x:v>0</x:v>
      </x:c>
      <x:c r="M1704" s="4" t="n">
        <x:f>ROUND(I1704*J1704*(1-L1704),2)</x:f>
        <x:v>60.56</x:v>
      </x:c>
      <x:c r="N1704" s="4" t="n">
        <x:f>ROUND(I1704*K1704,2)</x:f>
        <x:v>24</x:v>
      </x:c>
      <x:c r="O1704" s="4" t="n">
        <x:f>ROUND(M1704-N1704,2)</x:f>
        <x:v>36.56</x:v>
      </x:c>
      <x:c r="P1704" s="6" t="n">
        <x:v>4.7</x:v>
      </x:c>
      <x:c r="Q1704" t="str">
        <x:v>No</x:v>
      </x:c>
    </x:row>
    <x:row r="1705">
      <x:c r="A1705" t="str">
        <x:v>ORD-00161</x:v>
      </x:c>
      <x:c r="B1705" s="3" t="n">
        <x:v>45979.363594814815</x:v>
      </x:c>
      <x:c r="C1705" t="str">
        <x:v>2025-11</x:v>
      </x:c>
      <x:c r="D1705" t="str">
        <x:v>CUS-0171</x:v>
      </x:c>
      <x:c r="E1705" t="str">
        <x:v>London</x:v>
      </x:c>
      <x:c r="F1705" t="str">
        <x:v>Marketplace</x:v>
      </x:c>
      <x:c r="G1705" t="str">
        <x:v>Books</x:v>
      </x:c>
      <x:c r="H1705" t="str">
        <x:v>Data Analytics Handbook</x:v>
      </x:c>
      <x:c r="I1705" t="n">
        <x:v>4</x:v>
      </x:c>
      <x:c r="J1705" s="4" t="n">
        <x:v>41.79</x:v>
      </x:c>
      <x:c r="K1705" s="4" t="n">
        <x:v>14</x:v>
      </x:c>
      <x:c r="L1705" s="5" t="n">
        <x:v>0.15</x:v>
      </x:c>
      <x:c r="M1705" s="4" t="n">
        <x:f>ROUND(I1705*J1705*(1-L1705),2)</x:f>
        <x:v>142.09</x:v>
      </x:c>
      <x:c r="N1705" s="4" t="n">
        <x:f>ROUND(I1705*K1705,2)</x:f>
        <x:v>56</x:v>
      </x:c>
      <x:c r="O1705" s="4" t="n">
        <x:f>ROUND(M1705-N1705,2)</x:f>
        <x:v>86.09</x:v>
      </x:c>
      <x:c r="P1705" s="6" t="n">
        <x:v>3.9</x:v>
      </x:c>
      <x:c r="Q1705" t="str">
        <x:v>No</x:v>
      </x:c>
    </x:row>
    <x:row r="1706">
      <x:c r="A1706" t="str">
        <x:v>ORD-00850</x:v>
      </x:c>
      <x:c r="B1706" s="3" t="n">
        <x:v>45979.42195344908</x:v>
      </x:c>
      <x:c r="C1706" t="str">
        <x:v>2025-11</x:v>
      </x:c>
      <x:c r="D1706" t="str">
        <x:v>CUS-0350</x:v>
      </x:c>
      <x:c r="E1706" t="str">
        <x:v>North East</x:v>
      </x:c>
      <x:c r="F1706" t="str">
        <x:v>Online</x:v>
      </x:c>
      <x:c r="G1706" t="str">
        <x:v>Books</x:v>
      </x:c>
      <x:c r="H1706" t="str">
        <x:v>Business Intelligence Guide</x:v>
      </x:c>
      <x:c r="I1706" t="n">
        <x:v>1</x:v>
      </x:c>
      <x:c r="J1706" s="4" t="n">
        <x:v>35.58</x:v>
      </x:c>
      <x:c r="K1706" s="4" t="n">
        <x:v>12</x:v>
      </x:c>
      <x:c r="L1706" s="5" t="n">
        <x:v>0</x:v>
      </x:c>
      <x:c r="M1706" s="4" t="n">
        <x:f>ROUND(I1706*J1706*(1-L1706),2)</x:f>
        <x:v>35.58</x:v>
      </x:c>
      <x:c r="N1706" s="4" t="n">
        <x:f>ROUND(I1706*K1706,2)</x:f>
        <x:v>12</x:v>
      </x:c>
      <x:c r="O1706" s="4" t="n">
        <x:f>ROUND(M1706-N1706,2)</x:f>
        <x:v>23.58</x:v>
      </x:c>
      <x:c r="P1706" s="6" t="n">
        <x:v>3.6</x:v>
      </x:c>
      <x:c r="Q1706" t="str">
        <x:v>No</x:v>
      </x:c>
    </x:row>
    <x:row r="1707">
      <x:c r="A1707" t="str">
        <x:v>ORD-00129</x:v>
      </x:c>
      <x:c r="B1707" s="3" t="n">
        <x:v>45979.67103542824</x:v>
      </x:c>
      <x:c r="C1707" t="str">
        <x:v>2025-11</x:v>
      </x:c>
      <x:c r="D1707" t="str">
        <x:v>CUS-0528</x:v>
      </x:c>
      <x:c r="E1707" t="str">
        <x:v>North East</x:v>
      </x:c>
      <x:c r="F1707" t="str">
        <x:v>Online</x:v>
      </x:c>
      <x:c r="G1707" t="str">
        <x:v>Books</x:v>
      </x:c>
      <x:c r="H1707" t="str">
        <x:v>Business Intelligence Guide</x:v>
      </x:c>
      <x:c r="I1707" t="n">
        <x:v>3</x:v>
      </x:c>
      <x:c r="J1707" s="4" t="n">
        <x:v>34.42</x:v>
      </x:c>
      <x:c r="K1707" s="4" t="n">
        <x:v>12</x:v>
      </x:c>
      <x:c r="L1707" s="5" t="n">
        <x:v>0</x:v>
      </x:c>
      <x:c r="M1707" s="4" t="n">
        <x:f>ROUND(I1707*J1707*(1-L1707),2)</x:f>
        <x:v>103.26</x:v>
      </x:c>
      <x:c r="N1707" s="4" t="n">
        <x:f>ROUND(I1707*K1707,2)</x:f>
        <x:v>36</x:v>
      </x:c>
      <x:c r="O1707" s="4" t="n">
        <x:f>ROUND(M1707-N1707,2)</x:f>
        <x:v>67.26</x:v>
      </x:c>
      <x:c r="P1707" s="6" t="n">
        <x:v>4.9</x:v>
      </x:c>
      <x:c r="Q1707" t="str">
        <x:v>No</x:v>
      </x:c>
    </x:row>
    <x:row r="1708">
      <x:c r="A1708" t="str">
        <x:v>ORD-01696</x:v>
      </x:c>
      <x:c r="B1708" s="3" t="n">
        <x:v>45979.86876037037</x:v>
      </x:c>
      <x:c r="C1708" t="str">
        <x:v>2025-11</x:v>
      </x:c>
      <x:c r="D1708" t="str">
        <x:v>CUS-0614</x:v>
      </x:c>
      <x:c r="E1708" t="str">
        <x:v>London</x:v>
      </x:c>
      <x:c r="F1708" t="str">
        <x:v>Store</x:v>
      </x:c>
      <x:c r="G1708" t="str">
        <x:v>Beauty</x:v>
      </x:c>
      <x:c r="H1708" t="str">
        <x:v>Skin Care Set</x:v>
      </x:c>
      <x:c r="I1708" t="n">
        <x:v>5</x:v>
      </x:c>
      <x:c r="J1708" s="4" t="n">
        <x:v>43.38</x:v>
      </x:c>
      <x:c r="K1708" s="4" t="n">
        <x:v>18</x:v>
      </x:c>
      <x:c r="L1708" s="5" t="n">
        <x:v>0.05</x:v>
      </x:c>
      <x:c r="M1708" s="4" t="n">
        <x:f>ROUND(I1708*J1708*(1-L1708),2)</x:f>
        <x:v>206.06</x:v>
      </x:c>
      <x:c r="N1708" s="4" t="n">
        <x:f>ROUND(I1708*K1708,2)</x:f>
        <x:v>90</x:v>
      </x:c>
      <x:c r="O1708" s="4" t="n">
        <x:f>ROUND(M1708-N1708,2)</x:f>
        <x:v>116.06</x:v>
      </x:c>
      <x:c r="P1708" s="6" t="n">
        <x:v>3.3</x:v>
      </x:c>
      <x:c r="Q1708" t="str">
        <x:v>No</x:v>
      </x:c>
    </x:row>
    <x:row r="1709">
      <x:c r="A1709" t="str">
        <x:v>ORD-00587</x:v>
      </x:c>
      <x:c r="B1709" s="3" t="n">
        <x:v>45980.623416145834</x:v>
      </x:c>
      <x:c r="C1709" t="str">
        <x:v>2025-11</x:v>
      </x:c>
      <x:c r="D1709" t="str">
        <x:v>CUS-0214</x:v>
      </x:c>
      <x:c r="E1709" t="str">
        <x:v>North West</x:v>
      </x:c>
      <x:c r="F1709" t="str">
        <x:v>Marketplace</x:v>
      </x:c>
      <x:c r="G1709" t="str">
        <x:v>Sports</x:v>
      </x:c>
      <x:c r="H1709" t="str">
        <x:v>Fitness Tracker</x:v>
      </x:c>
      <x:c r="I1709" t="n">
        <x:v>2</x:v>
      </x:c>
      <x:c r="J1709" s="4" t="n">
        <x:v>57.29</x:v>
      </x:c>
      <x:c r="K1709" s="4" t="n">
        <x:v>27</x:v>
      </x:c>
      <x:c r="L1709" s="5" t="n">
        <x:v>0.15</x:v>
      </x:c>
      <x:c r="M1709" s="4" t="n">
        <x:f>ROUND(I1709*J1709*(1-L1709),2)</x:f>
        <x:v>97.39</x:v>
      </x:c>
      <x:c r="N1709" s="4" t="n">
        <x:f>ROUND(I1709*K1709,2)</x:f>
        <x:v>54</x:v>
      </x:c>
      <x:c r="O1709" s="4" t="n">
        <x:f>ROUND(M1709-N1709,2)</x:f>
        <x:v>43.39</x:v>
      </x:c>
      <x:c r="P1709" s="6" t="n">
        <x:v>3.7</x:v>
      </x:c>
      <x:c r="Q1709" t="str">
        <x:v>No</x:v>
      </x:c>
    </x:row>
    <x:row r="1710">
      <x:c r="A1710" t="str">
        <x:v>ORD-00576</x:v>
      </x:c>
      <x:c r="B1710" s="3" t="n">
        <x:v>45981.14117483796</x:v>
      </x:c>
      <x:c r="C1710" t="str">
        <x:v>2025-11</x:v>
      </x:c>
      <x:c r="D1710" t="str">
        <x:v>CUS-0283</x:v>
      </x:c>
      <x:c r="E1710" t="str">
        <x:v>South West</x:v>
      </x:c>
      <x:c r="F1710" t="str">
        <x:v>Store</x:v>
      </x:c>
      <x:c r="G1710" t="str">
        <x:v>Electronics</x:v>
      </x:c>
      <x:c r="H1710" t="str">
        <x:v>Smart Watch</x:v>
      </x:c>
      <x:c r="I1710" t="n">
        <x:v>5</x:v>
      </x:c>
      <x:c r="J1710" s="4" t="n">
        <x:v>163.61</x:v>
      </x:c>
      <x:c r="K1710" s="4" t="n">
        <x:v>92</x:v>
      </x:c>
      <x:c r="L1710" s="5" t="n">
        <x:v>0.2</x:v>
      </x:c>
      <x:c r="M1710" s="4" t="n">
        <x:f>ROUND(I1710*J1710*(1-L1710),2)</x:f>
        <x:v>654.44</x:v>
      </x:c>
      <x:c r="N1710" s="4" t="n">
        <x:f>ROUND(I1710*K1710,2)</x:f>
        <x:v>460</x:v>
      </x:c>
      <x:c r="O1710" s="4" t="n">
        <x:f>ROUND(M1710-N1710,2)</x:f>
        <x:v>194.44</x:v>
      </x:c>
      <x:c r="P1710" s="6" t="n">
        <x:v>4.7</x:v>
      </x:c>
      <x:c r="Q1710" t="str">
        <x:v>No</x:v>
      </x:c>
    </x:row>
    <x:row r="1711">
      <x:c r="A1711" t="str">
        <x:v>ORD-01197</x:v>
      </x:c>
      <x:c r="B1711" s="3" t="n">
        <x:v>45981.58741168981</x:v>
      </x:c>
      <x:c r="C1711" t="str">
        <x:v>2025-11</x:v>
      </x:c>
      <x:c r="D1711" t="str">
        <x:v>CUS-0114</x:v>
      </x:c>
      <x:c r="E1711" t="str">
        <x:v>North East</x:v>
      </x:c>
      <x:c r="F1711" t="str">
        <x:v>Store</x:v>
      </x:c>
      <x:c r="G1711" t="str">
        <x:v>Fashion</x:v>
      </x:c>
      <x:c r="H1711" t="str">
        <x:v>Winter Jacket</x:v>
      </x:c>
      <x:c r="I1711" t="n">
        <x:v>2</x:v>
      </x:c>
      <x:c r="J1711" s="4" t="n">
        <x:v>90.69</x:v>
      </x:c>
      <x:c r="K1711" s="4" t="n">
        <x:v>46</x:v>
      </x:c>
      <x:c r="L1711" s="5" t="n">
        <x:v>0.15</x:v>
      </x:c>
      <x:c r="M1711" s="4" t="n">
        <x:f>ROUND(I1711*J1711*(1-L1711),2)</x:f>
        <x:v>154.17</x:v>
      </x:c>
      <x:c r="N1711" s="4" t="n">
        <x:f>ROUND(I1711*K1711,2)</x:f>
        <x:v>92</x:v>
      </x:c>
      <x:c r="O1711" s="4" t="n">
        <x:f>ROUND(M1711-N1711,2)</x:f>
        <x:v>62.17</x:v>
      </x:c>
      <x:c r="P1711" s="6" t="n">
        <x:v>3.7</x:v>
      </x:c>
      <x:c r="Q1711" t="str">
        <x:v>No</x:v>
      </x:c>
    </x:row>
    <x:row r="1712">
      <x:c r="A1712" t="str">
        <x:v>ORD-00080</x:v>
      </x:c>
      <x:c r="B1712" s="3" t="n">
        <x:v>45982.59472179398</x:v>
      </x:c>
      <x:c r="C1712" t="str">
        <x:v>2025-11</x:v>
      </x:c>
      <x:c r="D1712" t="str">
        <x:v>CUS-0225</x:v>
      </x:c>
      <x:c r="E1712" t="str">
        <x:v>South East</x:v>
      </x:c>
      <x:c r="F1712" t="str">
        <x:v>Marketplace</x:v>
      </x:c>
      <x:c r="G1712" t="str">
        <x:v>Sports</x:v>
      </x:c>
      <x:c r="H1712" t="str">
        <x:v>Yoga Mat</x:v>
      </x:c>
      <x:c r="I1712" t="n">
        <x:v>4</x:v>
      </x:c>
      <x:c r="J1712" s="4" t="n">
        <x:v>30</x:v>
      </x:c>
      <x:c r="K1712" s="4" t="n">
        <x:v>12</x:v>
      </x:c>
      <x:c r="L1712" s="5" t="n">
        <x:v>0</x:v>
      </x:c>
      <x:c r="M1712" s="4" t="n">
        <x:f>ROUND(I1712*J1712*(1-L1712),2)</x:f>
        <x:v>120</x:v>
      </x:c>
      <x:c r="N1712" s="4" t="n">
        <x:f>ROUND(I1712*K1712,2)</x:f>
        <x:v>48</x:v>
      </x:c>
      <x:c r="O1712" s="4" t="n">
        <x:f>ROUND(M1712-N1712,2)</x:f>
        <x:v>72</x:v>
      </x:c>
      <x:c r="P1712" s="6" t="n">
        <x:v>4.9</x:v>
      </x:c>
      <x:c r="Q1712" t="str">
        <x:v>No</x:v>
      </x:c>
    </x:row>
    <x:row r="1713">
      <x:c r="A1713" t="str">
        <x:v>ORD-01092</x:v>
      </x:c>
      <x:c r="B1713" s="3" t="n">
        <x:v>45982.68100081018</x:v>
      </x:c>
      <x:c r="C1713" t="str">
        <x:v>2025-11</x:v>
      </x:c>
      <x:c r="D1713" t="str">
        <x:v>CUS-0066</x:v>
      </x:c>
      <x:c r="E1713" t="str">
        <x:v>Wales</x:v>
      </x:c>
      <x:c r="F1713" t="str">
        <x:v>Marketplace</x:v>
      </x:c>
      <x:c r="G1713" t="str">
        <x:v>Electronics</x:v>
      </x:c>
      <x:c r="H1713" t="str">
        <x:v>Bluetooth Speaker</x:v>
      </x:c>
      <x:c r="I1713" t="n">
        <x:v>1</x:v>
      </x:c>
      <x:c r="J1713" s="4" t="n">
        <x:v>67.58</x:v>
      </x:c>
      <x:c r="K1713" s="4" t="n">
        <x:v>34</x:v>
      </x:c>
      <x:c r="L1713" s="5" t="n">
        <x:v>0.05</x:v>
      </x:c>
      <x:c r="M1713" s="4" t="n">
        <x:f>ROUND(I1713*J1713*(1-L1713),2)</x:f>
        <x:v>64.2</x:v>
      </x:c>
      <x:c r="N1713" s="4" t="n">
        <x:f>ROUND(I1713*K1713,2)</x:f>
        <x:v>34</x:v>
      </x:c>
      <x:c r="O1713" s="4" t="n">
        <x:f>ROUND(M1713-N1713,2)</x:f>
        <x:v>30.2</x:v>
      </x:c>
      <x:c r="P1713" s="6" t="n">
        <x:v>3.4</x:v>
      </x:c>
      <x:c r="Q1713" t="str">
        <x:v>No</x:v>
      </x:c>
    </x:row>
    <x:row r="1714">
      <x:c r="A1714" t="str">
        <x:v>ORD-00905</x:v>
      </x:c>
      <x:c r="B1714" s="3" t="n">
        <x:v>45983.75490849537</x:v>
      </x:c>
      <x:c r="C1714" t="str">
        <x:v>2025-11</x:v>
      </x:c>
      <x:c r="D1714" t="str">
        <x:v>CUS-0411</x:v>
      </x:c>
      <x:c r="E1714" t="str">
        <x:v>London</x:v>
      </x:c>
      <x:c r="F1714" t="str">
        <x:v>Online</x:v>
      </x:c>
      <x:c r="G1714" t="str">
        <x:v>Books</x:v>
      </x:c>
      <x:c r="H1714" t="str">
        <x:v>Data Analytics Handbook</x:v>
      </x:c>
      <x:c r="I1714" t="n">
        <x:v>3</x:v>
      </x:c>
      <x:c r="J1714" s="4" t="n">
        <x:v>39.6</x:v>
      </x:c>
      <x:c r="K1714" s="4" t="n">
        <x:v>14</x:v>
      </x:c>
      <x:c r="L1714" s="5" t="n">
        <x:v>0.1</x:v>
      </x:c>
      <x:c r="M1714" s="4" t="n">
        <x:f>ROUND(I1714*J1714*(1-L1714),2)</x:f>
        <x:v>106.92</x:v>
      </x:c>
      <x:c r="N1714" s="4" t="n">
        <x:f>ROUND(I1714*K1714,2)</x:f>
        <x:v>42</x:v>
      </x:c>
      <x:c r="O1714" s="4" t="n">
        <x:f>ROUND(M1714-N1714,2)</x:f>
        <x:v>64.92</x:v>
      </x:c>
      <x:c r="P1714" s="6" t="n">
        <x:v>4.9</x:v>
      </x:c>
      <x:c r="Q1714" t="str">
        <x:v>No</x:v>
      </x:c>
    </x:row>
    <x:row r="1715">
      <x:c r="A1715" t="str">
        <x:v>ORD-01658</x:v>
      </x:c>
      <x:c r="B1715" s="3" t="n">
        <x:v>45984.55605008102</x:v>
      </x:c>
      <x:c r="C1715" t="str">
        <x:v>2025-11</x:v>
      </x:c>
      <x:c r="D1715" t="str">
        <x:v>CUS-0400</x:v>
      </x:c>
      <x:c r="E1715" t="str">
        <x:v>Scotland</x:v>
      </x:c>
      <x:c r="F1715" t="str">
        <x:v>Online</x:v>
      </x:c>
      <x:c r="G1715" t="str">
        <x:v>Fashion</x:v>
      </x:c>
      <x:c r="H1715" t="str">
        <x:v>Winter Jacket</x:v>
      </x:c>
      <x:c r="I1715" t="n">
        <x:v>3</x:v>
      </x:c>
      <x:c r="J1715" s="4" t="n">
        <x:v>91.7</x:v>
      </x:c>
      <x:c r="K1715" s="4" t="n">
        <x:v>46</x:v>
      </x:c>
      <x:c r="L1715" s="5" t="n">
        <x:v>0.1</x:v>
      </x:c>
      <x:c r="M1715" s="4" t="n">
        <x:f>ROUND(I1715*J1715*(1-L1715),2)</x:f>
        <x:v>247.59</x:v>
      </x:c>
      <x:c r="N1715" s="4" t="n">
        <x:f>ROUND(I1715*K1715,2)</x:f>
        <x:v>138</x:v>
      </x:c>
      <x:c r="O1715" s="4" t="n">
        <x:f>ROUND(M1715-N1715,2)</x:f>
        <x:v>109.59</x:v>
      </x:c>
      <x:c r="P1715" s="6" t="n">
        <x:v>4.3</x:v>
      </x:c>
      <x:c r="Q1715" t="str">
        <x:v>No</x:v>
      </x:c>
    </x:row>
    <x:row r="1716">
      <x:c r="A1716" t="str">
        <x:v>ORD-00983</x:v>
      </x:c>
      <x:c r="B1716" s="3" t="n">
        <x:v>45984.65245534722</x:v>
      </x:c>
      <x:c r="C1716" t="str">
        <x:v>2025-11</x:v>
      </x:c>
      <x:c r="D1716" t="str">
        <x:v>CUS-0442</x:v>
      </x:c>
      <x:c r="E1716" t="str">
        <x:v>South West</x:v>
      </x:c>
      <x:c r="F1716" t="str">
        <x:v>Store</x:v>
      </x:c>
      <x:c r="G1716" t="str">
        <x:v>Sports</x:v>
      </x:c>
      <x:c r="H1716" t="str">
        <x:v>Yoga Mat</x:v>
      </x:c>
      <x:c r="I1716" t="n">
        <x:v>4</x:v>
      </x:c>
      <x:c r="J1716" s="4" t="n">
        <x:v>31.22</x:v>
      </x:c>
      <x:c r="K1716" s="4" t="n">
        <x:v>12</x:v>
      </x:c>
      <x:c r="L1716" s="5" t="n">
        <x:v>0.1</x:v>
      </x:c>
      <x:c r="M1716" s="4" t="n">
        <x:f>ROUND(I1716*J1716*(1-L1716),2)</x:f>
        <x:v>112.39</x:v>
      </x:c>
      <x:c r="N1716" s="4" t="n">
        <x:f>ROUND(I1716*K1716,2)</x:f>
        <x:v>48</x:v>
      </x:c>
      <x:c r="O1716" s="4" t="n">
        <x:f>ROUND(M1716-N1716,2)</x:f>
        <x:v>64.39</x:v>
      </x:c>
      <x:c r="P1716" s="6" t="n">
        <x:v>4.3</x:v>
      </x:c>
      <x:c r="Q1716" t="str">
        <x:v>Yes</x:v>
      </x:c>
    </x:row>
    <x:row r="1717">
      <x:c r="A1717" t="str">
        <x:v>ORD-01129</x:v>
      </x:c>
      <x:c r="B1717" s="3" t="n">
        <x:v>45986.59236243056</x:v>
      </x:c>
      <x:c r="C1717" t="str">
        <x:v>2025-11</x:v>
      </x:c>
      <x:c r="D1717" t="str">
        <x:v>CUS-0332</x:v>
      </x:c>
      <x:c r="E1717" t="str">
        <x:v>South East</x:v>
      </x:c>
      <x:c r="F1717" t="str">
        <x:v>Store</x:v>
      </x:c>
      <x:c r="G1717" t="str">
        <x:v>Beauty</x:v>
      </x:c>
      <x:c r="H1717" t="str">
        <x:v>Skin Care Set</x:v>
      </x:c>
      <x:c r="I1717" t="n">
        <x:v>1</x:v>
      </x:c>
      <x:c r="J1717" s="4" t="n">
        <x:v>44.15</x:v>
      </x:c>
      <x:c r="K1717" s="4" t="n">
        <x:v>18</x:v>
      </x:c>
      <x:c r="L1717" s="5" t="n">
        <x:v>0</x:v>
      </x:c>
      <x:c r="M1717" s="4" t="n">
        <x:f>ROUND(I1717*J1717*(1-L1717),2)</x:f>
        <x:v>44.15</x:v>
      </x:c>
      <x:c r="N1717" s="4" t="n">
        <x:f>ROUND(I1717*K1717,2)</x:f>
        <x:v>18</x:v>
      </x:c>
      <x:c r="O1717" s="4" t="n">
        <x:f>ROUND(M1717-N1717,2)</x:f>
        <x:v>26.15</x:v>
      </x:c>
      <x:c r="P1717" s="6" t="n">
        <x:v>3.6</x:v>
      </x:c>
      <x:c r="Q1717" t="str">
        <x:v>No</x:v>
      </x:c>
    </x:row>
    <x:row r="1718">
      <x:c r="A1718" t="str">
        <x:v>ORD-01598</x:v>
      </x:c>
      <x:c r="B1718" s="3" t="n">
        <x:v>45987.00717861111</x:v>
      </x:c>
      <x:c r="C1718" t="str">
        <x:v>2025-11</x:v>
      </x:c>
      <x:c r="D1718" t="str">
        <x:v>CUS-0021</x:v>
      </x:c>
      <x:c r="E1718" t="str">
        <x:v>Midlands</x:v>
      </x:c>
      <x:c r="F1718" t="str">
        <x:v>Store</x:v>
      </x:c>
      <x:c r="G1718" t="str">
        <x:v>Fashion</x:v>
      </x:c>
      <x:c r="H1718" t="str">
        <x:v>Winter Jacket</x:v>
      </x:c>
      <x:c r="I1718" t="n">
        <x:v>4</x:v>
      </x:c>
      <x:c r="J1718" s="4" t="n">
        <x:v>96.34</x:v>
      </x:c>
      <x:c r="K1718" s="4" t="n">
        <x:v>46</x:v>
      </x:c>
      <x:c r="L1718" s="5" t="n">
        <x:v>0.2</x:v>
      </x:c>
      <x:c r="M1718" s="4" t="n">
        <x:f>ROUND(I1718*J1718*(1-L1718),2)</x:f>
        <x:v>308.29</x:v>
      </x:c>
      <x:c r="N1718" s="4" t="n">
        <x:f>ROUND(I1718*K1718,2)</x:f>
        <x:v>184</x:v>
      </x:c>
      <x:c r="O1718" s="4" t="n">
        <x:f>ROUND(M1718-N1718,2)</x:f>
        <x:v>124.29</x:v>
      </x:c>
      <x:c r="P1718" s="6" t="n">
        <x:v>3.3</x:v>
      </x:c>
      <x:c r="Q1718" t="str">
        <x:v>No</x:v>
      </x:c>
    </x:row>
    <x:row r="1719">
      <x:c r="A1719" t="str">
        <x:v>ORD-00539</x:v>
      </x:c>
      <x:c r="B1719" s="3" t="n">
        <x:v>45987.05930016204</x:v>
      </x:c>
      <x:c r="C1719" t="str">
        <x:v>2025-11</x:v>
      </x:c>
      <x:c r="D1719" t="str">
        <x:v>CUS-0612</x:v>
      </x:c>
      <x:c r="E1719" t="str">
        <x:v>Scotland</x:v>
      </x:c>
      <x:c r="F1719" t="str">
        <x:v>Marketplace</x:v>
      </x:c>
      <x:c r="G1719" t="str">
        <x:v>Sports</x:v>
      </x:c>
      <x:c r="H1719" t="str">
        <x:v>Yoga Mat</x:v>
      </x:c>
      <x:c r="I1719" t="n">
        <x:v>4</x:v>
      </x:c>
      <x:c r="J1719" s="4" t="n">
        <x:v>28.51</x:v>
      </x:c>
      <x:c r="K1719" s="4" t="n">
        <x:v>12</x:v>
      </x:c>
      <x:c r="L1719" s="5" t="n">
        <x:v>0</x:v>
      </x:c>
      <x:c r="M1719" s="4" t="n">
        <x:f>ROUND(I1719*J1719*(1-L1719),2)</x:f>
        <x:v>114.04</x:v>
      </x:c>
      <x:c r="N1719" s="4" t="n">
        <x:f>ROUND(I1719*K1719,2)</x:f>
        <x:v>48</x:v>
      </x:c>
      <x:c r="O1719" s="4" t="n">
        <x:f>ROUND(M1719-N1719,2)</x:f>
        <x:v>66.04</x:v>
      </x:c>
      <x:c r="P1719" s="6" t="n">
        <x:v>3.8</x:v>
      </x:c>
      <x:c r="Q1719" t="str">
        <x:v>No</x:v>
      </x:c>
    </x:row>
    <x:row r="1720">
      <x:c r="A1720" t="str">
        <x:v>ORD-00918</x:v>
      </x:c>
      <x:c r="B1720" s="3" t="n">
        <x:v>45987.56432837963</x:v>
      </x:c>
      <x:c r="C1720" t="str">
        <x:v>2025-11</x:v>
      </x:c>
      <x:c r="D1720" t="str">
        <x:v>CUS-0264</x:v>
      </x:c>
      <x:c r="E1720" t="str">
        <x:v>Wales</x:v>
      </x:c>
      <x:c r="F1720" t="str">
        <x:v>Store</x:v>
      </x:c>
      <x:c r="G1720" t="str">
        <x:v>Electronics</x:v>
      </x:c>
      <x:c r="H1720" t="str">
        <x:v>Wireless Headphones</x:v>
      </x:c>
      <x:c r="I1720" t="n">
        <x:v>3</x:v>
      </x:c>
      <x:c r="J1720" s="4" t="n">
        <x:v>88.1</x:v>
      </x:c>
      <x:c r="K1720" s="4" t="n">
        <x:v>48</x:v>
      </x:c>
      <x:c r="L1720" s="5" t="n">
        <x:v>0.1</x:v>
      </x:c>
      <x:c r="M1720" s="4" t="n">
        <x:f>ROUND(I1720*J1720*(1-L1720),2)</x:f>
        <x:v>237.87</x:v>
      </x:c>
      <x:c r="N1720" s="4" t="n">
        <x:f>ROUND(I1720*K1720,2)</x:f>
        <x:v>144</x:v>
      </x:c>
      <x:c r="O1720" s="4" t="n">
        <x:f>ROUND(M1720-N1720,2)</x:f>
        <x:v>93.87</x:v>
      </x:c>
      <x:c r="P1720" s="6" t="n">
        <x:v>4.1</x:v>
      </x:c>
      <x:c r="Q1720" t="str">
        <x:v>No</x:v>
      </x:c>
    </x:row>
    <x:row r="1721">
      <x:c r="A1721" t="str">
        <x:v>ORD-00275</x:v>
      </x:c>
      <x:c r="B1721" s="3" t="n">
        <x:v>45987.99659806713</x:v>
      </x:c>
      <x:c r="C1721" t="str">
        <x:v>2025-11</x:v>
      </x:c>
      <x:c r="D1721" t="str">
        <x:v>CUS-0158</x:v>
      </x:c>
      <x:c r="E1721" t="str">
        <x:v>London</x:v>
      </x:c>
      <x:c r="F1721" t="str">
        <x:v>Store</x:v>
      </x:c>
      <x:c r="G1721" t="str">
        <x:v>Fashion</x:v>
      </x:c>
      <x:c r="H1721" t="str">
        <x:v>Backpack</x:v>
      </x:c>
      <x:c r="I1721" t="n">
        <x:v>2</x:v>
      </x:c>
      <x:c r="J1721" s="4" t="n">
        <x:v>51.26</x:v>
      </x:c>
      <x:c r="K1721" s="4" t="n">
        <x:v>21</x:v>
      </x:c>
      <x:c r="L1721" s="5" t="n">
        <x:v>0.2</x:v>
      </x:c>
      <x:c r="M1721" s="4" t="n">
        <x:f>ROUND(I1721*J1721*(1-L1721),2)</x:f>
        <x:v>82.02</x:v>
      </x:c>
      <x:c r="N1721" s="4" t="n">
        <x:f>ROUND(I1721*K1721,2)</x:f>
        <x:v>42</x:v>
      </x:c>
      <x:c r="O1721" s="4" t="n">
        <x:f>ROUND(M1721-N1721,2)</x:f>
        <x:v>40.02</x:v>
      </x:c>
      <x:c r="P1721" s="6" t="n">
        <x:v>4.1</x:v>
      </x:c>
      <x:c r="Q1721" t="str">
        <x:v>No</x:v>
      </x:c>
    </x:row>
    <x:row r="1722">
      <x:c r="A1722" t="str">
        <x:v>ORD-00626</x:v>
      </x:c>
      <x:c r="B1722" s="3" t="n">
        <x:v>45989.16181509259</x:v>
      </x:c>
      <x:c r="C1722" t="str">
        <x:v>2025-11</x:v>
      </x:c>
      <x:c r="D1722" t="str">
        <x:v>CUS-0326</x:v>
      </x:c>
      <x:c r="E1722" t="str">
        <x:v>Wales</x:v>
      </x:c>
      <x:c r="F1722" t="str">
        <x:v>Marketplace</x:v>
      </x:c>
      <x:c r="G1722" t="str">
        <x:v>Sports</x:v>
      </x:c>
      <x:c r="H1722" t="str">
        <x:v>Fitness Tracker</x:v>
      </x:c>
      <x:c r="I1722" t="n">
        <x:v>4</x:v>
      </x:c>
      <x:c r="J1722" s="4" t="n">
        <x:v>53.29</x:v>
      </x:c>
      <x:c r="K1722" s="4" t="n">
        <x:v>27</x:v>
      </x:c>
      <x:c r="L1722" s="5" t="n">
        <x:v>0</x:v>
      </x:c>
      <x:c r="M1722" s="4" t="n">
        <x:f>ROUND(I1722*J1722*(1-L1722),2)</x:f>
        <x:v>213.16</x:v>
      </x:c>
      <x:c r="N1722" s="4" t="n">
        <x:f>ROUND(I1722*K1722,2)</x:f>
        <x:v>108</x:v>
      </x:c>
      <x:c r="O1722" s="4" t="n">
        <x:f>ROUND(M1722-N1722,2)</x:f>
        <x:v>105.16</x:v>
      </x:c>
      <x:c r="P1722" s="6" t="n">
        <x:v>3.6</x:v>
      </x:c>
      <x:c r="Q1722" t="str">
        <x:v>No</x:v>
      </x:c>
    </x:row>
    <x:row r="1723">
      <x:c r="A1723" t="str">
        <x:v>ORD-00745</x:v>
      </x:c>
      <x:c r="B1723" s="3" t="n">
        <x:v>45989.51027980324</x:v>
      </x:c>
      <x:c r="C1723" t="str">
        <x:v>2025-11</x:v>
      </x:c>
      <x:c r="D1723" t="str">
        <x:v>CUS-0488</x:v>
      </x:c>
      <x:c r="E1723" t="str">
        <x:v>Wales</x:v>
      </x:c>
      <x:c r="F1723" t="str">
        <x:v>Store</x:v>
      </x:c>
      <x:c r="G1723" t="str">
        <x:v>Electronics</x:v>
      </x:c>
      <x:c r="H1723" t="str">
        <x:v>Smart Watch</x:v>
      </x:c>
      <x:c r="I1723" t="n">
        <x:v>3</x:v>
      </x:c>
      <x:c r="J1723" s="4" t="n">
        <x:v>153.11</x:v>
      </x:c>
      <x:c r="K1723" s="4" t="n">
        <x:v>92</x:v>
      </x:c>
      <x:c r="L1723" s="5" t="n">
        <x:v>0.15</x:v>
      </x:c>
      <x:c r="M1723" s="4" t="n">
        <x:f>ROUND(I1723*J1723*(1-L1723),2)</x:f>
        <x:v>390.43</x:v>
      </x:c>
      <x:c r="N1723" s="4" t="n">
        <x:f>ROUND(I1723*K1723,2)</x:f>
        <x:v>276</x:v>
      </x:c>
      <x:c r="O1723" s="4" t="n">
        <x:f>ROUND(M1723-N1723,2)</x:f>
        <x:v>114.43</x:v>
      </x:c>
      <x:c r="P1723" s="6" t="n">
        <x:v>5</x:v>
      </x:c>
      <x:c r="Q1723" t="str">
        <x:v>Yes</x:v>
      </x:c>
    </x:row>
    <x:row r="1724">
      <x:c r="A1724" t="str">
        <x:v>ORD-01036</x:v>
      </x:c>
      <x:c r="B1724" s="3" t="n">
        <x:v>45989.83116509259</x:v>
      </x:c>
      <x:c r="C1724" t="str">
        <x:v>2025-11</x:v>
      </x:c>
      <x:c r="D1724" t="str">
        <x:v>CUS-0159</x:v>
      </x:c>
      <x:c r="E1724" t="str">
        <x:v>North East</x:v>
      </x:c>
      <x:c r="F1724" t="str">
        <x:v>Online</x:v>
      </x:c>
      <x:c r="G1724" t="str">
        <x:v>Beauty</x:v>
      </x:c>
      <x:c r="H1724" t="str">
        <x:v>Skin Care Set</x:v>
      </x:c>
      <x:c r="I1724" t="n">
        <x:v>1</x:v>
      </x:c>
      <x:c r="J1724" s="4" t="n">
        <x:v>45.1</x:v>
      </x:c>
      <x:c r="K1724" s="4" t="n">
        <x:v>18</x:v>
      </x:c>
      <x:c r="L1724" s="5" t="n">
        <x:v>0.15</x:v>
      </x:c>
      <x:c r="M1724" s="4" t="n">
        <x:f>ROUND(I1724*J1724*(1-L1724),2)</x:f>
        <x:v>38.34</x:v>
      </x:c>
      <x:c r="N1724" s="4" t="n">
        <x:f>ROUND(I1724*K1724,2)</x:f>
        <x:v>18</x:v>
      </x:c>
      <x:c r="O1724" s="4" t="n">
        <x:f>ROUND(M1724-N1724,2)</x:f>
        <x:v>20.34</x:v>
      </x:c>
      <x:c r="P1724" s="6" t="n">
        <x:v>3.8</x:v>
      </x:c>
      <x:c r="Q1724" t="str">
        <x:v>No</x:v>
      </x:c>
    </x:row>
    <x:row r="1725">
      <x:c r="A1725" t="str">
        <x:v>ORD-01387</x:v>
      </x:c>
      <x:c r="B1725" s="3" t="n">
        <x:v>45990.11935292824</x:v>
      </x:c>
      <x:c r="C1725" t="str">
        <x:v>2025-11</x:v>
      </x:c>
      <x:c r="D1725" t="str">
        <x:v>CUS-0337</x:v>
      </x:c>
      <x:c r="E1725" t="str">
        <x:v>South West</x:v>
      </x:c>
      <x:c r="F1725" t="str">
        <x:v>Online</x:v>
      </x:c>
      <x:c r="G1725" t="str">
        <x:v>Books</x:v>
      </x:c>
      <x:c r="H1725" t="str">
        <x:v>Data Analytics Handbook</x:v>
      </x:c>
      <x:c r="I1725" t="n">
        <x:v>4</x:v>
      </x:c>
      <x:c r="J1725" s="4" t="n">
        <x:v>41.67</x:v>
      </x:c>
      <x:c r="K1725" s="4" t="n">
        <x:v>14</x:v>
      </x:c>
      <x:c r="L1725" s="5" t="n">
        <x:v>0</x:v>
      </x:c>
      <x:c r="M1725" s="4" t="n">
        <x:f>ROUND(I1725*J1725*(1-L1725),2)</x:f>
        <x:v>166.68</x:v>
      </x:c>
      <x:c r="N1725" s="4" t="n">
        <x:f>ROUND(I1725*K1725,2)</x:f>
        <x:v>56</x:v>
      </x:c>
      <x:c r="O1725" s="4" t="n">
        <x:f>ROUND(M1725-N1725,2)</x:f>
        <x:v>110.68</x:v>
      </x:c>
      <x:c r="P1725" s="6" t="n">
        <x:v>4.2</x:v>
      </x:c>
      <x:c r="Q1725" t="str">
        <x:v>Yes</x:v>
      </x:c>
    </x:row>
    <x:row r="1726">
      <x:c r="A1726" t="str">
        <x:v>ORD-00124</x:v>
      </x:c>
      <x:c r="B1726" s="3" t="n">
        <x:v>45990.343332233795</x:v>
      </x:c>
      <x:c r="C1726" t="str">
        <x:v>2025-11</x:v>
      </x:c>
      <x:c r="D1726" t="str">
        <x:v>CUS-0069</x:v>
      </x:c>
      <x:c r="E1726" t="str">
        <x:v>North East</x:v>
      </x:c>
      <x:c r="F1726" t="str">
        <x:v>Marketplace</x:v>
      </x:c>
      <x:c r="G1726" t="str">
        <x:v>Fashion</x:v>
      </x:c>
      <x:c r="H1726" t="str">
        <x:v>Winter Jacket</x:v>
      </x:c>
      <x:c r="I1726" t="n">
        <x:v>5</x:v>
      </x:c>
      <x:c r="J1726" s="4" t="n">
        <x:v>95.65</x:v>
      </x:c>
      <x:c r="K1726" s="4" t="n">
        <x:v>46</x:v>
      </x:c>
      <x:c r="L1726" s="5" t="n">
        <x:v>0</x:v>
      </x:c>
      <x:c r="M1726" s="4" t="n">
        <x:f>ROUND(I1726*J1726*(1-L1726),2)</x:f>
        <x:v>478.25</x:v>
      </x:c>
      <x:c r="N1726" s="4" t="n">
        <x:f>ROUND(I1726*K1726,2)</x:f>
        <x:v>230</x:v>
      </x:c>
      <x:c r="O1726" s="4" t="n">
        <x:f>ROUND(M1726-N1726,2)</x:f>
        <x:v>248.25</x:v>
      </x:c>
      <x:c r="P1726" s="6" t="n">
        <x:v>4</x:v>
      </x:c>
      <x:c r="Q1726" t="str">
        <x:v>No</x:v>
      </x:c>
    </x:row>
    <x:row r="1727">
      <x:c r="A1727" t="str">
        <x:v>ORD-00002</x:v>
      </x:c>
      <x:c r="B1727" s="3" t="n">
        <x:v>45991.84799623842</x:v>
      </x:c>
      <x:c r="C1727" t="str">
        <x:v>2025-11</x:v>
      </x:c>
      <x:c r="D1727" t="str">
        <x:v>CUS-0337</x:v>
      </x:c>
      <x:c r="E1727" t="str">
        <x:v>North East</x:v>
      </x:c>
      <x:c r="F1727" t="str">
        <x:v>Store</x:v>
      </x:c>
      <x:c r="G1727" t="str">
        <x:v>Sports</x:v>
      </x:c>
      <x:c r="H1727" t="str">
        <x:v>Fitness Tracker</x:v>
      </x:c>
      <x:c r="I1727" t="n">
        <x:v>3</x:v>
      </x:c>
      <x:c r="J1727" s="4" t="n">
        <x:v>57.43</x:v>
      </x:c>
      <x:c r="K1727" s="4" t="n">
        <x:v>27</x:v>
      </x:c>
      <x:c r="L1727" s="5" t="n">
        <x:v>0</x:v>
      </x:c>
      <x:c r="M1727" s="4" t="n">
        <x:f>ROUND(I1727*J1727*(1-L1727),2)</x:f>
        <x:v>172.29</x:v>
      </x:c>
      <x:c r="N1727" s="4" t="n">
        <x:f>ROUND(I1727*K1727,2)</x:f>
        <x:v>81</x:v>
      </x:c>
      <x:c r="O1727" s="4" t="n">
        <x:f>ROUND(M1727-N1727,2)</x:f>
        <x:v>91.29</x:v>
      </x:c>
      <x:c r="P1727" s="6" t="n">
        <x:v>5</x:v>
      </x:c>
      <x:c r="Q1727" t="str">
        <x:v>No</x:v>
      </x:c>
    </x:row>
    <x:row r="1728">
      <x:c r="A1728" t="str">
        <x:v>ORD-00053</x:v>
      </x:c>
      <x:c r="B1728" s="3" t="n">
        <x:v>45991.8940662963</x:v>
      </x:c>
      <x:c r="C1728" t="str">
        <x:v>2025-11</x:v>
      </x:c>
      <x:c r="D1728" t="str">
        <x:v>CUS-0530</x:v>
      </x:c>
      <x:c r="E1728" t="str">
        <x:v>North West</x:v>
      </x:c>
      <x:c r="F1728" t="str">
        <x:v>Store</x:v>
      </x:c>
      <x:c r="G1728" t="str">
        <x:v>Sports</x:v>
      </x:c>
      <x:c r="H1728" t="str">
        <x:v>Fitness Tracker</x:v>
      </x:c>
      <x:c r="I1728" t="n">
        <x:v>1</x:v>
      </x:c>
      <x:c r="J1728" s="4" t="n">
        <x:v>54.32</x:v>
      </x:c>
      <x:c r="K1728" s="4" t="n">
        <x:v>27</x:v>
      </x:c>
      <x:c r="L1728" s="5" t="n">
        <x:v>0</x:v>
      </x:c>
      <x:c r="M1728" s="4" t="n">
        <x:f>ROUND(I1728*J1728*(1-L1728),2)</x:f>
        <x:v>54.32</x:v>
      </x:c>
      <x:c r="N1728" s="4" t="n">
        <x:f>ROUND(I1728*K1728,2)</x:f>
        <x:v>27</x:v>
      </x:c>
      <x:c r="O1728" s="4" t="n">
        <x:f>ROUND(M1728-N1728,2)</x:f>
        <x:v>27.32</x:v>
      </x:c>
      <x:c r="P1728" s="6" t="n">
        <x:v>3.7</x:v>
      </x:c>
      <x:c r="Q1728" t="str">
        <x:v>No</x:v>
      </x:c>
    </x:row>
    <x:row r="1729">
      <x:c r="A1729" t="str">
        <x:v>ORD-00976</x:v>
      </x:c>
      <x:c r="B1729" s="3" t="n">
        <x:v>45991.92038762732</x:v>
      </x:c>
      <x:c r="C1729" t="str">
        <x:v>2025-11</x:v>
      </x:c>
      <x:c r="D1729" t="str">
        <x:v>CUS-0069</x:v>
      </x:c>
      <x:c r="E1729" t="str">
        <x:v>Midlands</x:v>
      </x:c>
      <x:c r="F1729" t="str">
        <x:v>Online</x:v>
      </x:c>
      <x:c r="G1729" t="str">
        <x:v>Fashion</x:v>
      </x:c>
      <x:c r="H1729" t="str">
        <x:v>Winter Jacket</x:v>
      </x:c>
      <x:c r="I1729" t="n">
        <x:v>4</x:v>
      </x:c>
      <x:c r="J1729" s="4" t="n">
        <x:v>97.9</x:v>
      </x:c>
      <x:c r="K1729" s="4" t="n">
        <x:v>46</x:v>
      </x:c>
      <x:c r="L1729" s="5" t="n">
        <x:v>0</x:v>
      </x:c>
      <x:c r="M1729" s="4" t="n">
        <x:f>ROUND(I1729*J1729*(1-L1729),2)</x:f>
        <x:v>391.6</x:v>
      </x:c>
      <x:c r="N1729" s="4" t="n">
        <x:f>ROUND(I1729*K1729,2)</x:f>
        <x:v>184</x:v>
      </x:c>
      <x:c r="O1729" s="4" t="n">
        <x:f>ROUND(M1729-N1729,2)</x:f>
        <x:v>207.6</x:v>
      </x:c>
      <x:c r="P1729" s="6" t="n">
        <x:v>4.3</x:v>
      </x:c>
      <x:c r="Q1729" t="str">
        <x:v>No</x:v>
      </x:c>
    </x:row>
    <x:row r="1730">
      <x:c r="A1730" t="str">
        <x:v>ORD-00005</x:v>
      </x:c>
      <x:c r="B1730" s="3" t="n">
        <x:v>45992.14828703704</x:v>
      </x:c>
      <x:c r="C1730" t="str">
        <x:v>2025-12</x:v>
      </x:c>
      <x:c r="D1730" t="str">
        <x:v>CUS-0072</x:v>
      </x:c>
      <x:c r="E1730" t="str">
        <x:v>North West</x:v>
      </x:c>
      <x:c r="F1730" t="str">
        <x:v>Marketplace</x:v>
      </x:c>
      <x:c r="G1730" t="str">
        <x:v>Home</x:v>
      </x:c>
      <x:c r="H1730" t="str">
        <x:v>Coffee Maker</x:v>
      </x:c>
      <x:c r="I1730" t="n">
        <x:v>5</x:v>
      </x:c>
      <x:c r="J1730" s="4" t="n">
        <x:v>72.75</x:v>
      </x:c>
      <x:c r="K1730" s="4" t="n">
        <x:v>41</x:v>
      </x:c>
      <x:c r="L1730" s="5" t="n">
        <x:v>0.05</x:v>
      </x:c>
      <x:c r="M1730" s="4" t="n">
        <x:f>ROUND(I1730*J1730*(1-L1730),2)</x:f>
        <x:v>345.56</x:v>
      </x:c>
      <x:c r="N1730" s="4" t="n">
        <x:f>ROUND(I1730*K1730,2)</x:f>
        <x:v>205</x:v>
      </x:c>
      <x:c r="O1730" s="4" t="n">
        <x:f>ROUND(M1730-N1730,2)</x:f>
        <x:v>140.56</x:v>
      </x:c>
      <x:c r="P1730" s="6" t="n">
        <x:v>4.8</x:v>
      </x:c>
      <x:c r="Q1730" t="str">
        <x:v>Yes</x:v>
      </x:c>
    </x:row>
    <x:row r="1731">
      <x:c r="A1731" t="str">
        <x:v>ORD-00325</x:v>
      </x:c>
      <x:c r="B1731" s="3" t="n">
        <x:v>45992.67523173611</x:v>
      </x:c>
      <x:c r="C1731" t="str">
        <x:v>2025-12</x:v>
      </x:c>
      <x:c r="D1731" t="str">
        <x:v>CUS-0034</x:v>
      </x:c>
      <x:c r="E1731" t="str">
        <x:v>North West</x:v>
      </x:c>
      <x:c r="F1731" t="str">
        <x:v>Store</x:v>
      </x:c>
      <x:c r="G1731" t="str">
        <x:v>Fashion</x:v>
      </x:c>
      <x:c r="H1731" t="str">
        <x:v>Classic Trainers</x:v>
      </x:c>
      <x:c r="I1731" t="n">
        <x:v>4</x:v>
      </x:c>
      <x:c r="J1731" s="4" t="n">
        <x:v>70.66</x:v>
      </x:c>
      <x:c r="K1731" s="4" t="n">
        <x:v>32</x:v>
      </x:c>
      <x:c r="L1731" s="5" t="n">
        <x:v>0</x:v>
      </x:c>
      <x:c r="M1731" s="4" t="n">
        <x:f>ROUND(I1731*J1731*(1-L1731),2)</x:f>
        <x:v>282.64</x:v>
      </x:c>
      <x:c r="N1731" s="4" t="n">
        <x:f>ROUND(I1731*K1731,2)</x:f>
        <x:v>128</x:v>
      </x:c>
      <x:c r="O1731" s="4" t="n">
        <x:f>ROUND(M1731-N1731,2)</x:f>
        <x:v>154.64</x:v>
      </x:c>
      <x:c r="P1731" s="6" t="n">
        <x:v>3.5</x:v>
      </x:c>
      <x:c r="Q1731" t="str">
        <x:v>Yes</x:v>
      </x:c>
    </x:row>
    <x:row r="1732">
      <x:c r="A1732" t="str">
        <x:v>ORD-01443</x:v>
      </x:c>
      <x:c r="B1732" s="3" t="n">
        <x:v>45993.919286979166</x:v>
      </x:c>
      <x:c r="C1732" t="str">
        <x:v>2025-12</x:v>
      </x:c>
      <x:c r="D1732" t="str">
        <x:v>CUS-0081</x:v>
      </x:c>
      <x:c r="E1732" t="str">
        <x:v>London</x:v>
      </x:c>
      <x:c r="F1732" t="str">
        <x:v>Online</x:v>
      </x:c>
      <x:c r="G1732" t="str">
        <x:v>Sports</x:v>
      </x:c>
      <x:c r="H1732" t="str">
        <x:v>Running Shoes</x:v>
      </x:c>
      <x:c r="I1732" t="n">
        <x:v>3</x:v>
      </x:c>
      <x:c r="J1732" s="4" t="n">
        <x:v>83.39</x:v>
      </x:c>
      <x:c r="K1732" s="4" t="n">
        <x:v>38</x:v>
      </x:c>
      <x:c r="L1732" s="5" t="n">
        <x:v>0.15</x:v>
      </x:c>
      <x:c r="M1732" s="4" t="n">
        <x:f>ROUND(I1732*J1732*(1-L1732),2)</x:f>
        <x:v>212.64</x:v>
      </x:c>
      <x:c r="N1732" s="4" t="n">
        <x:f>ROUND(I1732*K1732,2)</x:f>
        <x:v>114</x:v>
      </x:c>
      <x:c r="O1732" s="4" t="n">
        <x:f>ROUND(M1732-N1732,2)</x:f>
        <x:v>98.64</x:v>
      </x:c>
      <x:c r="P1732" s="6" t="n">
        <x:v>4.4</x:v>
      </x:c>
      <x:c r="Q1732" t="str">
        <x:v>No</x:v>
      </x:c>
    </x:row>
    <x:row r="1733">
      <x:c r="A1733" t="str">
        <x:v>ORD-01313</x:v>
      </x:c>
      <x:c r="B1733" s="3" t="n">
        <x:v>45994.00992053241</x:v>
      </x:c>
      <x:c r="C1733" t="str">
        <x:v>2025-12</x:v>
      </x:c>
      <x:c r="D1733" t="str">
        <x:v>CUS-0025</x:v>
      </x:c>
      <x:c r="E1733" t="str">
        <x:v>London</x:v>
      </x:c>
      <x:c r="F1733" t="str">
        <x:v>Store</x:v>
      </x:c>
      <x:c r="G1733" t="str">
        <x:v>Electronics</x:v>
      </x:c>
      <x:c r="H1733" t="str">
        <x:v>Wireless Headphones</x:v>
      </x:c>
      <x:c r="I1733" t="n">
        <x:v>4</x:v>
      </x:c>
      <x:c r="J1733" s="4" t="n">
        <x:v>91.61</x:v>
      </x:c>
      <x:c r="K1733" s="4" t="n">
        <x:v>48</x:v>
      </x:c>
      <x:c r="L1733" s="5" t="n">
        <x:v>0</x:v>
      </x:c>
      <x:c r="M1733" s="4" t="n">
        <x:f>ROUND(I1733*J1733*(1-L1733),2)</x:f>
        <x:v>366.44</x:v>
      </x:c>
      <x:c r="N1733" s="4" t="n">
        <x:f>ROUND(I1733*K1733,2)</x:f>
        <x:v>192</x:v>
      </x:c>
      <x:c r="O1733" s="4" t="n">
        <x:f>ROUND(M1733-N1733,2)</x:f>
        <x:v>174.44</x:v>
      </x:c>
      <x:c r="P1733" s="6" t="n">
        <x:v>4.7</x:v>
      </x:c>
      <x:c r="Q1733" t="str">
        <x:v>No</x:v>
      </x:c>
    </x:row>
    <x:row r="1734">
      <x:c r="A1734" t="str">
        <x:v>ORD-00552</x:v>
      </x:c>
      <x:c r="B1734" s="3" t="n">
        <x:v>45995.09766280092</x:v>
      </x:c>
      <x:c r="C1734" t="str">
        <x:v>2025-12</x:v>
      </x:c>
      <x:c r="D1734" t="str">
        <x:v>CUS-0179</x:v>
      </x:c>
      <x:c r="E1734" t="str">
        <x:v>London</x:v>
      </x:c>
      <x:c r="F1734" t="str">
        <x:v>Online</x:v>
      </x:c>
      <x:c r="G1734" t="str">
        <x:v>Home</x:v>
      </x:c>
      <x:c r="H1734" t="str">
        <x:v>Air Fryer</x:v>
      </x:c>
      <x:c r="I1734" t="n">
        <x:v>2</x:v>
      </x:c>
      <x:c r="J1734" s="4" t="n">
        <x:v>116</x:v>
      </x:c>
      <x:c r="K1734" s="4" t="n">
        <x:v>69</x:v>
      </x:c>
      <x:c r="L1734" s="5" t="n">
        <x:v>0</x:v>
      </x:c>
      <x:c r="M1734" s="4" t="n">
        <x:f>ROUND(I1734*J1734*(1-L1734),2)</x:f>
        <x:v>232</x:v>
      </x:c>
      <x:c r="N1734" s="4" t="n">
        <x:f>ROUND(I1734*K1734,2)</x:f>
        <x:v>138</x:v>
      </x:c>
      <x:c r="O1734" s="4" t="n">
        <x:f>ROUND(M1734-N1734,2)</x:f>
        <x:v>94</x:v>
      </x:c>
      <x:c r="P1734" s="6" t="n">
        <x:v>3.6</x:v>
      </x:c>
      <x:c r="Q1734" t="str">
        <x:v>No</x:v>
      </x:c>
    </x:row>
    <x:row r="1735">
      <x:c r="A1735" t="str">
        <x:v>ORD-01156</x:v>
      </x:c>
      <x:c r="B1735" s="3" t="n">
        <x:v>45995.22587863426</x:v>
      </x:c>
      <x:c r="C1735" t="str">
        <x:v>2025-12</x:v>
      </x:c>
      <x:c r="D1735" t="str">
        <x:v>CUS-0238</x:v>
      </x:c>
      <x:c r="E1735" t="str">
        <x:v>South East</x:v>
      </x:c>
      <x:c r="F1735" t="str">
        <x:v>Store</x:v>
      </x:c>
      <x:c r="G1735" t="str">
        <x:v>Fashion</x:v>
      </x:c>
      <x:c r="H1735" t="str">
        <x:v>Backpack</x:v>
      </x:c>
      <x:c r="I1735" t="n">
        <x:v>3</x:v>
      </x:c>
      <x:c r="J1735" s="4" t="n">
        <x:v>51.66</x:v>
      </x:c>
      <x:c r="K1735" s="4" t="n">
        <x:v>21</x:v>
      </x:c>
      <x:c r="L1735" s="5" t="n">
        <x:v>0.1</x:v>
      </x:c>
      <x:c r="M1735" s="4" t="n">
        <x:f>ROUND(I1735*J1735*(1-L1735),2)</x:f>
        <x:v>139.48</x:v>
      </x:c>
      <x:c r="N1735" s="4" t="n">
        <x:f>ROUND(I1735*K1735,2)</x:f>
        <x:v>63</x:v>
      </x:c>
      <x:c r="O1735" s="4" t="n">
        <x:f>ROUND(M1735-N1735,2)</x:f>
        <x:v>76.48</x:v>
      </x:c>
      <x:c r="P1735" s="6" t="n">
        <x:v>4.5</x:v>
      </x:c>
      <x:c r="Q1735" t="str">
        <x:v>Yes</x:v>
      </x:c>
    </x:row>
    <x:row r="1736">
      <x:c r="A1736" t="str">
        <x:v>ORD-01281</x:v>
      </x:c>
      <x:c r="B1736" s="3" t="n">
        <x:v>45995.50922515046</x:v>
      </x:c>
      <x:c r="C1736" t="str">
        <x:v>2025-12</x:v>
      </x:c>
      <x:c r="D1736" t="str">
        <x:v>CUS-0008</x:v>
      </x:c>
      <x:c r="E1736" t="str">
        <x:v>Midlands</x:v>
      </x:c>
      <x:c r="F1736" t="str">
        <x:v>Online</x:v>
      </x:c>
      <x:c r="G1736" t="str">
        <x:v>Fashion</x:v>
      </x:c>
      <x:c r="H1736" t="str">
        <x:v>Classic Trainers</x:v>
      </x:c>
      <x:c r="I1736" t="n">
        <x:v>3</x:v>
      </x:c>
      <x:c r="J1736" s="4" t="n">
        <x:v>72.47</x:v>
      </x:c>
      <x:c r="K1736" s="4" t="n">
        <x:v>32</x:v>
      </x:c>
      <x:c r="L1736" s="5" t="n">
        <x:v>0.2</x:v>
      </x:c>
      <x:c r="M1736" s="4" t="n">
        <x:f>ROUND(I1736*J1736*(1-L1736),2)</x:f>
        <x:v>173.93</x:v>
      </x:c>
      <x:c r="N1736" s="4" t="n">
        <x:f>ROUND(I1736*K1736,2)</x:f>
        <x:v>96</x:v>
      </x:c>
      <x:c r="O1736" s="4" t="n">
        <x:f>ROUND(M1736-N1736,2)</x:f>
        <x:v>77.93</x:v>
      </x:c>
      <x:c r="P1736" s="6" t="n">
        <x:v>3.7</x:v>
      </x:c>
      <x:c r="Q1736" t="str">
        <x:v>No</x:v>
      </x:c>
    </x:row>
    <x:row r="1737">
      <x:c r="A1737" t="str">
        <x:v>ORD-01743</x:v>
      </x:c>
      <x:c r="B1737" s="3" t="n">
        <x:v>45996.45863758102</x:v>
      </x:c>
      <x:c r="C1737" t="str">
        <x:v>2025-12</x:v>
      </x:c>
      <x:c r="D1737" t="str">
        <x:v>CUS-0543</x:v>
      </x:c>
      <x:c r="E1737" t="str">
        <x:v>South East</x:v>
      </x:c>
      <x:c r="F1737" t="str">
        <x:v>Marketplace</x:v>
      </x:c>
      <x:c r="G1737" t="str">
        <x:v>Sports</x:v>
      </x:c>
      <x:c r="H1737" t="str">
        <x:v>Fitness Tracker</x:v>
      </x:c>
      <x:c r="I1737" t="n">
        <x:v>1</x:v>
      </x:c>
      <x:c r="J1737" s="4" t="n">
        <x:v>57.63</x:v>
      </x:c>
      <x:c r="K1737" s="4" t="n">
        <x:v>27</x:v>
      </x:c>
      <x:c r="L1737" s="5" t="n">
        <x:v>0.2</x:v>
      </x:c>
      <x:c r="M1737" s="4" t="n">
        <x:f>ROUND(I1737*J1737*(1-L1737),2)</x:f>
        <x:v>46.1</x:v>
      </x:c>
      <x:c r="N1737" s="4" t="n">
        <x:f>ROUND(I1737*K1737,2)</x:f>
        <x:v>27</x:v>
      </x:c>
      <x:c r="O1737" s="4" t="n">
        <x:f>ROUND(M1737-N1737,2)</x:f>
        <x:v>19.1</x:v>
      </x:c>
      <x:c r="P1737" s="6" t="n">
        <x:v>4.1</x:v>
      </x:c>
      <x:c r="Q1737" t="str">
        <x:v>No</x:v>
      </x:c>
    </x:row>
    <x:row r="1738">
      <x:c r="A1738" t="str">
        <x:v>ORD-01353</x:v>
      </x:c>
      <x:c r="B1738" s="3" t="n">
        <x:v>45997.53059303241</x:v>
      </x:c>
      <x:c r="C1738" t="str">
        <x:v>2025-12</x:v>
      </x:c>
      <x:c r="D1738" t="str">
        <x:v>CUS-0336</x:v>
      </x:c>
      <x:c r="E1738" t="str">
        <x:v>Midlands</x:v>
      </x:c>
      <x:c r="F1738" t="str">
        <x:v>Online</x:v>
      </x:c>
      <x:c r="G1738" t="str">
        <x:v>Beauty</x:v>
      </x:c>
      <x:c r="H1738" t="str">
        <x:v>Skin Care Set</x:v>
      </x:c>
      <x:c r="I1738" t="n">
        <x:v>4</x:v>
      </x:c>
      <x:c r="J1738" s="4" t="n">
        <x:v>44.16</x:v>
      </x:c>
      <x:c r="K1738" s="4" t="n">
        <x:v>18</x:v>
      </x:c>
      <x:c r="L1738" s="5" t="n">
        <x:v>0.1</x:v>
      </x:c>
      <x:c r="M1738" s="4" t="n">
        <x:f>ROUND(I1738*J1738*(1-L1738),2)</x:f>
        <x:v>158.98</x:v>
      </x:c>
      <x:c r="N1738" s="4" t="n">
        <x:f>ROUND(I1738*K1738,2)</x:f>
        <x:v>72</x:v>
      </x:c>
      <x:c r="O1738" s="4" t="n">
        <x:f>ROUND(M1738-N1738,2)</x:f>
        <x:v>86.98</x:v>
      </x:c>
      <x:c r="P1738" s="6" t="n">
        <x:v>3.5</x:v>
      </x:c>
      <x:c r="Q1738" t="str">
        <x:v>No</x:v>
      </x:c>
    </x:row>
    <x:row r="1739">
      <x:c r="A1739" t="str">
        <x:v>ORD-01183</x:v>
      </x:c>
      <x:c r="B1739" s="3" t="n">
        <x:v>45997.81239115741</x:v>
      </x:c>
      <x:c r="C1739" t="str">
        <x:v>2025-12</x:v>
      </x:c>
      <x:c r="D1739" t="str">
        <x:v>CUS-0263</x:v>
      </x:c>
      <x:c r="E1739" t="str">
        <x:v>Scotland</x:v>
      </x:c>
      <x:c r="F1739" t="str">
        <x:v>Store</x:v>
      </x:c>
      <x:c r="G1739" t="str">
        <x:v>Home</x:v>
      </x:c>
      <x:c r="H1739" t="str">
        <x:v>Desk Lamp</x:v>
      </x:c>
      <x:c r="I1739" t="n">
        <x:v>2</x:v>
      </x:c>
      <x:c r="J1739" s="4" t="n">
        <x:v>33.65</x:v>
      </x:c>
      <x:c r="K1739" s="4" t="n">
        <x:v>17</x:v>
      </x:c>
      <x:c r="L1739" s="5" t="n">
        <x:v>0</x:v>
      </x:c>
      <x:c r="M1739" s="4" t="n">
        <x:f>ROUND(I1739*J1739*(1-L1739),2)</x:f>
        <x:v>67.3</x:v>
      </x:c>
      <x:c r="N1739" s="4" t="n">
        <x:f>ROUND(I1739*K1739,2)</x:f>
        <x:v>34</x:v>
      </x:c>
      <x:c r="O1739" s="4" t="n">
        <x:f>ROUND(M1739-N1739,2)</x:f>
        <x:v>33.3</x:v>
      </x:c>
      <x:c r="P1739" s="6" t="n">
        <x:v>3.6</x:v>
      </x:c>
      <x:c r="Q1739" t="str">
        <x:v>Yes</x:v>
      </x:c>
    </x:row>
    <x:row r="1740">
      <x:c r="A1740" t="str">
        <x:v>ORD-00952</x:v>
      </x:c>
      <x:c r="B1740" s="3" t="n">
        <x:v>45998.27212877315</x:v>
      </x:c>
      <x:c r="C1740" t="str">
        <x:v>2025-12</x:v>
      </x:c>
      <x:c r="D1740" t="str">
        <x:v>CUS-0177</x:v>
      </x:c>
      <x:c r="E1740" t="str">
        <x:v>Midlands</x:v>
      </x:c>
      <x:c r="F1740" t="str">
        <x:v>Marketplace</x:v>
      </x:c>
      <x:c r="G1740" t="str">
        <x:v>Fashion</x:v>
      </x:c>
      <x:c r="H1740" t="str">
        <x:v>Backpack</x:v>
      </x:c>
      <x:c r="I1740" t="n">
        <x:v>4</x:v>
      </x:c>
      <x:c r="J1740" s="4" t="n">
        <x:v>51.1</x:v>
      </x:c>
      <x:c r="K1740" s="4" t="n">
        <x:v>21</x:v>
      </x:c>
      <x:c r="L1740" s="5" t="n">
        <x:v>0.2</x:v>
      </x:c>
      <x:c r="M1740" s="4" t="n">
        <x:f>ROUND(I1740*J1740*(1-L1740),2)</x:f>
        <x:v>163.52</x:v>
      </x:c>
      <x:c r="N1740" s="4" t="n">
        <x:f>ROUND(I1740*K1740,2)</x:f>
        <x:v>84</x:v>
      </x:c>
      <x:c r="O1740" s="4" t="n">
        <x:f>ROUND(M1740-N1740,2)</x:f>
        <x:v>79.52</x:v>
      </x:c>
      <x:c r="P1740" s="6" t="n">
        <x:v>4.1</x:v>
      </x:c>
      <x:c r="Q1740" t="str">
        <x:v>No</x:v>
      </x:c>
    </x:row>
    <x:row r="1741">
      <x:c r="A1741" t="str">
        <x:v>ORD-00231</x:v>
      </x:c>
      <x:c r="B1741" s="3" t="n">
        <x:v>45998.60686835648</x:v>
      </x:c>
      <x:c r="C1741" t="str">
        <x:v>2025-12</x:v>
      </x:c>
      <x:c r="D1741" t="str">
        <x:v>CUS-0275</x:v>
      </x:c>
      <x:c r="E1741" t="str">
        <x:v>North West</x:v>
      </x:c>
      <x:c r="F1741" t="str">
        <x:v>Marketplace</x:v>
      </x:c>
      <x:c r="G1741" t="str">
        <x:v>Books</x:v>
      </x:c>
      <x:c r="H1741" t="str">
        <x:v>Data Analytics Handbook</x:v>
      </x:c>
      <x:c r="I1741" t="n">
        <x:v>4</x:v>
      </x:c>
      <x:c r="J1741" s="4" t="n">
        <x:v>39.81</x:v>
      </x:c>
      <x:c r="K1741" s="4" t="n">
        <x:v>14</x:v>
      </x:c>
      <x:c r="L1741" s="5" t="n">
        <x:v>0.2</x:v>
      </x:c>
      <x:c r="M1741" s="4" t="n">
        <x:f>ROUND(I1741*J1741*(1-L1741),2)</x:f>
        <x:v>127.39</x:v>
      </x:c>
      <x:c r="N1741" s="4" t="n">
        <x:f>ROUND(I1741*K1741,2)</x:f>
        <x:v>56</x:v>
      </x:c>
      <x:c r="O1741" s="4" t="n">
        <x:f>ROUND(M1741-N1741,2)</x:f>
        <x:v>71.39</x:v>
      </x:c>
      <x:c r="P1741" s="6" t="n">
        <x:v>4.7</x:v>
      </x:c>
      <x:c r="Q1741" t="str">
        <x:v>No</x:v>
      </x:c>
    </x:row>
    <x:row r="1742">
      <x:c r="A1742" t="str">
        <x:v>ORD-01699</x:v>
      </x:c>
      <x:c r="B1742" s="3" t="n">
        <x:v>45999.25282622685</x:v>
      </x:c>
      <x:c r="C1742" t="str">
        <x:v>2025-12</x:v>
      </x:c>
      <x:c r="D1742" t="str">
        <x:v>CUS-0254</x:v>
      </x:c>
      <x:c r="E1742" t="str">
        <x:v>North West</x:v>
      </x:c>
      <x:c r="F1742" t="str">
        <x:v>Marketplace</x:v>
      </x:c>
      <x:c r="G1742" t="str">
        <x:v>Beauty</x:v>
      </x:c>
      <x:c r="H1742" t="str">
        <x:v>Skin Care Set</x:v>
      </x:c>
      <x:c r="I1742" t="n">
        <x:v>5</x:v>
      </x:c>
      <x:c r="J1742" s="4" t="n">
        <x:v>44.1</x:v>
      </x:c>
      <x:c r="K1742" s="4" t="n">
        <x:v>18</x:v>
      </x:c>
      <x:c r="L1742" s="5" t="n">
        <x:v>0</x:v>
      </x:c>
      <x:c r="M1742" s="4" t="n">
        <x:f>ROUND(I1742*J1742*(1-L1742),2)</x:f>
        <x:v>220.5</x:v>
      </x:c>
      <x:c r="N1742" s="4" t="n">
        <x:f>ROUND(I1742*K1742,2)</x:f>
        <x:v>90</x:v>
      </x:c>
      <x:c r="O1742" s="4" t="n">
        <x:f>ROUND(M1742-N1742,2)</x:f>
        <x:v>130.5</x:v>
      </x:c>
      <x:c r="P1742" s="6" t="n">
        <x:v>4.1</x:v>
      </x:c>
      <x:c r="Q1742" t="str">
        <x:v>Yes</x:v>
      </x:c>
    </x:row>
    <x:row r="1743">
      <x:c r="A1743" t="str">
        <x:v>ORD-01495</x:v>
      </x:c>
      <x:c r="B1743" s="3" t="n">
        <x:v>45999.29055740741</x:v>
      </x:c>
      <x:c r="C1743" t="str">
        <x:v>2025-12</x:v>
      </x:c>
      <x:c r="D1743" t="str">
        <x:v>CUS-0113</x:v>
      </x:c>
      <x:c r="E1743" t="str">
        <x:v>South West</x:v>
      </x:c>
      <x:c r="F1743" t="str">
        <x:v>Store</x:v>
      </x:c>
      <x:c r="G1743" t="str">
        <x:v>Beauty</x:v>
      </x:c>
      <x:c r="H1743" t="str">
        <x:v>Hair Dryer</x:v>
      </x:c>
      <x:c r="I1743" t="n">
        <x:v>2</x:v>
      </x:c>
      <x:c r="J1743" s="4" t="n">
        <x:v>60.83</x:v>
      </x:c>
      <x:c r="K1743" s="4" t="n">
        <x:v>29</x:v>
      </x:c>
      <x:c r="L1743" s="5" t="n">
        <x:v>0</x:v>
      </x:c>
      <x:c r="M1743" s="4" t="n">
        <x:f>ROUND(I1743*J1743*(1-L1743),2)</x:f>
        <x:v>121.66</x:v>
      </x:c>
      <x:c r="N1743" s="4" t="n">
        <x:f>ROUND(I1743*K1743,2)</x:f>
        <x:v>58</x:v>
      </x:c>
      <x:c r="O1743" s="4" t="n">
        <x:f>ROUND(M1743-N1743,2)</x:f>
        <x:v>63.66</x:v>
      </x:c>
      <x:c r="P1743" s="6" t="n">
        <x:v>4.5</x:v>
      </x:c>
      <x:c r="Q1743" t="str">
        <x:v>No</x:v>
      </x:c>
    </x:row>
    <x:row r="1744">
      <x:c r="A1744" t="str">
        <x:v>ORD-00635</x:v>
      </x:c>
      <x:c r="B1744" s="3" t="n">
        <x:v>45999.38724107639</x:v>
      </x:c>
      <x:c r="C1744" t="str">
        <x:v>2025-12</x:v>
      </x:c>
      <x:c r="D1744" t="str">
        <x:v>CUS-0178</x:v>
      </x:c>
      <x:c r="E1744" t="str">
        <x:v>North West</x:v>
      </x:c>
      <x:c r="F1744" t="str">
        <x:v>Marketplace</x:v>
      </x:c>
      <x:c r="G1744" t="str">
        <x:v>Home</x:v>
      </x:c>
      <x:c r="H1744" t="str">
        <x:v>Air Fryer</x:v>
      </x:c>
      <x:c r="I1744" t="n">
        <x:v>2</x:v>
      </x:c>
      <x:c r="J1744" s="4" t="n">
        <x:v>114.34</x:v>
      </x:c>
      <x:c r="K1744" s="4" t="n">
        <x:v>69</x:v>
      </x:c>
      <x:c r="L1744" s="5" t="n">
        <x:v>0.1</x:v>
      </x:c>
      <x:c r="M1744" s="4" t="n">
        <x:f>ROUND(I1744*J1744*(1-L1744),2)</x:f>
        <x:v>205.81</x:v>
      </x:c>
      <x:c r="N1744" s="4" t="n">
        <x:f>ROUND(I1744*K1744,2)</x:f>
        <x:v>138</x:v>
      </x:c>
      <x:c r="O1744" s="4" t="n">
        <x:f>ROUND(M1744-N1744,2)</x:f>
        <x:v>67.81</x:v>
      </x:c>
      <x:c r="P1744" s="6" t="n">
        <x:v>3.8</x:v>
      </x:c>
      <x:c r="Q1744" t="str">
        <x:v>No</x:v>
      </x:c>
    </x:row>
    <x:row r="1745">
      <x:c r="A1745" t="str">
        <x:v>ORD-01710</x:v>
      </x:c>
      <x:c r="B1745" s="3" t="n">
        <x:v>46000.82539009259</x:v>
      </x:c>
      <x:c r="C1745" t="str">
        <x:v>2025-12</x:v>
      </x:c>
      <x:c r="D1745" t="str">
        <x:v>CUS-0512</x:v>
      </x:c>
      <x:c r="E1745" t="str">
        <x:v>Scotland</x:v>
      </x:c>
      <x:c r="F1745" t="str">
        <x:v>Marketplace</x:v>
      </x:c>
      <x:c r="G1745" t="str">
        <x:v>Sports</x:v>
      </x:c>
      <x:c r="H1745" t="str">
        <x:v>Yoga Mat</x:v>
      </x:c>
      <x:c r="I1745" t="n">
        <x:v>4</x:v>
      </x:c>
      <x:c r="J1745" s="4" t="n">
        <x:v>29.53</x:v>
      </x:c>
      <x:c r="K1745" s="4" t="n">
        <x:v>12</x:v>
      </x:c>
      <x:c r="L1745" s="5" t="n">
        <x:v>0</x:v>
      </x:c>
      <x:c r="M1745" s="4" t="n">
        <x:f>ROUND(I1745*J1745*(1-L1745),2)</x:f>
        <x:v>118.12</x:v>
      </x:c>
      <x:c r="N1745" s="4" t="n">
        <x:f>ROUND(I1745*K1745,2)</x:f>
        <x:v>48</x:v>
      </x:c>
      <x:c r="O1745" s="4" t="n">
        <x:f>ROUND(M1745-N1745,2)</x:f>
        <x:v>70.12</x:v>
      </x:c>
      <x:c r="P1745" s="6" t="n">
        <x:v>4.3</x:v>
      </x:c>
      <x:c r="Q1745" t="str">
        <x:v>No</x:v>
      </x:c>
    </x:row>
    <x:row r="1746">
      <x:c r="A1746" t="str">
        <x:v>ORD-00801</x:v>
      </x:c>
      <x:c r="B1746" s="3" t="n">
        <x:v>46001.669143611114</x:v>
      </x:c>
      <x:c r="C1746" t="str">
        <x:v>2025-12</x:v>
      </x:c>
      <x:c r="D1746" t="str">
        <x:v>CUS-0149</x:v>
      </x:c>
      <x:c r="E1746" t="str">
        <x:v>Midlands</x:v>
      </x:c>
      <x:c r="F1746" t="str">
        <x:v>Marketplace</x:v>
      </x:c>
      <x:c r="G1746" t="str">
        <x:v>Sports</x:v>
      </x:c>
      <x:c r="H1746" t="str">
        <x:v>Running Shoes</x:v>
      </x:c>
      <x:c r="I1746" t="n">
        <x:v>5</x:v>
      </x:c>
      <x:c r="J1746" s="4" t="n">
        <x:v>79.16</x:v>
      </x:c>
      <x:c r="K1746" s="4" t="n">
        <x:v>38</x:v>
      </x:c>
      <x:c r="L1746" s="5" t="n">
        <x:v>0</x:v>
      </x:c>
      <x:c r="M1746" s="4" t="n">
        <x:f>ROUND(I1746*J1746*(1-L1746),2)</x:f>
        <x:v>395.8</x:v>
      </x:c>
      <x:c r="N1746" s="4" t="n">
        <x:f>ROUND(I1746*K1746,2)</x:f>
        <x:v>190</x:v>
      </x:c>
      <x:c r="O1746" s="4" t="n">
        <x:f>ROUND(M1746-N1746,2)</x:f>
        <x:v>205.8</x:v>
      </x:c>
      <x:c r="P1746" s="6" t="n">
        <x:v>4.6</x:v>
      </x:c>
      <x:c r="Q1746" t="str">
        <x:v>No</x:v>
      </x:c>
    </x:row>
    <x:row r="1747">
      <x:c r="A1747" t="str">
        <x:v>ORD-00326</x:v>
      </x:c>
      <x:c r="B1747" s="3" t="n">
        <x:v>46001.74605576389</x:v>
      </x:c>
      <x:c r="C1747" t="str">
        <x:v>2025-12</x:v>
      </x:c>
      <x:c r="D1747" t="str">
        <x:v>CUS-0330</x:v>
      </x:c>
      <x:c r="E1747" t="str">
        <x:v>Midlands</x:v>
      </x:c>
      <x:c r="F1747" t="str">
        <x:v>Marketplace</x:v>
      </x:c>
      <x:c r="G1747" t="str">
        <x:v>Beauty</x:v>
      </x:c>
      <x:c r="H1747" t="str">
        <x:v>Skin Care Set</x:v>
      </x:c>
      <x:c r="I1747" t="n">
        <x:v>3</x:v>
      </x:c>
      <x:c r="J1747" s="4" t="n">
        <x:v>46.43</x:v>
      </x:c>
      <x:c r="K1747" s="4" t="n">
        <x:v>18</x:v>
      </x:c>
      <x:c r="L1747" s="5" t="n">
        <x:v>0</x:v>
      </x:c>
      <x:c r="M1747" s="4" t="n">
        <x:f>ROUND(I1747*J1747*(1-L1747),2)</x:f>
        <x:v>139.29</x:v>
      </x:c>
      <x:c r="N1747" s="4" t="n">
        <x:f>ROUND(I1747*K1747,2)</x:f>
        <x:v>54</x:v>
      </x:c>
      <x:c r="O1747" s="4" t="n">
        <x:f>ROUND(M1747-N1747,2)</x:f>
        <x:v>85.29</x:v>
      </x:c>
      <x:c r="P1747" s="6" t="n">
        <x:v>5</x:v>
      </x:c>
      <x:c r="Q1747" t="str">
        <x:v>No</x:v>
      </x:c>
    </x:row>
    <x:row r="1748">
      <x:c r="A1748" t="str">
        <x:v>ORD-00706</x:v>
      </x:c>
      <x:c r="B1748" s="3" t="n">
        <x:v>46002.34596770833</x:v>
      </x:c>
      <x:c r="C1748" t="str">
        <x:v>2025-12</x:v>
      </x:c>
      <x:c r="D1748" t="str">
        <x:v>CUS-0244</x:v>
      </x:c>
      <x:c r="E1748" t="str">
        <x:v>South East</x:v>
      </x:c>
      <x:c r="F1748" t="str">
        <x:v>Store</x:v>
      </x:c>
      <x:c r="G1748" t="str">
        <x:v>Fashion</x:v>
      </x:c>
      <x:c r="H1748" t="str">
        <x:v>Backpack</x:v>
      </x:c>
      <x:c r="I1748" t="n">
        <x:v>5</x:v>
      </x:c>
      <x:c r="J1748" s="4" t="n">
        <x:v>49.93</x:v>
      </x:c>
      <x:c r="K1748" s="4" t="n">
        <x:v>21</x:v>
      </x:c>
      <x:c r="L1748" s="5" t="n">
        <x:v>0</x:v>
      </x:c>
      <x:c r="M1748" s="4" t="n">
        <x:f>ROUND(I1748*J1748*(1-L1748),2)</x:f>
        <x:v>249.65</x:v>
      </x:c>
      <x:c r="N1748" s="4" t="n">
        <x:f>ROUND(I1748*K1748,2)</x:f>
        <x:v>105</x:v>
      </x:c>
      <x:c r="O1748" s="4" t="n">
        <x:f>ROUND(M1748-N1748,2)</x:f>
        <x:v>144.65</x:v>
      </x:c>
      <x:c r="P1748" s="6" t="n">
        <x:v>5</x:v>
      </x:c>
      <x:c r="Q1748" t="str">
        <x:v>No</x:v>
      </x:c>
    </x:row>
    <x:row r="1749">
      <x:c r="A1749" t="str">
        <x:v>ORD-01642</x:v>
      </x:c>
      <x:c r="B1749" s="3" t="n">
        <x:v>46002.49370247685</x:v>
      </x:c>
      <x:c r="C1749" t="str">
        <x:v>2025-12</x:v>
      </x:c>
      <x:c r="D1749" t="str">
        <x:v>CUS-0485</x:v>
      </x:c>
      <x:c r="E1749" t="str">
        <x:v>South West</x:v>
      </x:c>
      <x:c r="F1749" t="str">
        <x:v>Marketplace</x:v>
      </x:c>
      <x:c r="G1749" t="str">
        <x:v>Sports</x:v>
      </x:c>
      <x:c r="H1749" t="str">
        <x:v>Fitness Tracker</x:v>
      </x:c>
      <x:c r="I1749" t="n">
        <x:v>3</x:v>
      </x:c>
      <x:c r="J1749" s="4" t="n">
        <x:v>52.87</x:v>
      </x:c>
      <x:c r="K1749" s="4" t="n">
        <x:v>27</x:v>
      </x:c>
      <x:c r="L1749" s="5" t="n">
        <x:v>0.1</x:v>
      </x:c>
      <x:c r="M1749" s="4" t="n">
        <x:f>ROUND(I1749*J1749*(1-L1749),2)</x:f>
        <x:v>142.75</x:v>
      </x:c>
      <x:c r="N1749" s="4" t="n">
        <x:f>ROUND(I1749*K1749,2)</x:f>
        <x:v>81</x:v>
      </x:c>
      <x:c r="O1749" s="4" t="n">
        <x:f>ROUND(M1749-N1749,2)</x:f>
        <x:v>61.75</x:v>
      </x:c>
      <x:c r="P1749" s="6" t="n">
        <x:v>4.1</x:v>
      </x:c>
      <x:c r="Q1749" t="str">
        <x:v>No</x:v>
      </x:c>
    </x:row>
    <x:row r="1750">
      <x:c r="A1750" t="str">
        <x:v>ORD-00048</x:v>
      </x:c>
      <x:c r="B1750" s="3" t="n">
        <x:v>46002.56452474537</x:v>
      </x:c>
      <x:c r="C1750" t="str">
        <x:v>2025-12</x:v>
      </x:c>
      <x:c r="D1750" t="str">
        <x:v>CUS-0010</x:v>
      </x:c>
      <x:c r="E1750" t="str">
        <x:v>Scotland</x:v>
      </x:c>
      <x:c r="F1750" t="str">
        <x:v>Online</x:v>
      </x:c>
      <x:c r="G1750" t="str">
        <x:v>Electronics</x:v>
      </x:c>
      <x:c r="H1750" t="str">
        <x:v>Wireless Headphones</x:v>
      </x:c>
      <x:c r="I1750" t="n">
        <x:v>2</x:v>
      </x:c>
      <x:c r="J1750" s="4" t="n">
        <x:v>87.66</x:v>
      </x:c>
      <x:c r="K1750" s="4" t="n">
        <x:v>48</x:v>
      </x:c>
      <x:c r="L1750" s="5" t="n">
        <x:v>0.05</x:v>
      </x:c>
      <x:c r="M1750" s="4" t="n">
        <x:f>ROUND(I1750*J1750*(1-L1750),2)</x:f>
        <x:v>166.55</x:v>
      </x:c>
      <x:c r="N1750" s="4" t="n">
        <x:f>ROUND(I1750*K1750,2)</x:f>
        <x:v>96</x:v>
      </x:c>
      <x:c r="O1750" s="4" t="n">
        <x:f>ROUND(M1750-N1750,2)</x:f>
        <x:v>70.55</x:v>
      </x:c>
      <x:c r="P1750" s="6" t="n">
        <x:v>3.7</x:v>
      </x:c>
      <x:c r="Q1750" t="str">
        <x:v>Yes</x:v>
      </x:c>
    </x:row>
    <x:row r="1751">
      <x:c r="A1751" t="str">
        <x:v>ORD-01212</x:v>
      </x:c>
      <x:c r="B1751" s="3" t="n">
        <x:v>46002.68666530093</x:v>
      </x:c>
      <x:c r="C1751" t="str">
        <x:v>2025-12</x:v>
      </x:c>
      <x:c r="D1751" t="str">
        <x:v>CUS-0077</x:v>
      </x:c>
      <x:c r="E1751" t="str">
        <x:v>North East</x:v>
      </x:c>
      <x:c r="F1751" t="str">
        <x:v>Online</x:v>
      </x:c>
      <x:c r="G1751" t="str">
        <x:v>Sports</x:v>
      </x:c>
      <x:c r="H1751" t="str">
        <x:v>Fitness Tracker</x:v>
      </x:c>
      <x:c r="I1751" t="n">
        <x:v>3</x:v>
      </x:c>
      <x:c r="J1751" s="4" t="n">
        <x:v>56.61</x:v>
      </x:c>
      <x:c r="K1751" s="4" t="n">
        <x:v>27</x:v>
      </x:c>
      <x:c r="L1751" s="5" t="n">
        <x:v>0.2</x:v>
      </x:c>
      <x:c r="M1751" s="4" t="n">
        <x:f>ROUND(I1751*J1751*(1-L1751),2)</x:f>
        <x:v>135.86</x:v>
      </x:c>
      <x:c r="N1751" s="4" t="n">
        <x:f>ROUND(I1751*K1751,2)</x:f>
        <x:v>81</x:v>
      </x:c>
      <x:c r="O1751" s="4" t="n">
        <x:f>ROUND(M1751-N1751,2)</x:f>
        <x:v>54.86</x:v>
      </x:c>
      <x:c r="P1751" s="6" t="n">
        <x:v>4.4</x:v>
      </x:c>
      <x:c r="Q1751" t="str">
        <x:v>Yes</x:v>
      </x:c>
    </x:row>
    <x:row r="1752">
      <x:c r="A1752" t="str">
        <x:v>ORD-01278</x:v>
      </x:c>
      <x:c r="B1752" s="3" t="n">
        <x:v>46002.75749708333</x:v>
      </x:c>
      <x:c r="C1752" t="str">
        <x:v>2025-12</x:v>
      </x:c>
      <x:c r="D1752" t="str">
        <x:v>CUS-0308</x:v>
      </x:c>
      <x:c r="E1752" t="str">
        <x:v>South West</x:v>
      </x:c>
      <x:c r="F1752" t="str">
        <x:v>Marketplace</x:v>
      </x:c>
      <x:c r="G1752" t="str">
        <x:v>Electronics</x:v>
      </x:c>
      <x:c r="H1752" t="str">
        <x:v>Wireless Headphones</x:v>
      </x:c>
      <x:c r="I1752" t="n">
        <x:v>2</x:v>
      </x:c>
      <x:c r="J1752" s="4" t="n">
        <x:v>94.44</x:v>
      </x:c>
      <x:c r="K1752" s="4" t="n">
        <x:v>48</x:v>
      </x:c>
      <x:c r="L1752" s="5" t="n">
        <x:v>0</x:v>
      </x:c>
      <x:c r="M1752" s="4" t="n">
        <x:f>ROUND(I1752*J1752*(1-L1752),2)</x:f>
        <x:v>188.88</x:v>
      </x:c>
      <x:c r="N1752" s="4" t="n">
        <x:f>ROUND(I1752*K1752,2)</x:f>
        <x:v>96</x:v>
      </x:c>
      <x:c r="O1752" s="4" t="n">
        <x:f>ROUND(M1752-N1752,2)</x:f>
        <x:v>92.88</x:v>
      </x:c>
      <x:c r="P1752" s="6" t="n">
        <x:v>4.7</x:v>
      </x:c>
      <x:c r="Q1752" t="str">
        <x:v>No</x:v>
      </x:c>
    </x:row>
    <x:row r="1753">
      <x:c r="A1753" t="str">
        <x:v>ORD-01017</x:v>
      </x:c>
      <x:c r="B1753" s="3" t="n">
        <x:v>46003.00808428241</x:v>
      </x:c>
      <x:c r="C1753" t="str">
        <x:v>2025-12</x:v>
      </x:c>
      <x:c r="D1753" t="str">
        <x:v>CUS-0031</x:v>
      </x:c>
      <x:c r="E1753" t="str">
        <x:v>North East</x:v>
      </x:c>
      <x:c r="F1753" t="str">
        <x:v>Marketplace</x:v>
      </x:c>
      <x:c r="G1753" t="str">
        <x:v>Sports</x:v>
      </x:c>
      <x:c r="H1753" t="str">
        <x:v>Running Shoes</x:v>
      </x:c>
      <x:c r="I1753" t="n">
        <x:v>1</x:v>
      </x:c>
      <x:c r="J1753" s="4" t="n">
        <x:v>79.84</x:v>
      </x:c>
      <x:c r="K1753" s="4" t="n">
        <x:v>38</x:v>
      </x:c>
      <x:c r="L1753" s="5" t="n">
        <x:v>0.2</x:v>
      </x:c>
      <x:c r="M1753" s="4" t="n">
        <x:f>ROUND(I1753*J1753*(1-L1753),2)</x:f>
        <x:v>63.87</x:v>
      </x:c>
      <x:c r="N1753" s="4" t="n">
        <x:f>ROUND(I1753*K1753,2)</x:f>
        <x:v>38</x:v>
      </x:c>
      <x:c r="O1753" s="4" t="n">
        <x:f>ROUND(M1753-N1753,2)</x:f>
        <x:v>25.87</x:v>
      </x:c>
      <x:c r="P1753" s="6" t="n">
        <x:v>4.4</x:v>
      </x:c>
      <x:c r="Q1753" t="str">
        <x:v>No</x:v>
      </x:c>
    </x:row>
    <x:row r="1754">
      <x:c r="A1754" t="str">
        <x:v>ORD-00709</x:v>
      </x:c>
      <x:c r="B1754" s="3" t="n">
        <x:v>46004.217019710646</x:v>
      </x:c>
      <x:c r="C1754" t="str">
        <x:v>2025-12</x:v>
      </x:c>
      <x:c r="D1754" t="str">
        <x:v>CUS-0499</x:v>
      </x:c>
      <x:c r="E1754" t="str">
        <x:v>South West</x:v>
      </x:c>
      <x:c r="F1754" t="str">
        <x:v>Marketplace</x:v>
      </x:c>
      <x:c r="G1754" t="str">
        <x:v>Books</x:v>
      </x:c>
      <x:c r="H1754" t="str">
        <x:v>Business Intelligence Guide</x:v>
      </x:c>
      <x:c r="I1754" t="n">
        <x:v>1</x:v>
      </x:c>
      <x:c r="J1754" s="4" t="n">
        <x:v>33.91</x:v>
      </x:c>
      <x:c r="K1754" s="4" t="n">
        <x:v>12</x:v>
      </x:c>
      <x:c r="L1754" s="5" t="n">
        <x:v>0</x:v>
      </x:c>
      <x:c r="M1754" s="4" t="n">
        <x:f>ROUND(I1754*J1754*(1-L1754),2)</x:f>
        <x:v>33.91</x:v>
      </x:c>
      <x:c r="N1754" s="4" t="n">
        <x:f>ROUND(I1754*K1754,2)</x:f>
        <x:v>12</x:v>
      </x:c>
      <x:c r="O1754" s="4" t="n">
        <x:f>ROUND(M1754-N1754,2)</x:f>
        <x:v>21.91</x:v>
      </x:c>
      <x:c r="P1754" s="6" t="n">
        <x:v>4.1</x:v>
      </x:c>
      <x:c r="Q1754" t="str">
        <x:v>No</x:v>
      </x:c>
    </x:row>
    <x:row r="1755">
      <x:c r="A1755" t="str">
        <x:v>ORD-00487</x:v>
      </x:c>
      <x:c r="B1755" s="3" t="n">
        <x:v>46005.26872334491</x:v>
      </x:c>
      <x:c r="C1755" t="str">
        <x:v>2025-12</x:v>
      </x:c>
      <x:c r="D1755" t="str">
        <x:v>CUS-0338</x:v>
      </x:c>
      <x:c r="E1755" t="str">
        <x:v>Scotland</x:v>
      </x:c>
      <x:c r="F1755" t="str">
        <x:v>Marketplace</x:v>
      </x:c>
      <x:c r="G1755" t="str">
        <x:v>Electronics</x:v>
      </x:c>
      <x:c r="H1755" t="str">
        <x:v>Wireless Headphones</x:v>
      </x:c>
      <x:c r="I1755" t="n">
        <x:v>1</x:v>
      </x:c>
      <x:c r="J1755" s="4" t="n">
        <x:v>94.06</x:v>
      </x:c>
      <x:c r="K1755" s="4" t="n">
        <x:v>48</x:v>
      </x:c>
      <x:c r="L1755" s="5" t="n">
        <x:v>0.15</x:v>
      </x:c>
      <x:c r="M1755" s="4" t="n">
        <x:f>ROUND(I1755*J1755*(1-L1755),2)</x:f>
        <x:v>79.95</x:v>
      </x:c>
      <x:c r="N1755" s="4" t="n">
        <x:f>ROUND(I1755*K1755,2)</x:f>
        <x:v>48</x:v>
      </x:c>
      <x:c r="O1755" s="4" t="n">
        <x:f>ROUND(M1755-N1755,2)</x:f>
        <x:v>31.95</x:v>
      </x:c>
      <x:c r="P1755" s="6" t="n">
        <x:v>4</x:v>
      </x:c>
      <x:c r="Q1755" t="str">
        <x:v>No</x:v>
      </x:c>
    </x:row>
    <x:row r="1756">
      <x:c r="A1756" t="str">
        <x:v>ORD-00255</x:v>
      </x:c>
      <x:c r="B1756" s="3" t="n">
        <x:v>46006.062792627316</x:v>
      </x:c>
      <x:c r="C1756" t="str">
        <x:v>2025-12</x:v>
      </x:c>
      <x:c r="D1756" t="str">
        <x:v>CUS-0048</x:v>
      </x:c>
      <x:c r="E1756" t="str">
        <x:v>Midlands</x:v>
      </x:c>
      <x:c r="F1756" t="str">
        <x:v>Online</x:v>
      </x:c>
      <x:c r="G1756" t="str">
        <x:v>Fashion</x:v>
      </x:c>
      <x:c r="H1756" t="str">
        <x:v>Backpack</x:v>
      </x:c>
      <x:c r="I1756" t="n">
        <x:v>5</x:v>
      </x:c>
      <x:c r="J1756" s="4" t="n">
        <x:v>49.75</x:v>
      </x:c>
      <x:c r="K1756" s="4" t="n">
        <x:v>21</x:v>
      </x:c>
      <x:c r="L1756" s="5" t="n">
        <x:v>0</x:v>
      </x:c>
      <x:c r="M1756" s="4" t="n">
        <x:f>ROUND(I1756*J1756*(1-L1756),2)</x:f>
        <x:v>248.75</x:v>
      </x:c>
      <x:c r="N1756" s="4" t="n">
        <x:f>ROUND(I1756*K1756,2)</x:f>
        <x:v>105</x:v>
      </x:c>
      <x:c r="O1756" s="4" t="n">
        <x:f>ROUND(M1756-N1756,2)</x:f>
        <x:v>143.75</x:v>
      </x:c>
      <x:c r="P1756" s="6" t="n">
        <x:v>4</x:v>
      </x:c>
      <x:c r="Q1756" t="str">
        <x:v>No</x:v>
      </x:c>
    </x:row>
    <x:row r="1757">
      <x:c r="A1757" t="str">
        <x:v>ORD-01042</x:v>
      </x:c>
      <x:c r="B1757" s="3" t="n">
        <x:v>46006.2744643287</x:v>
      </x:c>
      <x:c r="C1757" t="str">
        <x:v>2025-12</x:v>
      </x:c>
      <x:c r="D1757" t="str">
        <x:v>CUS-0242</x:v>
      </x:c>
      <x:c r="E1757" t="str">
        <x:v>London</x:v>
      </x:c>
      <x:c r="F1757" t="str">
        <x:v>Marketplace</x:v>
      </x:c>
      <x:c r="G1757" t="str">
        <x:v>Home</x:v>
      </x:c>
      <x:c r="H1757" t="str">
        <x:v>Desk Lamp</x:v>
      </x:c>
      <x:c r="I1757" t="n">
        <x:v>1</x:v>
      </x:c>
      <x:c r="J1757" s="4" t="n">
        <x:v>35.59</x:v>
      </x:c>
      <x:c r="K1757" s="4" t="n">
        <x:v>17</x:v>
      </x:c>
      <x:c r="L1757" s="5" t="n">
        <x:v>0.2</x:v>
      </x:c>
      <x:c r="M1757" s="4" t="n">
        <x:f>ROUND(I1757*J1757*(1-L1757),2)</x:f>
        <x:v>28.47</x:v>
      </x:c>
      <x:c r="N1757" s="4" t="n">
        <x:f>ROUND(I1757*K1757,2)</x:f>
        <x:v>17</x:v>
      </x:c>
      <x:c r="O1757" s="4" t="n">
        <x:f>ROUND(M1757-N1757,2)</x:f>
        <x:v>11.47</x:v>
      </x:c>
      <x:c r="P1757" s="6" t="n">
        <x:v>3.5</x:v>
      </x:c>
      <x:c r="Q1757" t="str">
        <x:v>Yes</x:v>
      </x:c>
    </x:row>
    <x:row r="1758">
      <x:c r="A1758" t="str">
        <x:v>ORD-00331</x:v>
      </x:c>
      <x:c r="B1758" s="3" t="n">
        <x:v>46006.65149494213</x:v>
      </x:c>
      <x:c r="C1758" t="str">
        <x:v>2025-12</x:v>
      </x:c>
      <x:c r="D1758" t="str">
        <x:v>CUS-0114</x:v>
      </x:c>
      <x:c r="E1758" t="str">
        <x:v>Midlands</x:v>
      </x:c>
      <x:c r="F1758" t="str">
        <x:v>Online</x:v>
      </x:c>
      <x:c r="G1758" t="str">
        <x:v>Electronics</x:v>
      </x:c>
      <x:c r="H1758" t="str">
        <x:v>Wireless Headphones</x:v>
      </x:c>
      <x:c r="I1758" t="n">
        <x:v>1</x:v>
      </x:c>
      <x:c r="J1758" s="4" t="n">
        <x:v>92.85</x:v>
      </x:c>
      <x:c r="K1758" s="4" t="n">
        <x:v>48</x:v>
      </x:c>
      <x:c r="L1758" s="5" t="n">
        <x:v>0.2</x:v>
      </x:c>
      <x:c r="M1758" s="4" t="n">
        <x:f>ROUND(I1758*J1758*(1-L1758),2)</x:f>
        <x:v>74.28</x:v>
      </x:c>
      <x:c r="N1758" s="4" t="n">
        <x:f>ROUND(I1758*K1758,2)</x:f>
        <x:v>48</x:v>
      </x:c>
      <x:c r="O1758" s="4" t="n">
        <x:f>ROUND(M1758-N1758,2)</x:f>
        <x:v>26.28</x:v>
      </x:c>
      <x:c r="P1758" s="6" t="n">
        <x:v>4.4</x:v>
      </x:c>
      <x:c r="Q1758" t="str">
        <x:v>No</x:v>
      </x:c>
    </x:row>
    <x:row r="1759">
      <x:c r="A1759" t="str">
        <x:v>ORD-00508</x:v>
      </x:c>
      <x:c r="B1759" s="3" t="n">
        <x:v>46006.67937928241</x:v>
      </x:c>
      <x:c r="C1759" t="str">
        <x:v>2025-12</x:v>
      </x:c>
      <x:c r="D1759" t="str">
        <x:v>CUS-0159</x:v>
      </x:c>
      <x:c r="E1759" t="str">
        <x:v>South East</x:v>
      </x:c>
      <x:c r="F1759" t="str">
        <x:v>Marketplace</x:v>
      </x:c>
      <x:c r="G1759" t="str">
        <x:v>Fashion</x:v>
      </x:c>
      <x:c r="H1759" t="str">
        <x:v>Winter Jacket</x:v>
      </x:c>
      <x:c r="I1759" t="n">
        <x:v>4</x:v>
      </x:c>
      <x:c r="J1759" s="4" t="n">
        <x:v>96.41</x:v>
      </x:c>
      <x:c r="K1759" s="4" t="n">
        <x:v>46</x:v>
      </x:c>
      <x:c r="L1759" s="5" t="n">
        <x:v>0.15</x:v>
      </x:c>
      <x:c r="M1759" s="4" t="n">
        <x:f>ROUND(I1759*J1759*(1-L1759),2)</x:f>
        <x:v>327.79</x:v>
      </x:c>
      <x:c r="N1759" s="4" t="n">
        <x:f>ROUND(I1759*K1759,2)</x:f>
        <x:v>184</x:v>
      </x:c>
      <x:c r="O1759" s="4" t="n">
        <x:f>ROUND(M1759-N1759,2)</x:f>
        <x:v>143.79</x:v>
      </x:c>
      <x:c r="P1759" s="6" t="n">
        <x:v>4.7</x:v>
      </x:c>
      <x:c r="Q1759" t="str">
        <x:v>No</x:v>
      </x:c>
    </x:row>
    <x:row r="1760">
      <x:c r="A1760" t="str">
        <x:v>ORD-00996</x:v>
      </x:c>
      <x:c r="B1760" s="3" t="n">
        <x:v>46007.85544050926</x:v>
      </x:c>
      <x:c r="C1760" t="str">
        <x:v>2025-12</x:v>
      </x:c>
      <x:c r="D1760" t="str">
        <x:v>CUS-0343</x:v>
      </x:c>
      <x:c r="E1760" t="str">
        <x:v>London</x:v>
      </x:c>
      <x:c r="F1760" t="str">
        <x:v>Online</x:v>
      </x:c>
      <x:c r="G1760" t="str">
        <x:v>Home</x:v>
      </x:c>
      <x:c r="H1760" t="str">
        <x:v>Coffee Maker</x:v>
      </x:c>
      <x:c r="I1760" t="n">
        <x:v>2</x:v>
      </x:c>
      <x:c r="J1760" s="4" t="n">
        <x:v>77.26</x:v>
      </x:c>
      <x:c r="K1760" s="4" t="n">
        <x:v>41</x:v>
      </x:c>
      <x:c r="L1760" s="5" t="n">
        <x:v>0.15</x:v>
      </x:c>
      <x:c r="M1760" s="4" t="n">
        <x:f>ROUND(I1760*J1760*(1-L1760),2)</x:f>
        <x:v>131.34</x:v>
      </x:c>
      <x:c r="N1760" s="4" t="n">
        <x:f>ROUND(I1760*K1760,2)</x:f>
        <x:v>82</x:v>
      </x:c>
      <x:c r="O1760" s="4" t="n">
        <x:f>ROUND(M1760-N1760,2)</x:f>
        <x:v>49.34</x:v>
      </x:c>
      <x:c r="P1760" s="6" t="n">
        <x:v>3.9</x:v>
      </x:c>
      <x:c r="Q1760" t="str">
        <x:v>No</x:v>
      </x:c>
    </x:row>
    <x:row r="1761">
      <x:c r="A1761" t="str">
        <x:v>ORD-00580</x:v>
      </x:c>
      <x:c r="B1761" s="3" t="n">
        <x:v>46008.36995181713</x:v>
      </x:c>
      <x:c r="C1761" t="str">
        <x:v>2025-12</x:v>
      </x:c>
      <x:c r="D1761" t="str">
        <x:v>CUS-0168</x:v>
      </x:c>
      <x:c r="E1761" t="str">
        <x:v>North West</x:v>
      </x:c>
      <x:c r="F1761" t="str">
        <x:v>Online</x:v>
      </x:c>
      <x:c r="G1761" t="str">
        <x:v>Sports</x:v>
      </x:c>
      <x:c r="H1761" t="str">
        <x:v>Running Shoes</x:v>
      </x:c>
      <x:c r="I1761" t="n">
        <x:v>5</x:v>
      </x:c>
      <x:c r="J1761" s="4" t="n">
        <x:v>79</x:v>
      </x:c>
      <x:c r="K1761" s="4" t="n">
        <x:v>38</x:v>
      </x:c>
      <x:c r="L1761" s="5" t="n">
        <x:v>0.2</x:v>
      </x:c>
      <x:c r="M1761" s="4" t="n">
        <x:f>ROUND(I1761*J1761*(1-L1761),2)</x:f>
        <x:v>316</x:v>
      </x:c>
      <x:c r="N1761" s="4" t="n">
        <x:f>ROUND(I1761*K1761,2)</x:f>
        <x:v>190</x:v>
      </x:c>
      <x:c r="O1761" s="4" t="n">
        <x:f>ROUND(M1761-N1761,2)</x:f>
        <x:v>126</x:v>
      </x:c>
      <x:c r="P1761" s="6" t="n">
        <x:v>3.9</x:v>
      </x:c>
      <x:c r="Q1761" t="str">
        <x:v>No</x:v>
      </x:c>
    </x:row>
    <x:row r="1762">
      <x:c r="A1762" t="str">
        <x:v>ORD-00779</x:v>
      </x:c>
      <x:c r="B1762" s="3" t="n">
        <x:v>46008.51515306713</x:v>
      </x:c>
      <x:c r="C1762" t="str">
        <x:v>2025-12</x:v>
      </x:c>
      <x:c r="D1762" t="str">
        <x:v>CUS-0385</x:v>
      </x:c>
      <x:c r="E1762" t="str">
        <x:v>Scotland</x:v>
      </x:c>
      <x:c r="F1762" t="str">
        <x:v>Store</x:v>
      </x:c>
      <x:c r="G1762" t="str">
        <x:v>Sports</x:v>
      </x:c>
      <x:c r="H1762" t="str">
        <x:v>Yoga Mat</x:v>
      </x:c>
      <x:c r="I1762" t="n">
        <x:v>3</x:v>
      </x:c>
      <x:c r="J1762" s="4" t="n">
        <x:v>29.2</x:v>
      </x:c>
      <x:c r="K1762" s="4" t="n">
        <x:v>12</x:v>
      </x:c>
      <x:c r="L1762" s="5" t="n">
        <x:v>0</x:v>
      </x:c>
      <x:c r="M1762" s="4" t="n">
        <x:f>ROUND(I1762*J1762*(1-L1762),2)</x:f>
        <x:v>87.6</x:v>
      </x:c>
      <x:c r="N1762" s="4" t="n">
        <x:f>ROUND(I1762*K1762,2)</x:f>
        <x:v>36</x:v>
      </x:c>
      <x:c r="O1762" s="4" t="n">
        <x:f>ROUND(M1762-N1762,2)</x:f>
        <x:v>51.6</x:v>
      </x:c>
      <x:c r="P1762" s="6" t="n">
        <x:v>4.2</x:v>
      </x:c>
      <x:c r="Q1762" t="str">
        <x:v>No</x:v>
      </x:c>
    </x:row>
    <x:row r="1763">
      <x:c r="A1763" t="str">
        <x:v>ORD-00994</x:v>
      </x:c>
      <x:c r="B1763" s="3" t="n">
        <x:v>46010.12416180556</x:v>
      </x:c>
      <x:c r="C1763" t="str">
        <x:v>2025-12</x:v>
      </x:c>
      <x:c r="D1763" t="str">
        <x:v>CUS-0448</x:v>
      </x:c>
      <x:c r="E1763" t="str">
        <x:v>North West</x:v>
      </x:c>
      <x:c r="F1763" t="str">
        <x:v>Store</x:v>
      </x:c>
      <x:c r="G1763" t="str">
        <x:v>Home</x:v>
      </x:c>
      <x:c r="H1763" t="str">
        <x:v>Air Fryer</x:v>
      </x:c>
      <x:c r="I1763" t="n">
        <x:v>3</x:v>
      </x:c>
      <x:c r="J1763" s="4" t="n">
        <x:v>119.7</x:v>
      </x:c>
      <x:c r="K1763" s="4" t="n">
        <x:v>69</x:v>
      </x:c>
      <x:c r="L1763" s="5" t="n">
        <x:v>0.2</x:v>
      </x:c>
      <x:c r="M1763" s="4" t="n">
        <x:f>ROUND(I1763*J1763*(1-L1763),2)</x:f>
        <x:v>287.28</x:v>
      </x:c>
      <x:c r="N1763" s="4" t="n">
        <x:f>ROUND(I1763*K1763,2)</x:f>
        <x:v>207</x:v>
      </x:c>
      <x:c r="O1763" s="4" t="n">
        <x:f>ROUND(M1763-N1763,2)</x:f>
        <x:v>80.28</x:v>
      </x:c>
      <x:c r="P1763" s="6" t="n">
        <x:v>5</x:v>
      </x:c>
      <x:c r="Q1763" t="str">
        <x:v>No</x:v>
      </x:c>
    </x:row>
    <x:row r="1764">
      <x:c r="A1764" t="str">
        <x:v>ORD-00939</x:v>
      </x:c>
      <x:c r="B1764" s="3" t="n">
        <x:v>46010.43884604167</x:v>
      </x:c>
      <x:c r="C1764" t="str">
        <x:v>2025-12</x:v>
      </x:c>
      <x:c r="D1764" t="str">
        <x:v>CUS-0146</x:v>
      </x:c>
      <x:c r="E1764" t="str">
        <x:v>South East</x:v>
      </x:c>
      <x:c r="F1764" t="str">
        <x:v>Online</x:v>
      </x:c>
      <x:c r="G1764" t="str">
        <x:v>Beauty</x:v>
      </x:c>
      <x:c r="H1764" t="str">
        <x:v>Hair Dryer</x:v>
      </x:c>
      <x:c r="I1764" t="n">
        <x:v>1</x:v>
      </x:c>
      <x:c r="J1764" s="4" t="n">
        <x:v>59.55</x:v>
      </x:c>
      <x:c r="K1764" s="4" t="n">
        <x:v>29</x:v>
      </x:c>
      <x:c r="L1764" s="5" t="n">
        <x:v>0</x:v>
      </x:c>
      <x:c r="M1764" s="4" t="n">
        <x:f>ROUND(I1764*J1764*(1-L1764),2)</x:f>
        <x:v>59.55</x:v>
      </x:c>
      <x:c r="N1764" s="4" t="n">
        <x:f>ROUND(I1764*K1764,2)</x:f>
        <x:v>29</x:v>
      </x:c>
      <x:c r="O1764" s="4" t="n">
        <x:f>ROUND(M1764-N1764,2)</x:f>
        <x:v>30.55</x:v>
      </x:c>
      <x:c r="P1764" s="6" t="n">
        <x:v>5</x:v>
      </x:c>
      <x:c r="Q1764" t="str">
        <x:v>Yes</x:v>
      </x:c>
    </x:row>
    <x:row r="1765">
      <x:c r="A1765" t="str">
        <x:v>ORD-01576</x:v>
      </x:c>
      <x:c r="B1765" s="3" t="n">
        <x:v>46010.87628542824</x:v>
      </x:c>
      <x:c r="C1765" t="str">
        <x:v>2025-12</x:v>
      </x:c>
      <x:c r="D1765" t="str">
        <x:v>CUS-0302</x:v>
      </x:c>
      <x:c r="E1765" t="str">
        <x:v>Scotland</x:v>
      </x:c>
      <x:c r="F1765" t="str">
        <x:v>Marketplace</x:v>
      </x:c>
      <x:c r="G1765" t="str">
        <x:v>Home</x:v>
      </x:c>
      <x:c r="H1765" t="str">
        <x:v>Air Fryer</x:v>
      </x:c>
      <x:c r="I1765" t="n">
        <x:v>4</x:v>
      </x:c>
      <x:c r="J1765" s="4" t="n">
        <x:v>123.37</x:v>
      </x:c>
      <x:c r="K1765" s="4" t="n">
        <x:v>69</x:v>
      </x:c>
      <x:c r="L1765" s="5" t="n">
        <x:v>0</x:v>
      </x:c>
      <x:c r="M1765" s="4" t="n">
        <x:f>ROUND(I1765*J1765*(1-L1765),2)</x:f>
        <x:v>493.48</x:v>
      </x:c>
      <x:c r="N1765" s="4" t="n">
        <x:f>ROUND(I1765*K1765,2)</x:f>
        <x:v>276</x:v>
      </x:c>
      <x:c r="O1765" s="4" t="n">
        <x:f>ROUND(M1765-N1765,2)</x:f>
        <x:v>217.48</x:v>
      </x:c>
      <x:c r="P1765" s="6" t="n">
        <x:v>3.4</x:v>
      </x:c>
      <x:c r="Q1765" t="str">
        <x:v>Yes</x:v>
      </x:c>
    </x:row>
    <x:row r="1766">
      <x:c r="A1766" t="str">
        <x:v>ORD-01399</x:v>
      </x:c>
      <x:c r="B1766" s="3" t="n">
        <x:v>46010.92207674769</x:v>
      </x:c>
      <x:c r="C1766" t="str">
        <x:v>2025-12</x:v>
      </x:c>
      <x:c r="D1766" t="str">
        <x:v>CUS-0557</x:v>
      </x:c>
      <x:c r="E1766" t="str">
        <x:v>Midlands</x:v>
      </x:c>
      <x:c r="F1766" t="str">
        <x:v>Marketplace</x:v>
      </x:c>
      <x:c r="G1766" t="str">
        <x:v>Fashion</x:v>
      </x:c>
      <x:c r="H1766" t="str">
        <x:v>Backpack</x:v>
      </x:c>
      <x:c r="I1766" t="n">
        <x:v>3</x:v>
      </x:c>
      <x:c r="J1766" s="4" t="n">
        <x:v>50.03</x:v>
      </x:c>
      <x:c r="K1766" s="4" t="n">
        <x:v>21</x:v>
      </x:c>
      <x:c r="L1766" s="5" t="n">
        <x:v>0</x:v>
      </x:c>
      <x:c r="M1766" s="4" t="n">
        <x:f>ROUND(I1766*J1766*(1-L1766),2)</x:f>
        <x:v>150.09</x:v>
      </x:c>
      <x:c r="N1766" s="4" t="n">
        <x:f>ROUND(I1766*K1766,2)</x:f>
        <x:v>63</x:v>
      </x:c>
      <x:c r="O1766" s="4" t="n">
        <x:f>ROUND(M1766-N1766,2)</x:f>
        <x:v>87.09</x:v>
      </x:c>
      <x:c r="P1766" s="6" t="n">
        <x:v>4.1</x:v>
      </x:c>
      <x:c r="Q1766" t="str">
        <x:v>No</x:v>
      </x:c>
    </x:row>
    <x:row r="1767">
      <x:c r="A1767" t="str">
        <x:v>ORD-00657</x:v>
      </x:c>
      <x:c r="B1767" s="3" t="n">
        <x:v>46010.940023159725</x:v>
      </x:c>
      <x:c r="C1767" t="str">
        <x:v>2025-12</x:v>
      </x:c>
      <x:c r="D1767" t="str">
        <x:v>CUS-0147</x:v>
      </x:c>
      <x:c r="E1767" t="str">
        <x:v>North West</x:v>
      </x:c>
      <x:c r="F1767" t="str">
        <x:v>Online</x:v>
      </x:c>
      <x:c r="G1767" t="str">
        <x:v>Fashion</x:v>
      </x:c>
      <x:c r="H1767" t="str">
        <x:v>Winter Jacket</x:v>
      </x:c>
      <x:c r="I1767" t="n">
        <x:v>4</x:v>
      </x:c>
      <x:c r="J1767" s="4" t="n">
        <x:v>99.67</x:v>
      </x:c>
      <x:c r="K1767" s="4" t="n">
        <x:v>46</x:v>
      </x:c>
      <x:c r="L1767" s="5" t="n">
        <x:v>0</x:v>
      </x:c>
      <x:c r="M1767" s="4" t="n">
        <x:f>ROUND(I1767*J1767*(1-L1767),2)</x:f>
        <x:v>398.68</x:v>
      </x:c>
      <x:c r="N1767" s="4" t="n">
        <x:f>ROUND(I1767*K1767,2)</x:f>
        <x:v>184</x:v>
      </x:c>
      <x:c r="O1767" s="4" t="n">
        <x:f>ROUND(M1767-N1767,2)</x:f>
        <x:v>214.68</x:v>
      </x:c>
      <x:c r="P1767" s="6" t="n">
        <x:v>3.8</x:v>
      </x:c>
      <x:c r="Q1767" t="str">
        <x:v>No</x:v>
      </x:c>
    </x:row>
    <x:row r="1768">
      <x:c r="A1768" t="str">
        <x:v>ORD-00074</x:v>
      </x:c>
      <x:c r="B1768" s="3" t="n">
        <x:v>46011.027319583336</x:v>
      </x:c>
      <x:c r="C1768" t="str">
        <x:v>2025-12</x:v>
      </x:c>
      <x:c r="D1768" t="str">
        <x:v>CUS-0103</x:v>
      </x:c>
      <x:c r="E1768" t="str">
        <x:v>London</x:v>
      </x:c>
      <x:c r="F1768" t="str">
        <x:v>Store</x:v>
      </x:c>
      <x:c r="G1768" t="str">
        <x:v>Fashion</x:v>
      </x:c>
      <x:c r="H1768" t="str">
        <x:v>Backpack</x:v>
      </x:c>
      <x:c r="I1768" t="n">
        <x:v>1</x:v>
      </x:c>
      <x:c r="J1768" s="4" t="n">
        <x:v>52.33</x:v>
      </x:c>
      <x:c r="K1768" s="4" t="n">
        <x:v>21</x:v>
      </x:c>
      <x:c r="L1768" s="5" t="n">
        <x:v>0</x:v>
      </x:c>
      <x:c r="M1768" s="4" t="n">
        <x:f>ROUND(I1768*J1768*(1-L1768),2)</x:f>
        <x:v>52.33</x:v>
      </x:c>
      <x:c r="N1768" s="4" t="n">
        <x:f>ROUND(I1768*K1768,2)</x:f>
        <x:v>21</x:v>
      </x:c>
      <x:c r="O1768" s="4" t="n">
        <x:f>ROUND(M1768-N1768,2)</x:f>
        <x:v>31.33</x:v>
      </x:c>
      <x:c r="P1768" s="6" t="n">
        <x:v>3.3</x:v>
      </x:c>
      <x:c r="Q1768" t="str">
        <x:v>No</x:v>
      </x:c>
    </x:row>
    <x:row r="1769">
      <x:c r="A1769" t="str">
        <x:v>ORD-00795</x:v>
      </x:c>
      <x:c r="B1769" s="3" t="n">
        <x:v>46011.212038020836</x:v>
      </x:c>
      <x:c r="C1769" t="str">
        <x:v>2025-12</x:v>
      </x:c>
      <x:c r="D1769" t="str">
        <x:v>CUS-0389</x:v>
      </x:c>
      <x:c r="E1769" t="str">
        <x:v>Scotland</x:v>
      </x:c>
      <x:c r="F1769" t="str">
        <x:v>Marketplace</x:v>
      </x:c>
      <x:c r="G1769" t="str">
        <x:v>Beauty</x:v>
      </x:c>
      <x:c r="H1769" t="str">
        <x:v>Hair Dryer</x:v>
      </x:c>
      <x:c r="I1769" t="n">
        <x:v>3</x:v>
      </x:c>
      <x:c r="J1769" s="4" t="n">
        <x:v>57.79</x:v>
      </x:c>
      <x:c r="K1769" s="4" t="n">
        <x:v>29</x:v>
      </x:c>
      <x:c r="L1769" s="5" t="n">
        <x:v>0</x:v>
      </x:c>
      <x:c r="M1769" s="4" t="n">
        <x:f>ROUND(I1769*J1769*(1-L1769),2)</x:f>
        <x:v>173.37</x:v>
      </x:c>
      <x:c r="N1769" s="4" t="n">
        <x:f>ROUND(I1769*K1769,2)</x:f>
        <x:v>87</x:v>
      </x:c>
      <x:c r="O1769" s="4" t="n">
        <x:f>ROUND(M1769-N1769,2)</x:f>
        <x:v>86.37</x:v>
      </x:c>
      <x:c r="P1769" s="6" t="n">
        <x:v>4.3</x:v>
      </x:c>
      <x:c r="Q1769" t="str">
        <x:v>No</x:v>
      </x:c>
    </x:row>
    <x:row r="1770">
      <x:c r="A1770" t="str">
        <x:v>ORD-00012</x:v>
      </x:c>
      <x:c r="B1770" s="3" t="n">
        <x:v>46011.33449436343</x:v>
      </x:c>
      <x:c r="C1770" t="str">
        <x:v>2025-12</x:v>
      </x:c>
      <x:c r="D1770" t="str">
        <x:v>CUS-0373</x:v>
      </x:c>
      <x:c r="E1770" t="str">
        <x:v>Midlands</x:v>
      </x:c>
      <x:c r="F1770" t="str">
        <x:v>Marketplace</x:v>
      </x:c>
      <x:c r="G1770" t="str">
        <x:v>Electronics</x:v>
      </x:c>
      <x:c r="H1770" t="str">
        <x:v>Wireless Headphones</x:v>
      </x:c>
      <x:c r="I1770" t="n">
        <x:v>1</x:v>
      </x:c>
      <x:c r="J1770" s="4" t="n">
        <x:v>89.65</x:v>
      </x:c>
      <x:c r="K1770" s="4" t="n">
        <x:v>48</x:v>
      </x:c>
      <x:c r="L1770" s="5" t="n">
        <x:v>0.15</x:v>
      </x:c>
      <x:c r="M1770" s="4" t="n">
        <x:f>ROUND(I1770*J1770*(1-L1770),2)</x:f>
        <x:v>76.2</x:v>
      </x:c>
      <x:c r="N1770" s="4" t="n">
        <x:f>ROUND(I1770*K1770,2)</x:f>
        <x:v>48</x:v>
      </x:c>
      <x:c r="O1770" s="4" t="n">
        <x:f>ROUND(M1770-N1770,2)</x:f>
        <x:v>28.2</x:v>
      </x:c>
      <x:c r="P1770" s="6" t="n">
        <x:v>3.6</x:v>
      </x:c>
      <x:c r="Q1770" t="str">
        <x:v>No</x:v>
      </x:c>
    </x:row>
    <x:row r="1771">
      <x:c r="A1771" t="str">
        <x:v>ORD-00810</x:v>
      </x:c>
      <x:c r="B1771" s="3" t="n">
        <x:v>46011.7087841088</x:v>
      </x:c>
      <x:c r="C1771" t="str">
        <x:v>2025-12</x:v>
      </x:c>
      <x:c r="D1771" t="str">
        <x:v>CUS-0305</x:v>
      </x:c>
      <x:c r="E1771" t="str">
        <x:v>London</x:v>
      </x:c>
      <x:c r="F1771" t="str">
        <x:v>Marketplace</x:v>
      </x:c>
      <x:c r="G1771" t="str">
        <x:v>Sports</x:v>
      </x:c>
      <x:c r="H1771" t="str">
        <x:v>Fitness Tracker</x:v>
      </x:c>
      <x:c r="I1771" t="n">
        <x:v>3</x:v>
      </x:c>
      <x:c r="J1771" s="4" t="n">
        <x:v>55.99</x:v>
      </x:c>
      <x:c r="K1771" s="4" t="n">
        <x:v>27</x:v>
      </x:c>
      <x:c r="L1771" s="5" t="n">
        <x:v>0</x:v>
      </x:c>
      <x:c r="M1771" s="4" t="n">
        <x:f>ROUND(I1771*J1771*(1-L1771),2)</x:f>
        <x:v>167.97</x:v>
      </x:c>
      <x:c r="N1771" s="4" t="n">
        <x:f>ROUND(I1771*K1771,2)</x:f>
        <x:v>81</x:v>
      </x:c>
      <x:c r="O1771" s="4" t="n">
        <x:f>ROUND(M1771-N1771,2)</x:f>
        <x:v>86.97</x:v>
      </x:c>
      <x:c r="P1771" s="6" t="n">
        <x:v>3.6</x:v>
      </x:c>
      <x:c r="Q1771" t="str">
        <x:v>No</x:v>
      </x:c>
    </x:row>
    <x:row r="1772">
      <x:c r="A1772" t="str">
        <x:v>ORD-00985</x:v>
      </x:c>
      <x:c r="B1772" s="3" t="n">
        <x:v>46011.88204748843</x:v>
      </x:c>
      <x:c r="C1772" t="str">
        <x:v>2025-12</x:v>
      </x:c>
      <x:c r="D1772" t="str">
        <x:v>CUS-0484</x:v>
      </x:c>
      <x:c r="E1772" t="str">
        <x:v>Scotland</x:v>
      </x:c>
      <x:c r="F1772" t="str">
        <x:v>Online</x:v>
      </x:c>
      <x:c r="G1772" t="str">
        <x:v>Fashion</x:v>
      </x:c>
      <x:c r="H1772" t="str">
        <x:v>Winter Jacket</x:v>
      </x:c>
      <x:c r="I1772" t="n">
        <x:v>4</x:v>
      </x:c>
      <x:c r="J1772" s="4" t="n">
        <x:v>91.11</x:v>
      </x:c>
      <x:c r="K1772" s="4" t="n">
        <x:v>46</x:v>
      </x:c>
      <x:c r="L1772" s="5" t="n">
        <x:v>0.05</x:v>
      </x:c>
      <x:c r="M1772" s="4" t="n">
        <x:f>ROUND(I1772*J1772*(1-L1772),2)</x:f>
        <x:v>346.22</x:v>
      </x:c>
      <x:c r="N1772" s="4" t="n">
        <x:f>ROUND(I1772*K1772,2)</x:f>
        <x:v>184</x:v>
      </x:c>
      <x:c r="O1772" s="4" t="n">
        <x:f>ROUND(M1772-N1772,2)</x:f>
        <x:v>162.22</x:v>
      </x:c>
      <x:c r="P1772" s="6" t="n">
        <x:v>4.3</x:v>
      </x:c>
      <x:c r="Q1772" t="str">
        <x:v>No</x:v>
      </x:c>
    </x:row>
    <x:row r="1773">
      <x:c r="A1773" t="str">
        <x:v>ORD-00278</x:v>
      </x:c>
      <x:c r="B1773" s="3" t="n">
        <x:v>46012.33984476852</x:v>
      </x:c>
      <x:c r="C1773" t="str">
        <x:v>2025-12</x:v>
      </x:c>
      <x:c r="D1773" t="str">
        <x:v>CUS-0573</x:v>
      </x:c>
      <x:c r="E1773" t="str">
        <x:v>London</x:v>
      </x:c>
      <x:c r="F1773" t="str">
        <x:v>Marketplace</x:v>
      </x:c>
      <x:c r="G1773" t="str">
        <x:v>Sports</x:v>
      </x:c>
      <x:c r="H1773" t="str">
        <x:v>Running Shoes</x:v>
      </x:c>
      <x:c r="I1773" t="n">
        <x:v>3</x:v>
      </x:c>
      <x:c r="J1773" s="4" t="n">
        <x:v>76.94</x:v>
      </x:c>
      <x:c r="K1773" s="4" t="n">
        <x:v>38</x:v>
      </x:c>
      <x:c r="L1773" s="5" t="n">
        <x:v>0.05</x:v>
      </x:c>
      <x:c r="M1773" s="4" t="n">
        <x:f>ROUND(I1773*J1773*(1-L1773),2)</x:f>
        <x:v>219.28</x:v>
      </x:c>
      <x:c r="N1773" s="4" t="n">
        <x:f>ROUND(I1773*K1773,2)</x:f>
        <x:v>114</x:v>
      </x:c>
      <x:c r="O1773" s="4" t="n">
        <x:f>ROUND(M1773-N1773,2)</x:f>
        <x:v>105.28</x:v>
      </x:c>
      <x:c r="P1773" s="6" t="n">
        <x:v>4.1</x:v>
      </x:c>
      <x:c r="Q1773" t="str">
        <x:v>No</x:v>
      </x:c>
    </x:row>
    <x:row r="1774">
      <x:c r="A1774" t="str">
        <x:v>ORD-00689</x:v>
      </x:c>
      <x:c r="B1774" s="3" t="n">
        <x:v>46012.78935516204</x:v>
      </x:c>
      <x:c r="C1774" t="str">
        <x:v>2025-12</x:v>
      </x:c>
      <x:c r="D1774" t="str">
        <x:v>CUS-0263</x:v>
      </x:c>
      <x:c r="E1774" t="str">
        <x:v>North West</x:v>
      </x:c>
      <x:c r="F1774" t="str">
        <x:v>Marketplace</x:v>
      </x:c>
      <x:c r="G1774" t="str">
        <x:v>Sports</x:v>
      </x:c>
      <x:c r="H1774" t="str">
        <x:v>Running Shoes</x:v>
      </x:c>
      <x:c r="I1774" t="n">
        <x:v>5</x:v>
      </x:c>
      <x:c r="J1774" s="4" t="n">
        <x:v>78.99</x:v>
      </x:c>
      <x:c r="K1774" s="4" t="n">
        <x:v>38</x:v>
      </x:c>
      <x:c r="L1774" s="5" t="n">
        <x:v>0.15</x:v>
      </x:c>
      <x:c r="M1774" s="4" t="n">
        <x:f>ROUND(I1774*J1774*(1-L1774),2)</x:f>
        <x:v>335.71</x:v>
      </x:c>
      <x:c r="N1774" s="4" t="n">
        <x:f>ROUND(I1774*K1774,2)</x:f>
        <x:v>190</x:v>
      </x:c>
      <x:c r="O1774" s="4" t="n">
        <x:f>ROUND(M1774-N1774,2)</x:f>
        <x:v>145.71</x:v>
      </x:c>
      <x:c r="P1774" s="6" t="n">
        <x:v>3.3</x:v>
      </x:c>
      <x:c r="Q1774" t="str">
        <x:v>No</x:v>
      </x:c>
    </x:row>
    <x:row r="1775">
      <x:c r="A1775" t="str">
        <x:v>ORD-01101</x:v>
      </x:c>
      <x:c r="B1775" s="3" t="n">
        <x:v>46012.981282546294</x:v>
      </x:c>
      <x:c r="C1775" t="str">
        <x:v>2025-12</x:v>
      </x:c>
      <x:c r="D1775" t="str">
        <x:v>CUS-0552</x:v>
      </x:c>
      <x:c r="E1775" t="str">
        <x:v>Midlands</x:v>
      </x:c>
      <x:c r="F1775" t="str">
        <x:v>Online</x:v>
      </x:c>
      <x:c r="G1775" t="str">
        <x:v>Electronics</x:v>
      </x:c>
      <x:c r="H1775" t="str">
        <x:v>Wireless Headphones</x:v>
      </x:c>
      <x:c r="I1775" t="n">
        <x:v>3</x:v>
      </x:c>
      <x:c r="J1775" s="4" t="n">
        <x:v>90.45</x:v>
      </x:c>
      <x:c r="K1775" s="4" t="n">
        <x:v>48</x:v>
      </x:c>
      <x:c r="L1775" s="5" t="n">
        <x:v>0.15</x:v>
      </x:c>
      <x:c r="M1775" s="4" t="n">
        <x:f>ROUND(I1775*J1775*(1-L1775),2)</x:f>
        <x:v>230.65</x:v>
      </x:c>
      <x:c r="N1775" s="4" t="n">
        <x:f>ROUND(I1775*K1775,2)</x:f>
        <x:v>144</x:v>
      </x:c>
      <x:c r="O1775" s="4" t="n">
        <x:f>ROUND(M1775-N1775,2)</x:f>
        <x:v>86.65</x:v>
      </x:c>
      <x:c r="P1775" s="6" t="n">
        <x:v>3.4</x:v>
      </x:c>
      <x:c r="Q1775" t="str">
        <x:v>Yes</x:v>
      </x:c>
    </x:row>
    <x:row r="1776">
      <x:c r="A1776" t="str">
        <x:v>ORD-01774</x:v>
      </x:c>
      <x:c r="B1776" s="3" t="n">
        <x:v>46013.27593523148</x:v>
      </x:c>
      <x:c r="C1776" t="str">
        <x:v>2025-12</x:v>
      </x:c>
      <x:c r="D1776" t="str">
        <x:v>CUS-0064</x:v>
      </x:c>
      <x:c r="E1776" t="str">
        <x:v>South East</x:v>
      </x:c>
      <x:c r="F1776" t="str">
        <x:v>Store</x:v>
      </x:c>
      <x:c r="G1776" t="str">
        <x:v>Beauty</x:v>
      </x:c>
      <x:c r="H1776" t="str">
        <x:v>Hair Dryer</x:v>
      </x:c>
      <x:c r="I1776" t="n">
        <x:v>5</x:v>
      </x:c>
      <x:c r="J1776" s="4" t="n">
        <x:v>62.4</x:v>
      </x:c>
      <x:c r="K1776" s="4" t="n">
        <x:v>29</x:v>
      </x:c>
      <x:c r="L1776" s="5" t="n">
        <x:v>0.2</x:v>
      </x:c>
      <x:c r="M1776" s="4" t="n">
        <x:f>ROUND(I1776*J1776*(1-L1776),2)</x:f>
        <x:v>249.6</x:v>
      </x:c>
      <x:c r="N1776" s="4" t="n">
        <x:f>ROUND(I1776*K1776,2)</x:f>
        <x:v>145</x:v>
      </x:c>
      <x:c r="O1776" s="4" t="n">
        <x:f>ROUND(M1776-N1776,2)</x:f>
        <x:v>104.6</x:v>
      </x:c>
      <x:c r="P1776" s="6" t="n">
        <x:v>3.2</x:v>
      </x:c>
      <x:c r="Q1776" t="str">
        <x:v>No</x:v>
      </x:c>
    </x:row>
    <x:row r="1777">
      <x:c r="A1777" t="str">
        <x:v>ORD-00901</x:v>
      </x:c>
      <x:c r="B1777" s="3" t="n">
        <x:v>46013.72502003472</x:v>
      </x:c>
      <x:c r="C1777" t="str">
        <x:v>2025-12</x:v>
      </x:c>
      <x:c r="D1777" t="str">
        <x:v>CUS-0178</x:v>
      </x:c>
      <x:c r="E1777" t="str">
        <x:v>North West</x:v>
      </x:c>
      <x:c r="F1777" t="str">
        <x:v>Store</x:v>
      </x:c>
      <x:c r="G1777" t="str">
        <x:v>Beauty</x:v>
      </x:c>
      <x:c r="H1777" t="str">
        <x:v>Hair Dryer</x:v>
      </x:c>
      <x:c r="I1777" t="n">
        <x:v>2</x:v>
      </x:c>
      <x:c r="J1777" s="4" t="n">
        <x:v>59.81</x:v>
      </x:c>
      <x:c r="K1777" s="4" t="n">
        <x:v>29</x:v>
      </x:c>
      <x:c r="L1777" s="5" t="n">
        <x:v>0.15</x:v>
      </x:c>
      <x:c r="M1777" s="4" t="n">
        <x:f>ROUND(I1777*J1777*(1-L1777),2)</x:f>
        <x:v>101.68</x:v>
      </x:c>
      <x:c r="N1777" s="4" t="n">
        <x:f>ROUND(I1777*K1777,2)</x:f>
        <x:v>58</x:v>
      </x:c>
      <x:c r="O1777" s="4" t="n">
        <x:f>ROUND(M1777-N1777,2)</x:f>
        <x:v>43.68</x:v>
      </x:c>
      <x:c r="P1777" s="6" t="n">
        <x:v>4.8</x:v>
      </x:c>
      <x:c r="Q1777" t="str">
        <x:v>No</x:v>
      </x:c>
    </x:row>
    <x:row r="1778">
      <x:c r="A1778" t="str">
        <x:v>ORD-01704</x:v>
      </x:c>
      <x:c r="B1778" s="3" t="n">
        <x:v>46013.85111570602</x:v>
      </x:c>
      <x:c r="C1778" t="str">
        <x:v>2025-12</x:v>
      </x:c>
      <x:c r="D1778" t="str">
        <x:v>CUS-0389</x:v>
      </x:c>
      <x:c r="E1778" t="str">
        <x:v>North East</x:v>
      </x:c>
      <x:c r="F1778" t="str">
        <x:v>Online</x:v>
      </x:c>
      <x:c r="G1778" t="str">
        <x:v>Sports</x:v>
      </x:c>
      <x:c r="H1778" t="str">
        <x:v>Running Shoes</x:v>
      </x:c>
      <x:c r="I1778" t="n">
        <x:v>1</x:v>
      </x:c>
      <x:c r="J1778" s="4" t="n">
        <x:v>79.13</x:v>
      </x:c>
      <x:c r="K1778" s="4" t="n">
        <x:v>38</x:v>
      </x:c>
      <x:c r="L1778" s="5" t="n">
        <x:v>0</x:v>
      </x:c>
      <x:c r="M1778" s="4" t="n">
        <x:f>ROUND(I1778*J1778*(1-L1778),2)</x:f>
        <x:v>79.13</x:v>
      </x:c>
      <x:c r="N1778" s="4" t="n">
        <x:f>ROUND(I1778*K1778,2)</x:f>
        <x:v>38</x:v>
      </x:c>
      <x:c r="O1778" s="4" t="n">
        <x:f>ROUND(M1778-N1778,2)</x:f>
        <x:v>41.13</x:v>
      </x:c>
      <x:c r="P1778" s="6" t="n">
        <x:v>4.8</x:v>
      </x:c>
      <x:c r="Q1778" t="str">
        <x:v>No</x:v>
      </x:c>
    </x:row>
    <x:row r="1779">
      <x:c r="A1779" t="str">
        <x:v>ORD-01429</x:v>
      </x:c>
      <x:c r="B1779" s="3" t="n">
        <x:v>46013.999451805554</x:v>
      </x:c>
      <x:c r="C1779" t="str">
        <x:v>2025-12</x:v>
      </x:c>
      <x:c r="D1779" t="str">
        <x:v>CUS-0015</x:v>
      </x:c>
      <x:c r="E1779" t="str">
        <x:v>South West</x:v>
      </x:c>
      <x:c r="F1779" t="str">
        <x:v>Online</x:v>
      </x:c>
      <x:c r="G1779" t="str">
        <x:v>Fashion</x:v>
      </x:c>
      <x:c r="H1779" t="str">
        <x:v>Winter Jacket</x:v>
      </x:c>
      <x:c r="I1779" t="n">
        <x:v>4</x:v>
      </x:c>
      <x:c r="J1779" s="4" t="n">
        <x:v>99.57</x:v>
      </x:c>
      <x:c r="K1779" s="4" t="n">
        <x:v>46</x:v>
      </x:c>
      <x:c r="L1779" s="5" t="n">
        <x:v>0</x:v>
      </x:c>
      <x:c r="M1779" s="4" t="n">
        <x:f>ROUND(I1779*J1779*(1-L1779),2)</x:f>
        <x:v>398.28</x:v>
      </x:c>
      <x:c r="N1779" s="4" t="n">
        <x:f>ROUND(I1779*K1779,2)</x:f>
        <x:v>184</x:v>
      </x:c>
      <x:c r="O1779" s="4" t="n">
        <x:f>ROUND(M1779-N1779,2)</x:f>
        <x:v>214.28</x:v>
      </x:c>
      <x:c r="P1779" s="6" t="n">
        <x:v>3.7</x:v>
      </x:c>
      <x:c r="Q1779" t="str">
        <x:v>No</x:v>
      </x:c>
    </x:row>
    <x:row r="1780">
      <x:c r="A1780" t="str">
        <x:v>ORD-01537</x:v>
      </x:c>
      <x:c r="B1780" s="3" t="n">
        <x:v>46014.11339046296</x:v>
      </x:c>
      <x:c r="C1780" t="str">
        <x:v>2025-12</x:v>
      </x:c>
      <x:c r="D1780" t="str">
        <x:v>CUS-0006</x:v>
      </x:c>
      <x:c r="E1780" t="str">
        <x:v>Scotland</x:v>
      </x:c>
      <x:c r="F1780" t="str">
        <x:v>Store</x:v>
      </x:c>
      <x:c r="G1780" t="str">
        <x:v>Sports</x:v>
      </x:c>
      <x:c r="H1780" t="str">
        <x:v>Running Shoes</x:v>
      </x:c>
      <x:c r="I1780" t="n">
        <x:v>5</x:v>
      </x:c>
      <x:c r="J1780" s="4" t="n">
        <x:v>78.18</x:v>
      </x:c>
      <x:c r="K1780" s="4" t="n">
        <x:v>38</x:v>
      </x:c>
      <x:c r="L1780" s="5" t="n">
        <x:v>0</x:v>
      </x:c>
      <x:c r="M1780" s="4" t="n">
        <x:f>ROUND(I1780*J1780*(1-L1780),2)</x:f>
        <x:v>390.9</x:v>
      </x:c>
      <x:c r="N1780" s="4" t="n">
        <x:f>ROUND(I1780*K1780,2)</x:f>
        <x:v>190</x:v>
      </x:c>
      <x:c r="O1780" s="4" t="n">
        <x:f>ROUND(M1780-N1780,2)</x:f>
        <x:v>200.9</x:v>
      </x:c>
      <x:c r="P1780" s="6" t="n">
        <x:v>4.3</x:v>
      </x:c>
      <x:c r="Q1780" t="str">
        <x:v>No</x:v>
      </x:c>
    </x:row>
    <x:row r="1781">
      <x:c r="A1781" t="str">
        <x:v>ORD-01172</x:v>
      </x:c>
      <x:c r="B1781" s="3" t="n">
        <x:v>46014.13236652778</x:v>
      </x:c>
      <x:c r="C1781" t="str">
        <x:v>2025-12</x:v>
      </x:c>
      <x:c r="D1781" t="str">
        <x:v>CUS-0354</x:v>
      </x:c>
      <x:c r="E1781" t="str">
        <x:v>South West</x:v>
      </x:c>
      <x:c r="F1781" t="str">
        <x:v>Store</x:v>
      </x:c>
      <x:c r="G1781" t="str">
        <x:v>Fashion</x:v>
      </x:c>
      <x:c r="H1781" t="str">
        <x:v>Backpack</x:v>
      </x:c>
      <x:c r="I1781" t="n">
        <x:v>3</x:v>
      </x:c>
      <x:c r="J1781" s="4" t="n">
        <x:v>47.5</x:v>
      </x:c>
      <x:c r="K1781" s="4" t="n">
        <x:v>21</x:v>
      </x:c>
      <x:c r="L1781" s="5" t="n">
        <x:v>0</x:v>
      </x:c>
      <x:c r="M1781" s="4" t="n">
        <x:f>ROUND(I1781*J1781*(1-L1781),2)</x:f>
        <x:v>142.5</x:v>
      </x:c>
      <x:c r="N1781" s="4" t="n">
        <x:f>ROUND(I1781*K1781,2)</x:f>
        <x:v>63</x:v>
      </x:c>
      <x:c r="O1781" s="4" t="n">
        <x:f>ROUND(M1781-N1781,2)</x:f>
        <x:v>79.5</x:v>
      </x:c>
      <x:c r="P1781" s="6" t="n">
        <x:v>4.9</x:v>
      </x:c>
      <x:c r="Q1781" t="str">
        <x:v>No</x:v>
      </x:c>
    </x:row>
    <x:row r="1782">
      <x:c r="A1782" t="str">
        <x:v>ORD-01586</x:v>
      </x:c>
      <x:c r="B1782" s="3" t="n">
        <x:v>46014.21286736111</x:v>
      </x:c>
      <x:c r="C1782" t="str">
        <x:v>2025-12</x:v>
      </x:c>
      <x:c r="D1782" t="str">
        <x:v>CUS-0482</x:v>
      </x:c>
      <x:c r="E1782" t="str">
        <x:v>London</x:v>
      </x:c>
      <x:c r="F1782" t="str">
        <x:v>Store</x:v>
      </x:c>
      <x:c r="G1782" t="str">
        <x:v>Home</x:v>
      </x:c>
      <x:c r="H1782" t="str">
        <x:v>Coffee Maker</x:v>
      </x:c>
      <x:c r="I1782" t="n">
        <x:v>3</x:v>
      </x:c>
      <x:c r="J1782" s="4" t="n">
        <x:v>78.66</x:v>
      </x:c>
      <x:c r="K1782" s="4" t="n">
        <x:v>41</x:v>
      </x:c>
      <x:c r="L1782" s="5" t="n">
        <x:v>0</x:v>
      </x:c>
      <x:c r="M1782" s="4" t="n">
        <x:f>ROUND(I1782*J1782*(1-L1782),2)</x:f>
        <x:v>235.98</x:v>
      </x:c>
      <x:c r="N1782" s="4" t="n">
        <x:f>ROUND(I1782*K1782,2)</x:f>
        <x:v>123</x:v>
      </x:c>
      <x:c r="O1782" s="4" t="n">
        <x:f>ROUND(M1782-N1782,2)</x:f>
        <x:v>112.98</x:v>
      </x:c>
      <x:c r="P1782" s="6" t="n">
        <x:v>5</x:v>
      </x:c>
      <x:c r="Q1782" t="str">
        <x:v>No</x:v>
      </x:c>
    </x:row>
    <x:row r="1783">
      <x:c r="A1783" t="str">
        <x:v>ORD-00859</x:v>
      </x:c>
      <x:c r="B1783" s="3" t="n">
        <x:v>46014.31511811342</x:v>
      </x:c>
      <x:c r="C1783" t="str">
        <x:v>2025-12</x:v>
      </x:c>
      <x:c r="D1783" t="str">
        <x:v>CUS-0044</x:v>
      </x:c>
      <x:c r="E1783" t="str">
        <x:v>South East</x:v>
      </x:c>
      <x:c r="F1783" t="str">
        <x:v>Online</x:v>
      </x:c>
      <x:c r="G1783" t="str">
        <x:v>Sports</x:v>
      </x:c>
      <x:c r="H1783" t="str">
        <x:v>Running Shoes</x:v>
      </x:c>
      <x:c r="I1783" t="n">
        <x:v>2</x:v>
      </x:c>
      <x:c r="J1783" s="4" t="n">
        <x:v>82.5</x:v>
      </x:c>
      <x:c r="K1783" s="4" t="n">
        <x:v>38</x:v>
      </x:c>
      <x:c r="L1783" s="5" t="n">
        <x:v>0.1</x:v>
      </x:c>
      <x:c r="M1783" s="4" t="n">
        <x:f>ROUND(I1783*J1783*(1-L1783),2)</x:f>
        <x:v>148.5</x:v>
      </x:c>
      <x:c r="N1783" s="4" t="n">
        <x:f>ROUND(I1783*K1783,2)</x:f>
        <x:v>76</x:v>
      </x:c>
      <x:c r="O1783" s="4" t="n">
        <x:f>ROUND(M1783-N1783,2)</x:f>
        <x:v>72.5</x:v>
      </x:c>
      <x:c r="P1783" s="6" t="n">
        <x:v>3.3</x:v>
      </x:c>
      <x:c r="Q1783" t="str">
        <x:v>No</x:v>
      </x:c>
    </x:row>
    <x:row r="1784">
      <x:c r="A1784" t="str">
        <x:v>ORD-00335</x:v>
      </x:c>
      <x:c r="B1784" s="3" t="n">
        <x:v>46015.39327190972</x:v>
      </x:c>
      <x:c r="C1784" t="str">
        <x:v>2025-12</x:v>
      </x:c>
      <x:c r="D1784" t="str">
        <x:v>CUS-0493</x:v>
      </x:c>
      <x:c r="E1784" t="str">
        <x:v>South West</x:v>
      </x:c>
      <x:c r="F1784" t="str">
        <x:v>Store</x:v>
      </x:c>
      <x:c r="G1784" t="str">
        <x:v>Beauty</x:v>
      </x:c>
      <x:c r="H1784" t="str">
        <x:v>Skin Care Set</x:v>
      </x:c>
      <x:c r="I1784" t="n">
        <x:v>4</x:v>
      </x:c>
      <x:c r="J1784" s="4" t="n">
        <x:v>43.01</x:v>
      </x:c>
      <x:c r="K1784" s="4" t="n">
        <x:v>18</x:v>
      </x:c>
      <x:c r="L1784" s="5" t="n">
        <x:v>0</x:v>
      </x:c>
      <x:c r="M1784" s="4" t="n">
        <x:f>ROUND(I1784*J1784*(1-L1784),2)</x:f>
        <x:v>172.04</x:v>
      </x:c>
      <x:c r="N1784" s="4" t="n">
        <x:f>ROUND(I1784*K1784,2)</x:f>
        <x:v>72</x:v>
      </x:c>
      <x:c r="O1784" s="4" t="n">
        <x:f>ROUND(M1784-N1784,2)</x:f>
        <x:v>100.04</x:v>
      </x:c>
      <x:c r="P1784" s="6" t="n">
        <x:v>4.1</x:v>
      </x:c>
      <x:c r="Q1784" t="str">
        <x:v>Yes</x:v>
      </x:c>
    </x:row>
    <x:row r="1785">
      <x:c r="A1785" t="str">
        <x:v>ORD-00266</x:v>
      </x:c>
      <x:c r="B1785" s="3" t="n">
        <x:v>46015.69250211806</x:v>
      </x:c>
      <x:c r="C1785" t="str">
        <x:v>2025-12</x:v>
      </x:c>
      <x:c r="D1785" t="str">
        <x:v>CUS-0432</x:v>
      </x:c>
      <x:c r="E1785" t="str">
        <x:v>South West</x:v>
      </x:c>
      <x:c r="F1785" t="str">
        <x:v>Store</x:v>
      </x:c>
      <x:c r="G1785" t="str">
        <x:v>Electronics</x:v>
      </x:c>
      <x:c r="H1785" t="str">
        <x:v>Wireless Headphones</x:v>
      </x:c>
      <x:c r="I1785" t="n">
        <x:v>1</x:v>
      </x:c>
      <x:c r="J1785" s="4" t="n">
        <x:v>88.5</x:v>
      </x:c>
      <x:c r="K1785" s="4" t="n">
        <x:v>48</x:v>
      </x:c>
      <x:c r="L1785" s="5" t="n">
        <x:v>0.2</x:v>
      </x:c>
      <x:c r="M1785" s="4" t="n">
        <x:f>ROUND(I1785*J1785*(1-L1785),2)</x:f>
        <x:v>70.8</x:v>
      </x:c>
      <x:c r="N1785" s="4" t="n">
        <x:f>ROUND(I1785*K1785,2)</x:f>
        <x:v>48</x:v>
      </x:c>
      <x:c r="O1785" s="4" t="n">
        <x:f>ROUND(M1785-N1785,2)</x:f>
        <x:v>22.8</x:v>
      </x:c>
      <x:c r="P1785" s="6" t="n">
        <x:v>4.4</x:v>
      </x:c>
      <x:c r="Q1785" t="str">
        <x:v>No</x:v>
      </x:c>
    </x:row>
    <x:row r="1786">
      <x:c r="A1786" t="str">
        <x:v>ORD-01338</x:v>
      </x:c>
      <x:c r="B1786" s="3" t="n">
        <x:v>46017.444287025464</x:v>
      </x:c>
      <x:c r="C1786" t="str">
        <x:v>2025-12</x:v>
      </x:c>
      <x:c r="D1786" t="str">
        <x:v>CUS-0069</x:v>
      </x:c>
      <x:c r="E1786" t="str">
        <x:v>North East</x:v>
      </x:c>
      <x:c r="F1786" t="str">
        <x:v>Store</x:v>
      </x:c>
      <x:c r="G1786" t="str">
        <x:v>Sports</x:v>
      </x:c>
      <x:c r="H1786" t="str">
        <x:v>Running Shoes</x:v>
      </x:c>
      <x:c r="I1786" t="n">
        <x:v>3</x:v>
      </x:c>
      <x:c r="J1786" s="4" t="n">
        <x:v>78.26</x:v>
      </x:c>
      <x:c r="K1786" s="4" t="n">
        <x:v>38</x:v>
      </x:c>
      <x:c r="L1786" s="5" t="n">
        <x:v>0.1</x:v>
      </x:c>
      <x:c r="M1786" s="4" t="n">
        <x:f>ROUND(I1786*J1786*(1-L1786),2)</x:f>
        <x:v>211.3</x:v>
      </x:c>
      <x:c r="N1786" s="4" t="n">
        <x:f>ROUND(I1786*K1786,2)</x:f>
        <x:v>114</x:v>
      </x:c>
      <x:c r="O1786" s="4" t="n">
        <x:f>ROUND(M1786-N1786,2)</x:f>
        <x:v>97.3</x:v>
      </x:c>
      <x:c r="P1786" s="6" t="n">
        <x:v>3.3</x:v>
      </x:c>
      <x:c r="Q1786" t="str">
        <x:v>No</x:v>
      </x:c>
    </x:row>
    <x:row r="1787">
      <x:c r="A1787" t="str">
        <x:v>ORD-00773</x:v>
      </x:c>
      <x:c r="B1787" s="3" t="n">
        <x:v>46017.4596462037</x:v>
      </x:c>
      <x:c r="C1787" t="str">
        <x:v>2025-12</x:v>
      </x:c>
      <x:c r="D1787" t="str">
        <x:v>CUS-0127</x:v>
      </x:c>
      <x:c r="E1787" t="str">
        <x:v>North East</x:v>
      </x:c>
      <x:c r="F1787" t="str">
        <x:v>Marketplace</x:v>
      </x:c>
      <x:c r="G1787" t="str">
        <x:v>Sports</x:v>
      </x:c>
      <x:c r="H1787" t="str">
        <x:v>Yoga Mat</x:v>
      </x:c>
      <x:c r="I1787" t="n">
        <x:v>1</x:v>
      </x:c>
      <x:c r="J1787" s="4" t="n">
        <x:v>29.41</x:v>
      </x:c>
      <x:c r="K1787" s="4" t="n">
        <x:v>12</x:v>
      </x:c>
      <x:c r="L1787" s="5" t="n">
        <x:v>0.2</x:v>
      </x:c>
      <x:c r="M1787" s="4" t="n">
        <x:f>ROUND(I1787*J1787*(1-L1787),2)</x:f>
        <x:v>23.53</x:v>
      </x:c>
      <x:c r="N1787" s="4" t="n">
        <x:f>ROUND(I1787*K1787,2)</x:f>
        <x:v>12</x:v>
      </x:c>
      <x:c r="O1787" s="4" t="n">
        <x:f>ROUND(M1787-N1787,2)</x:f>
        <x:v>11.53</x:v>
      </x:c>
      <x:c r="P1787" s="6" t="n">
        <x:v>5</x:v>
      </x:c>
      <x:c r="Q1787" t="str">
        <x:v>No</x:v>
      </x:c>
    </x:row>
    <x:row r="1788">
      <x:c r="A1788" t="str">
        <x:v>ORD-01793</x:v>
      </x:c>
      <x:c r="B1788" s="3" t="n">
        <x:v>46017.9250753125</x:v>
      </x:c>
      <x:c r="C1788" t="str">
        <x:v>2025-12</x:v>
      </x:c>
      <x:c r="D1788" t="str">
        <x:v>CUS-0479</x:v>
      </x:c>
      <x:c r="E1788" t="str">
        <x:v>Wales</x:v>
      </x:c>
      <x:c r="F1788" t="str">
        <x:v>Online</x:v>
      </x:c>
      <x:c r="G1788" t="str">
        <x:v>Fashion</x:v>
      </x:c>
      <x:c r="H1788" t="str">
        <x:v>Classic Trainers</x:v>
      </x:c>
      <x:c r="I1788" t="n">
        <x:v>4</x:v>
      </x:c>
      <x:c r="J1788" s="4" t="n">
        <x:v>69.58</x:v>
      </x:c>
      <x:c r="K1788" s="4" t="n">
        <x:v>32</x:v>
      </x:c>
      <x:c r="L1788" s="5" t="n">
        <x:v>0.1</x:v>
      </x:c>
      <x:c r="M1788" s="4" t="n">
        <x:f>ROUND(I1788*J1788*(1-L1788),2)</x:f>
        <x:v>250.49</x:v>
      </x:c>
      <x:c r="N1788" s="4" t="n">
        <x:f>ROUND(I1788*K1788,2)</x:f>
        <x:v>128</x:v>
      </x:c>
      <x:c r="O1788" s="4" t="n">
        <x:f>ROUND(M1788-N1788,2)</x:f>
        <x:v>122.49</x:v>
      </x:c>
      <x:c r="P1788" s="6" t="n">
        <x:v>4.2</x:v>
      </x:c>
      <x:c r="Q1788" t="str">
        <x:v>No</x:v>
      </x:c>
    </x:row>
    <x:row r="1789">
      <x:c r="A1789" t="str">
        <x:v>ORD-01591</x:v>
      </x:c>
      <x:c r="B1789" s="3" t="n">
        <x:v>46018.14903591435</x:v>
      </x:c>
      <x:c r="C1789" t="str">
        <x:v>2025-12</x:v>
      </x:c>
      <x:c r="D1789" t="str">
        <x:v>CUS-0573</x:v>
      </x:c>
      <x:c r="E1789" t="str">
        <x:v>South West</x:v>
      </x:c>
      <x:c r="F1789" t="str">
        <x:v>Marketplace</x:v>
      </x:c>
      <x:c r="G1789" t="str">
        <x:v>Sports</x:v>
      </x:c>
      <x:c r="H1789" t="str">
        <x:v>Running Shoes</x:v>
      </x:c>
      <x:c r="I1789" t="n">
        <x:v>5</x:v>
      </x:c>
      <x:c r="J1789" s="4" t="n">
        <x:v>76.13</x:v>
      </x:c>
      <x:c r="K1789" s="4" t="n">
        <x:v>38</x:v>
      </x:c>
      <x:c r="L1789" s="5" t="n">
        <x:v>0</x:v>
      </x:c>
      <x:c r="M1789" s="4" t="n">
        <x:f>ROUND(I1789*J1789*(1-L1789),2)</x:f>
        <x:v>380.65</x:v>
      </x:c>
      <x:c r="N1789" s="4" t="n">
        <x:f>ROUND(I1789*K1789,2)</x:f>
        <x:v>190</x:v>
      </x:c>
      <x:c r="O1789" s="4" t="n">
        <x:f>ROUND(M1789-N1789,2)</x:f>
        <x:v>190.65</x:v>
      </x:c>
      <x:c r="P1789" s="6" t="n">
        <x:v>3.4</x:v>
      </x:c>
      <x:c r="Q1789" t="str">
        <x:v>No</x:v>
      </x:c>
    </x:row>
    <x:row r="1790">
      <x:c r="A1790" t="str">
        <x:v>ORD-00155</x:v>
      </x:c>
      <x:c r="B1790" s="3" t="n">
        <x:v>46018.2651909375</x:v>
      </x:c>
      <x:c r="C1790" t="str">
        <x:v>2025-12</x:v>
      </x:c>
      <x:c r="D1790" t="str">
        <x:v>CUS-0392</x:v>
      </x:c>
      <x:c r="E1790" t="str">
        <x:v>South East</x:v>
      </x:c>
      <x:c r="F1790" t="str">
        <x:v>Marketplace</x:v>
      </x:c>
      <x:c r="G1790" t="str">
        <x:v>Home</x:v>
      </x:c>
      <x:c r="H1790" t="str">
        <x:v>Coffee Maker</x:v>
      </x:c>
      <x:c r="I1790" t="n">
        <x:v>4</x:v>
      </x:c>
      <x:c r="J1790" s="4" t="n">
        <x:v>71.26</x:v>
      </x:c>
      <x:c r="K1790" s="4" t="n">
        <x:v>41</x:v>
      </x:c>
      <x:c r="L1790" s="5" t="n">
        <x:v>0.2</x:v>
      </x:c>
      <x:c r="M1790" s="4" t="n">
        <x:f>ROUND(I1790*J1790*(1-L1790),2)</x:f>
        <x:v>228.03</x:v>
      </x:c>
      <x:c r="N1790" s="4" t="n">
        <x:f>ROUND(I1790*K1790,2)</x:f>
        <x:v>164</x:v>
      </x:c>
      <x:c r="O1790" s="4" t="n">
        <x:f>ROUND(M1790-N1790,2)</x:f>
        <x:v>64.03</x:v>
      </x:c>
      <x:c r="P1790" s="6" t="n">
        <x:v>3.5</x:v>
      </x:c>
      <x:c r="Q1790" t="str">
        <x:v>No</x:v>
      </x:c>
    </x:row>
    <x:row r="1791">
      <x:c r="A1791" t="str">
        <x:v>ORD-01475</x:v>
      </x:c>
      <x:c r="B1791" s="3" t="n">
        <x:v>46019.29905693287</x:v>
      </x:c>
      <x:c r="C1791" t="str">
        <x:v>2025-12</x:v>
      </x:c>
      <x:c r="D1791" t="str">
        <x:v>CUS-0557</x:v>
      </x:c>
      <x:c r="E1791" t="str">
        <x:v>London</x:v>
      </x:c>
      <x:c r="F1791" t="str">
        <x:v>Marketplace</x:v>
      </x:c>
      <x:c r="G1791" t="str">
        <x:v>Fashion</x:v>
      </x:c>
      <x:c r="H1791" t="str">
        <x:v>Winter Jacket</x:v>
      </x:c>
      <x:c r="I1791" t="n">
        <x:v>4</x:v>
      </x:c>
      <x:c r="J1791" s="4" t="n">
        <x:v>99.44</x:v>
      </x:c>
      <x:c r="K1791" s="4" t="n">
        <x:v>46</x:v>
      </x:c>
      <x:c r="L1791" s="5" t="n">
        <x:v>0.05</x:v>
      </x:c>
      <x:c r="M1791" s="4" t="n">
        <x:f>ROUND(I1791*J1791*(1-L1791),2)</x:f>
        <x:v>377.87</x:v>
      </x:c>
      <x:c r="N1791" s="4" t="n">
        <x:f>ROUND(I1791*K1791,2)</x:f>
        <x:v>184</x:v>
      </x:c>
      <x:c r="O1791" s="4" t="n">
        <x:f>ROUND(M1791-N1791,2)</x:f>
        <x:v>193.87</x:v>
      </x:c>
      <x:c r="P1791" s="6" t="n">
        <x:v>4.7</x:v>
      </x:c>
      <x:c r="Q1791" t="str">
        <x:v>No</x:v>
      </x:c>
    </x:row>
    <x:row r="1792">
      <x:c r="A1792" t="str">
        <x:v>ORD-00736</x:v>
      </x:c>
      <x:c r="B1792" s="3" t="n">
        <x:v>46019.45509728009</x:v>
      </x:c>
      <x:c r="C1792" t="str">
        <x:v>2025-12</x:v>
      </x:c>
      <x:c r="D1792" t="str">
        <x:v>CUS-0213</x:v>
      </x:c>
      <x:c r="E1792" t="str">
        <x:v>Midlands</x:v>
      </x:c>
      <x:c r="F1792" t="str">
        <x:v>Online</x:v>
      </x:c>
      <x:c r="G1792" t="str">
        <x:v>Sports</x:v>
      </x:c>
      <x:c r="H1792" t="str">
        <x:v>Running Shoes</x:v>
      </x:c>
      <x:c r="I1792" t="n">
        <x:v>4</x:v>
      </x:c>
      <x:c r="J1792" s="4" t="n">
        <x:v>79.47</x:v>
      </x:c>
      <x:c r="K1792" s="4" t="n">
        <x:v>38</x:v>
      </x:c>
      <x:c r="L1792" s="5" t="n">
        <x:v>0.2</x:v>
      </x:c>
      <x:c r="M1792" s="4" t="n">
        <x:f>ROUND(I1792*J1792*(1-L1792),2)</x:f>
        <x:v>254.3</x:v>
      </x:c>
      <x:c r="N1792" s="4" t="n">
        <x:f>ROUND(I1792*K1792,2)</x:f>
        <x:v>152</x:v>
      </x:c>
      <x:c r="O1792" s="4" t="n">
        <x:f>ROUND(M1792-N1792,2)</x:f>
        <x:v>102.3</x:v>
      </x:c>
      <x:c r="P1792" s="6" t="n">
        <x:v>4.7</x:v>
      </x:c>
      <x:c r="Q1792" t="str">
        <x:v>No</x:v>
      </x:c>
    </x:row>
    <x:row r="1793">
      <x:c r="A1793" t="str">
        <x:v>ORD-01109</x:v>
      </x:c>
      <x:c r="B1793" s="3" t="n">
        <x:v>46019.518153784724</x:v>
      </x:c>
      <x:c r="C1793" t="str">
        <x:v>2025-12</x:v>
      </x:c>
      <x:c r="D1793" t="str">
        <x:v>CUS-0307</x:v>
      </x:c>
      <x:c r="E1793" t="str">
        <x:v>South West</x:v>
      </x:c>
      <x:c r="F1793" t="str">
        <x:v>Online</x:v>
      </x:c>
      <x:c r="G1793" t="str">
        <x:v>Home</x:v>
      </x:c>
      <x:c r="H1793" t="str">
        <x:v>Coffee Maker</x:v>
      </x:c>
      <x:c r="I1793" t="n">
        <x:v>2</x:v>
      </x:c>
      <x:c r="J1793" s="4" t="n">
        <x:v>73.38</x:v>
      </x:c>
      <x:c r="K1793" s="4" t="n">
        <x:v>41</x:v>
      </x:c>
      <x:c r="L1793" s="5" t="n">
        <x:v>0.1</x:v>
      </x:c>
      <x:c r="M1793" s="4" t="n">
        <x:f>ROUND(I1793*J1793*(1-L1793),2)</x:f>
        <x:v>132.08</x:v>
      </x:c>
      <x:c r="N1793" s="4" t="n">
        <x:f>ROUND(I1793*K1793,2)</x:f>
        <x:v>82</x:v>
      </x:c>
      <x:c r="O1793" s="4" t="n">
        <x:f>ROUND(M1793-N1793,2)</x:f>
        <x:v>50.08</x:v>
      </x:c>
      <x:c r="P1793" s="6" t="n">
        <x:v>4.7</x:v>
      </x:c>
      <x:c r="Q1793" t="str">
        <x:v>No</x:v>
      </x:c>
    </x:row>
    <x:row r="1794">
      <x:c r="A1794" t="str">
        <x:v>ORD-00566</x:v>
      </x:c>
      <x:c r="B1794" s="3" t="n">
        <x:v>46019.56701061343</x:v>
      </x:c>
      <x:c r="C1794" t="str">
        <x:v>2025-12</x:v>
      </x:c>
      <x:c r="D1794" t="str">
        <x:v>CUS-0056</x:v>
      </x:c>
      <x:c r="E1794" t="str">
        <x:v>Wales</x:v>
      </x:c>
      <x:c r="F1794" t="str">
        <x:v>Store</x:v>
      </x:c>
      <x:c r="G1794" t="str">
        <x:v>Fashion</x:v>
      </x:c>
      <x:c r="H1794" t="str">
        <x:v>Winter Jacket</x:v>
      </x:c>
      <x:c r="I1794" t="n">
        <x:v>1</x:v>
      </x:c>
      <x:c r="J1794" s="4" t="n">
        <x:v>96.32</x:v>
      </x:c>
      <x:c r="K1794" s="4" t="n">
        <x:v>46</x:v>
      </x:c>
      <x:c r="L1794" s="5" t="n">
        <x:v>0.2</x:v>
      </x:c>
      <x:c r="M1794" s="4" t="n">
        <x:f>ROUND(I1794*J1794*(1-L1794),2)</x:f>
        <x:v>77.06</x:v>
      </x:c>
      <x:c r="N1794" s="4" t="n">
        <x:f>ROUND(I1794*K1794,2)</x:f>
        <x:v>46</x:v>
      </x:c>
      <x:c r="O1794" s="4" t="n">
        <x:f>ROUND(M1794-N1794,2)</x:f>
        <x:v>31.06</x:v>
      </x:c>
      <x:c r="P1794" s="6" t="n">
        <x:v>4.2</x:v>
      </x:c>
      <x:c r="Q1794" t="str">
        <x:v>No</x:v>
      </x:c>
    </x:row>
    <x:row r="1795">
      <x:c r="A1795" t="str">
        <x:v>ORD-00579</x:v>
      </x:c>
      <x:c r="B1795" s="3" t="n">
        <x:v>46020.180467175924</x:v>
      </x:c>
      <x:c r="C1795" t="str">
        <x:v>2025-12</x:v>
      </x:c>
      <x:c r="D1795" t="str">
        <x:v>CUS-0181</x:v>
      </x:c>
      <x:c r="E1795" t="str">
        <x:v>North East</x:v>
      </x:c>
      <x:c r="F1795" t="str">
        <x:v>Marketplace</x:v>
      </x:c>
      <x:c r="G1795" t="str">
        <x:v>Sports</x:v>
      </x:c>
      <x:c r="H1795" t="str">
        <x:v>Running Shoes</x:v>
      </x:c>
      <x:c r="I1795" t="n">
        <x:v>4</x:v>
      </x:c>
      <x:c r="J1795" s="4" t="n">
        <x:v>77.13</x:v>
      </x:c>
      <x:c r="K1795" s="4" t="n">
        <x:v>38</x:v>
      </x:c>
      <x:c r="L1795" s="5" t="n">
        <x:v>0</x:v>
      </x:c>
      <x:c r="M1795" s="4" t="n">
        <x:f>ROUND(I1795*J1795*(1-L1795),2)</x:f>
        <x:v>308.52</x:v>
      </x:c>
      <x:c r="N1795" s="4" t="n">
        <x:f>ROUND(I1795*K1795,2)</x:f>
        <x:v>152</x:v>
      </x:c>
      <x:c r="O1795" s="4" t="n">
        <x:f>ROUND(M1795-N1795,2)</x:f>
        <x:v>156.52</x:v>
      </x:c>
      <x:c r="P1795" s="6" t="n">
        <x:v>3.5</x:v>
      </x:c>
      <x:c r="Q1795" t="str">
        <x:v>No</x:v>
      </x:c>
    </x:row>
    <x:row r="1796">
      <x:c r="A1796" t="str">
        <x:v>ORD-00987</x:v>
      </x:c>
      <x:c r="B1796" s="3" t="n">
        <x:v>46020.421028055556</x:v>
      </x:c>
      <x:c r="C1796" t="str">
        <x:v>2025-12</x:v>
      </x:c>
      <x:c r="D1796" t="str">
        <x:v>CUS-0601</x:v>
      </x:c>
      <x:c r="E1796" t="str">
        <x:v>Wales</x:v>
      </x:c>
      <x:c r="F1796" t="str">
        <x:v>Marketplace</x:v>
      </x:c>
      <x:c r="G1796" t="str">
        <x:v>Books</x:v>
      </x:c>
      <x:c r="H1796" t="str">
        <x:v>Data Analytics Handbook</x:v>
      </x:c>
      <x:c r="I1796" t="n">
        <x:v>4</x:v>
      </x:c>
      <x:c r="J1796" s="4" t="n">
        <x:v>38.13</x:v>
      </x:c>
      <x:c r="K1796" s="4" t="n">
        <x:v>14</x:v>
      </x:c>
      <x:c r="L1796" s="5" t="n">
        <x:v>0.2</x:v>
      </x:c>
      <x:c r="M1796" s="4" t="n">
        <x:f>ROUND(I1796*J1796*(1-L1796),2)</x:f>
        <x:v>122.02</x:v>
      </x:c>
      <x:c r="N1796" s="4" t="n">
        <x:f>ROUND(I1796*K1796,2)</x:f>
        <x:v>56</x:v>
      </x:c>
      <x:c r="O1796" s="4" t="n">
        <x:f>ROUND(M1796-N1796,2)</x:f>
        <x:v>66.02</x:v>
      </x:c>
      <x:c r="P1796" s="6" t="n">
        <x:v>3.5</x:v>
      </x:c>
      <x:c r="Q1796" t="str">
        <x:v>No</x:v>
      </x:c>
    </x:row>
    <x:row r="1797">
      <x:c r="A1797" t="str">
        <x:v>ORD-00401</x:v>
      </x:c>
      <x:c r="B1797" s="3" t="n">
        <x:v>46020.61756560185</x:v>
      </x:c>
      <x:c r="C1797" t="str">
        <x:v>2025-12</x:v>
      </x:c>
      <x:c r="D1797" t="str">
        <x:v>CUS-0548</x:v>
      </x:c>
      <x:c r="E1797" t="str">
        <x:v>Wales</x:v>
      </x:c>
      <x:c r="F1797" t="str">
        <x:v>Online</x:v>
      </x:c>
      <x:c r="G1797" t="str">
        <x:v>Electronics</x:v>
      </x:c>
      <x:c r="H1797" t="str">
        <x:v>Wireless Headphones</x:v>
      </x:c>
      <x:c r="I1797" t="n">
        <x:v>2</x:v>
      </x:c>
      <x:c r="J1797" s="4" t="n">
        <x:v>87.67</x:v>
      </x:c>
      <x:c r="K1797" s="4" t="n">
        <x:v>48</x:v>
      </x:c>
      <x:c r="L1797" s="5" t="n">
        <x:v>0</x:v>
      </x:c>
      <x:c r="M1797" s="4" t="n">
        <x:f>ROUND(I1797*J1797*(1-L1797),2)</x:f>
        <x:v>175.34</x:v>
      </x:c>
      <x:c r="N1797" s="4" t="n">
        <x:f>ROUND(I1797*K1797,2)</x:f>
        <x:v>96</x:v>
      </x:c>
      <x:c r="O1797" s="4" t="n">
        <x:f>ROUND(M1797-N1797,2)</x:f>
        <x:v>79.34</x:v>
      </x:c>
      <x:c r="P1797" s="6" t="n">
        <x:v>4.1</x:v>
      </x:c>
      <x:c r="Q1797" t="str">
        <x:v>No</x:v>
      </x:c>
    </x:row>
    <x:row r="1798">
      <x:c r="A1798" t="str">
        <x:v>ORD-00593</x:v>
      </x:c>
      <x:c r="B1798" s="3" t="n">
        <x:v>46021.16221944444</x:v>
      </x:c>
      <x:c r="C1798" t="str">
        <x:v>2025-12</x:v>
      </x:c>
      <x:c r="D1798" t="str">
        <x:v>CUS-0268</x:v>
      </x:c>
      <x:c r="E1798" t="str">
        <x:v>South East</x:v>
      </x:c>
      <x:c r="F1798" t="str">
        <x:v>Marketplace</x:v>
      </x:c>
      <x:c r="G1798" t="str">
        <x:v>Books</x:v>
      </x:c>
      <x:c r="H1798" t="str">
        <x:v>Business Intelligence Guide</x:v>
      </x:c>
      <x:c r="I1798" t="n">
        <x:v>4</x:v>
      </x:c>
      <x:c r="J1798" s="4" t="n">
        <x:v>34.8</x:v>
      </x:c>
      <x:c r="K1798" s="4" t="n">
        <x:v>12</x:v>
      </x:c>
      <x:c r="L1798" s="5" t="n">
        <x:v>0</x:v>
      </x:c>
      <x:c r="M1798" s="4" t="n">
        <x:f>ROUND(I1798*J1798*(1-L1798),2)</x:f>
        <x:v>139.2</x:v>
      </x:c>
      <x:c r="N1798" s="4" t="n">
        <x:f>ROUND(I1798*K1798,2)</x:f>
        <x:v>48</x:v>
      </x:c>
      <x:c r="O1798" s="4" t="n">
        <x:f>ROUND(M1798-N1798,2)</x:f>
        <x:v>91.2</x:v>
      </x:c>
      <x:c r="P1798" s="6" t="n">
        <x:v>3.6</x:v>
      </x:c>
      <x:c r="Q1798" t="str">
        <x:v>No</x:v>
      </x:c>
    </x:row>
    <x:row r="1799">
      <x:c r="A1799" t="str">
        <x:v>ORD-00216</x:v>
      </x:c>
      <x:c r="B1799" s="3" t="n">
        <x:v>46021.587196215274</x:v>
      </x:c>
      <x:c r="C1799" t="str">
        <x:v>2025-12</x:v>
      </x:c>
      <x:c r="D1799" t="str">
        <x:v>CUS-0201</x:v>
      </x:c>
      <x:c r="E1799" t="str">
        <x:v>North West</x:v>
      </x:c>
      <x:c r="F1799" t="str">
        <x:v>Marketplace</x:v>
      </x:c>
      <x:c r="G1799" t="str">
        <x:v>Books</x:v>
      </x:c>
      <x:c r="H1799" t="str">
        <x:v>Business Intelligence Guide</x:v>
      </x:c>
      <x:c r="I1799" t="n">
        <x:v>3</x:v>
      </x:c>
      <x:c r="J1799" s="4" t="n">
        <x:v>35.39</x:v>
      </x:c>
      <x:c r="K1799" s="4" t="n">
        <x:v>12</x:v>
      </x:c>
      <x:c r="L1799" s="5" t="n">
        <x:v>0.15</x:v>
      </x:c>
      <x:c r="M1799" s="4" t="n">
        <x:f>ROUND(I1799*J1799*(1-L1799),2)</x:f>
        <x:v>90.24</x:v>
      </x:c>
      <x:c r="N1799" s="4" t="n">
        <x:f>ROUND(I1799*K1799,2)</x:f>
        <x:v>36</x:v>
      </x:c>
      <x:c r="O1799" s="4" t="n">
        <x:f>ROUND(M1799-N1799,2)</x:f>
        <x:v>54.24</x:v>
      </x:c>
      <x:c r="P1799" s="6" t="n">
        <x:v>4.1</x:v>
      </x:c>
      <x:c r="Q1799" t="str">
        <x:v>No</x:v>
      </x:c>
    </x:row>
    <x:row r="1800">
      <x:c r="A1800" t="str">
        <x:v>ORD-01160</x:v>
      </x:c>
      <x:c r="B1800" s="3" t="n">
        <x:v>46021.63825138889</x:v>
      </x:c>
      <x:c r="C1800" t="str">
        <x:v>2025-12</x:v>
      </x:c>
      <x:c r="D1800" t="str">
        <x:v>CUS-0591</x:v>
      </x:c>
      <x:c r="E1800" t="str">
        <x:v>South West</x:v>
      </x:c>
      <x:c r="F1800" t="str">
        <x:v>Store</x:v>
      </x:c>
      <x:c r="G1800" t="str">
        <x:v>Sports</x:v>
      </x:c>
      <x:c r="H1800" t="str">
        <x:v>Running Shoes</x:v>
      </x:c>
      <x:c r="I1800" t="n">
        <x:v>3</x:v>
      </x:c>
      <x:c r="J1800" s="4" t="n">
        <x:v>81.89</x:v>
      </x:c>
      <x:c r="K1800" s="4" t="n">
        <x:v>38</x:v>
      </x:c>
      <x:c r="L1800" s="5" t="n">
        <x:v>0</x:v>
      </x:c>
      <x:c r="M1800" s="4" t="n">
        <x:f>ROUND(I1800*J1800*(1-L1800),2)</x:f>
        <x:v>245.67</x:v>
      </x:c>
      <x:c r="N1800" s="4" t="n">
        <x:f>ROUND(I1800*K1800,2)</x:f>
        <x:v>114</x:v>
      </x:c>
      <x:c r="O1800" s="4" t="n">
        <x:f>ROUND(M1800-N1800,2)</x:f>
        <x:v>131.67</x:v>
      </x:c>
      <x:c r="P1800" s="6" t="n">
        <x:v>3.7</x:v>
      </x:c>
      <x:c r="Q1800" t="str">
        <x:v>No</x:v>
      </x:c>
    </x:row>
    <x:row r="1801">
      <x:c r="A1801" t="str">
        <x:v>ORD-01461</x:v>
      </x:c>
      <x:c r="B1801" s="3" t="n">
        <x:v>46021.68453153935</x:v>
      </x:c>
      <x:c r="C1801" t="str">
        <x:v>2025-12</x:v>
      </x:c>
      <x:c r="D1801" t="str">
        <x:v>CUS-0016</x:v>
      </x:c>
      <x:c r="E1801" t="str">
        <x:v>Scotland</x:v>
      </x:c>
      <x:c r="F1801" t="str">
        <x:v>Store</x:v>
      </x:c>
      <x:c r="G1801" t="str">
        <x:v>Books</x:v>
      </x:c>
      <x:c r="H1801" t="str">
        <x:v>Data Analytics Handbook</x:v>
      </x:c>
      <x:c r="I1801" t="n">
        <x:v>2</x:v>
      </x:c>
      <x:c r="J1801" s="4" t="n">
        <x:v>41.68</x:v>
      </x:c>
      <x:c r="K1801" s="4" t="n">
        <x:v>14</x:v>
      </x:c>
      <x:c r="L1801" s="5" t="n">
        <x:v>0.05</x:v>
      </x:c>
      <x:c r="M1801" s="4" t="n">
        <x:f>ROUND(I1801*J1801*(1-L1801),2)</x:f>
        <x:v>79.19</x:v>
      </x:c>
      <x:c r="N1801" s="4" t="n">
        <x:f>ROUND(I1801*K1801,2)</x:f>
        <x:v>28</x:v>
      </x:c>
      <x:c r="O1801" s="4" t="n">
        <x:f>ROUND(M1801-N1801,2)</x:f>
        <x:v>51.19</x:v>
      </x:c>
      <x:c r="P1801" s="6" t="n">
        <x:v>3.9</x:v>
      </x:c>
      <x:c r="Q1801" t="str">
        <x:v>No</x:v>
      </x:c>
    </x:row>
  </x:sheetData>
  <x:conditionalFormatting sqref="O2:O1801">
    <x:cfRule type="dataBar" priority="1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{3238B2BC-AE78-EFC2-0DBE-0C65276BB45F}</x14:id>
        </x:ext>
      </x:extLst>
    </x:cfRule>
  </x:conditionalFormatting>
  <x:conditionalFormatting sqref="Q2:Q1801">
    <x:cfRule type="containsText" dxfId="0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3945c8ba468742e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38B2BC-AE78-EFC2-0DBE-0C65276BB45F}">
            <x14:dataBar gradient="1">
              <x14:cfvo type="min"/>
              <x14:cfvo type="max"/>
              <x14:fillColor rgb="FF2A9D8F"/>
            </x14:dataBar>
          </x14:cfRule>
          <xm:sqref>O2:O1801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" t="str">
        <x:v>Month</x:v>
      </x:c>
      <x:c r="B1" s="2" t="str">
        <x:v>Revenue</x:v>
      </x:c>
      <x:c r="C1" s="2" t="str">
        <x:v>Profit</x:v>
      </x:c>
      <x:c r="D1" s="2" t="str">
        <x:v>Orders</x:v>
      </x:c>
      <x:c r="E1" s="2" t="str">
        <x:v>Profit Margin</x:v>
      </x:c>
    </x:row>
    <x:row r="2">
      <x:c r="A2" t="str">
        <x:v>2024-01</x:v>
      </x:c>
      <x:c r="B2" s="8" t="n">
        <x:f>SUMIFS('Sales Data'!$M$2:$M$1801,'Sales Data'!$C$2:$C$1801,A2)</x:f>
        <x:v>14454.6</x:v>
      </x:c>
      <x:c r="C2" s="8" t="n">
        <x:f>SUMIFS('Sales Data'!$O$2:$O$1801,'Sales Data'!$C$2:$C$1801,A2)</x:f>
        <x:v>6825.599999999999</x:v>
      </x:c>
      <x:c r="D2" t="n">
        <x:f>COUNTIF('Sales Data'!$C$2:$C$1801,A2)</x:f>
        <x:v>84</x:v>
      </x:c>
      <x:c r="E2" s="9" t="n">
        <x:f>IFERROR(C2/B2,0)</x:f>
        <x:v>0.4722095388319289</x:v>
      </x:c>
    </x:row>
    <x:row r="3">
      <x:c r="A3" t="str">
        <x:v>2024-02</x:v>
      </x:c>
      <x:c r="B3" s="8" t="n">
        <x:f>SUMIFS('Sales Data'!$M$2:$M$1801,'Sales Data'!$C$2:$C$1801,A3)</x:f>
        <x:v>16458.699999999997</x:v>
      </x:c>
      <x:c r="C3" s="8" t="n">
        <x:f>SUMIFS('Sales Data'!$O$2:$O$1801,'Sales Data'!$C$2:$C$1801,A3)</x:f>
        <x:v>7488.699999999999</x:v>
      </x:c>
      <x:c r="D3" t="n">
        <x:f>COUNTIF('Sales Data'!$C$2:$C$1801,A3)</x:f>
        <x:v>82</x:v>
      </x:c>
      <x:c r="E3" s="9" t="n">
        <x:f>IFERROR(C3/B3,0)</x:f>
        <x:v>0.4549994835558094</x:v>
      </x:c>
    </x:row>
    <x:row r="4">
      <x:c r="A4" t="str">
        <x:v>2024-03</x:v>
      </x:c>
      <x:c r="B4" s="8" t="n">
        <x:f>SUMIFS('Sales Data'!$M$2:$M$1801,'Sales Data'!$C$2:$C$1801,A4)</x:f>
        <x:v>12957.559999999998</x:v>
      </x:c>
      <x:c r="C4" s="8" t="n">
        <x:f>SUMIFS('Sales Data'!$O$2:$O$1801,'Sales Data'!$C$2:$C$1801,A4)</x:f>
        <x:v>5742.560000000002</x:v>
      </x:c>
      <x:c r="D4" t="n">
        <x:f>COUNTIF('Sales Data'!$C$2:$C$1801,A4)</x:f>
        <x:v>65</x:v>
      </x:c>
      <x:c r="E4" s="9" t="n">
        <x:f>IFERROR(C4/B4,0)</x:f>
        <x:v>0.4431822040569369</x:v>
      </x:c>
    </x:row>
    <x:row r="5">
      <x:c r="A5" t="str">
        <x:v>2024-04</x:v>
      </x:c>
      <x:c r="B5" s="8" t="n">
        <x:f>SUMIFS('Sales Data'!$M$2:$M$1801,'Sales Data'!$C$2:$C$1801,A5)</x:f>
        <x:v>12894.169999999998</x:v>
      </x:c>
      <x:c r="C5" s="8" t="n">
        <x:f>SUMIFS('Sales Data'!$O$2:$O$1801,'Sales Data'!$C$2:$C$1801,A5)</x:f>
        <x:v>6137.170000000001</x:v>
      </x:c>
      <x:c r="D5" t="n">
        <x:f>COUNTIF('Sales Data'!$C$2:$C$1801,A5)</x:f>
        <x:v>66</x:v>
      </x:c>
      <x:c r="E5" s="9" t="n">
        <x:f>IFERROR(C5/B5,0)</x:f>
        <x:v>0.47596471893886944</x:v>
      </x:c>
    </x:row>
    <x:row r="6">
      <x:c r="A6" t="str">
        <x:v>2024-05</x:v>
      </x:c>
      <x:c r="B6" s="8" t="n">
        <x:f>SUMIFS('Sales Data'!$M$2:$M$1801,'Sales Data'!$C$2:$C$1801,A6)</x:f>
        <x:v>14068.489999999998</x:v>
      </x:c>
      <x:c r="C6" s="8" t="n">
        <x:f>SUMIFS('Sales Data'!$O$2:$O$1801,'Sales Data'!$C$2:$C$1801,A6)</x:f>
        <x:v>6600.489999999999</x:v>
      </x:c>
      <x:c r="D6" t="n">
        <x:f>COUNTIF('Sales Data'!$C$2:$C$1801,A6)</x:f>
        <x:v>81</x:v>
      </x:c>
      <x:c r="E6" s="9" t="n">
        <x:f>IFERROR(C6/B6,0)</x:f>
        <x:v>0.4691683329198798</x:v>
      </x:c>
    </x:row>
    <x:row r="7">
      <x:c r="A7" t="str">
        <x:v>2024-06</x:v>
      </x:c>
      <x:c r="B7" s="8" t="n">
        <x:f>SUMIFS('Sales Data'!$M$2:$M$1801,'Sales Data'!$C$2:$C$1801,A7)</x:f>
        <x:v>12113.859999999997</x:v>
      </x:c>
      <x:c r="C7" s="8" t="n">
        <x:f>SUMIFS('Sales Data'!$O$2:$O$1801,'Sales Data'!$C$2:$C$1801,A7)</x:f>
        <x:v>5617.859999999998</x:v>
      </x:c>
      <x:c r="D7" t="n">
        <x:f>COUNTIF('Sales Data'!$C$2:$C$1801,A7)</x:f>
        <x:v>60</x:v>
      </x:c>
      <x:c r="E7" s="9" t="n">
        <x:f>IFERROR(C7/B7,0)</x:f>
        <x:v>0.4637547404378125</x:v>
      </x:c>
    </x:row>
    <x:row r="8">
      <x:c r="A8" t="str">
        <x:v>2024-07</x:v>
      </x:c>
      <x:c r="B8" s="8" t="n">
        <x:f>SUMIFS('Sales Data'!$M$2:$M$1801,'Sales Data'!$C$2:$C$1801,A8)</x:f>
        <x:v>14418.670000000002</x:v>
      </x:c>
      <x:c r="C8" s="8" t="n">
        <x:f>SUMIFS('Sales Data'!$O$2:$O$1801,'Sales Data'!$C$2:$C$1801,A8)</x:f>
        <x:v>6758.669999999999</x:v>
      </x:c>
      <x:c r="D8" t="n">
        <x:f>COUNTIF('Sales Data'!$C$2:$C$1801,A8)</x:f>
        <x:v>67</x:v>
      </x:c>
      <x:c r="E8" s="9" t="n">
        <x:f>IFERROR(C8/B8,0)</x:f>
        <x:v>0.46874434327160536</x:v>
      </x:c>
    </x:row>
    <x:row r="9">
      <x:c r="A9" t="str">
        <x:v>2024-08</x:v>
      </x:c>
      <x:c r="B9" s="8" t="n">
        <x:f>SUMIFS('Sales Data'!$M$2:$M$1801,'Sales Data'!$C$2:$C$1801,A9)</x:f>
        <x:v>13986.579999999996</x:v>
      </x:c>
      <x:c r="C9" s="8" t="n">
        <x:f>SUMIFS('Sales Data'!$O$2:$O$1801,'Sales Data'!$C$2:$C$1801,A9)</x:f>
        <x:v>6592.579999999999</x:v>
      </x:c>
      <x:c r="D9" t="n">
        <x:f>COUNTIF('Sales Data'!$C$2:$C$1801,A9)</x:f>
        <x:v>76</x:v>
      </x:c>
      <x:c r="E9" s="9" t="n">
        <x:f>IFERROR(C9/B9,0)</x:f>
        <x:v>0.4713503944495367</x:v>
      </x:c>
    </x:row>
    <x:row r="10">
      <x:c r="A10" t="str">
        <x:v>2024-09</x:v>
      </x:c>
      <x:c r="B10" s="8" t="n">
        <x:f>SUMIFS('Sales Data'!$M$2:$M$1801,'Sales Data'!$C$2:$C$1801,A10)</x:f>
        <x:v>11558.350000000002</x:v>
      </x:c>
      <x:c r="C10" s="8" t="n">
        <x:f>SUMIFS('Sales Data'!$O$2:$O$1801,'Sales Data'!$C$2:$C$1801,A10)</x:f>
        <x:v>5126.349999999999</x:v>
      </x:c>
      <x:c r="D10" t="n">
        <x:f>COUNTIF('Sales Data'!$C$2:$C$1801,A10)</x:f>
        <x:v>65</x:v>
      </x:c>
      <x:c r="E10" s="9" t="n">
        <x:f>IFERROR(C10/B10,0)</x:f>
        <x:v>0.4435191874272711</x:v>
      </x:c>
    </x:row>
    <x:row r="11">
      <x:c r="A11" t="str">
        <x:v>2024-10</x:v>
      </x:c>
      <x:c r="B11" s="8" t="n">
        <x:f>SUMIFS('Sales Data'!$M$2:$M$1801,'Sales Data'!$C$2:$C$1801,A11)</x:f>
        <x:v>10755.229999999998</x:v>
      </x:c>
      <x:c r="C11" s="8" t="n">
        <x:f>SUMIFS('Sales Data'!$O$2:$O$1801,'Sales Data'!$C$2:$C$1801,A11)</x:f>
        <x:v>5060.230000000002</x:v>
      </x:c>
      <x:c r="D11" t="n">
        <x:f>COUNTIF('Sales Data'!$C$2:$C$1801,A11)</x:f>
        <x:v>64</x:v>
      </x:c>
      <x:c r="E11" s="9" t="n">
        <x:f>IFERROR(C11/B11,0)</x:f>
        <x:v>0.4704901708285182</x:v>
      </x:c>
    </x:row>
    <x:row r="12">
      <x:c r="A12" t="str">
        <x:v>2024-11</x:v>
      </x:c>
      <x:c r="B12" s="8" t="n">
        <x:f>SUMIFS('Sales Data'!$M$2:$M$1801,'Sales Data'!$C$2:$C$1801,A12)</x:f>
        <x:v>13026.92</x:v>
      </x:c>
      <x:c r="C12" s="8" t="n">
        <x:f>SUMIFS('Sales Data'!$O$2:$O$1801,'Sales Data'!$C$2:$C$1801,A12)</x:f>
        <x:v>5928.919999999999</x:v>
      </x:c>
      <x:c r="D12" t="n">
        <x:f>COUNTIF('Sales Data'!$C$2:$C$1801,A12)</x:f>
        <x:v>74</x:v>
      </x:c>
      <x:c r="E12" s="9" t="n">
        <x:f>IFERROR(C12/B12,0)</x:f>
        <x:v>0.45512830354373857</x:v>
      </x:c>
    </x:row>
    <x:row r="13">
      <x:c r="A13" t="str">
        <x:v>2024-12</x:v>
      </x:c>
      <x:c r="B13" s="8" t="n">
        <x:f>SUMIFS('Sales Data'!$M$2:$M$1801,'Sales Data'!$C$2:$C$1801,A13)</x:f>
        <x:v>15532.18</x:v>
      </x:c>
      <x:c r="C13" s="8" t="n">
        <x:f>SUMIFS('Sales Data'!$O$2:$O$1801,'Sales Data'!$C$2:$C$1801,A13)</x:f>
        <x:v>7291.180000000004</x:v>
      </x:c>
      <x:c r="D13" t="n">
        <x:f>COUNTIF('Sales Data'!$C$2:$C$1801,A13)</x:f>
        <x:v>83</x:v>
      </x:c>
      <x:c r="E13" s="9" t="n">
        <x:f>IFERROR(C13/B13,0)</x:f>
        <x:v>0.4694241246238457</x:v>
      </x:c>
    </x:row>
    <x:row r="14">
      <x:c r="A14" t="str">
        <x:v>2025-01</x:v>
      </x:c>
      <x:c r="B14" s="8" t="n">
        <x:f>SUMIFS('Sales Data'!$M$2:$M$1801,'Sales Data'!$C$2:$C$1801,A14)</x:f>
        <x:v>17195.389999999992</x:v>
      </x:c>
      <x:c r="C14" s="8" t="n">
        <x:f>SUMIFS('Sales Data'!$O$2:$O$1801,'Sales Data'!$C$2:$C$1801,A14)</x:f>
        <x:v>8153.390000000005</x:v>
      </x:c>
      <x:c r="D14" t="n">
        <x:f>COUNTIF('Sales Data'!$C$2:$C$1801,A14)</x:f>
        <x:v>92</x:v>
      </x:c>
      <x:c r="E14" s="9" t="n">
        <x:f>IFERROR(C14/B14,0)</x:f>
        <x:v>0.474161388604737</x:v>
      </x:c>
    </x:row>
    <x:row r="15">
      <x:c r="A15" t="str">
        <x:v>2025-02</x:v>
      </x:c>
      <x:c r="B15" s="8" t="n">
        <x:f>SUMIFS('Sales Data'!$M$2:$M$1801,'Sales Data'!$C$2:$C$1801,A15)</x:f>
        <x:v>12771.280000000006</x:v>
      </x:c>
      <x:c r="C15" s="8" t="n">
        <x:f>SUMIFS('Sales Data'!$O$2:$O$1801,'Sales Data'!$C$2:$C$1801,A15)</x:f>
        <x:v>5768.279999999999</x:v>
      </x:c>
      <x:c r="D15" t="n">
        <x:f>COUNTIF('Sales Data'!$C$2:$C$1801,A15)</x:f>
        <x:v>65</x:v>
      </x:c>
      <x:c r="E15" s="9" t="n">
        <x:f>IFERROR(C15/B15,0)</x:f>
        <x:v>0.4516602877706852</x:v>
      </x:c>
    </x:row>
    <x:row r="16">
      <x:c r="A16" t="str">
        <x:v>2025-03</x:v>
      </x:c>
      <x:c r="B16" s="8" t="n">
        <x:f>SUMIFS('Sales Data'!$M$2:$M$1801,'Sales Data'!$C$2:$C$1801,A16)</x:f>
        <x:v>17113.48</x:v>
      </x:c>
      <x:c r="C16" s="8" t="n">
        <x:f>SUMIFS('Sales Data'!$O$2:$O$1801,'Sales Data'!$C$2:$C$1801,A16)</x:f>
        <x:v>7622.48</x:v>
      </x:c>
      <x:c r="D16" t="n">
        <x:f>COUNTIF('Sales Data'!$C$2:$C$1801,A16)</x:f>
        <x:v>82</x:v>
      </x:c>
      <x:c r="E16" s="9" t="n">
        <x:f>IFERROR(C16/B16,0)</x:f>
        <x:v>0.4454079474192274</x:v>
      </x:c>
    </x:row>
    <x:row r="17">
      <x:c r="A17" t="str">
        <x:v>2025-04</x:v>
      </x:c>
      <x:c r="B17" s="8" t="n">
        <x:f>SUMIFS('Sales Data'!$M$2:$M$1801,'Sales Data'!$C$2:$C$1801,A17)</x:f>
        <x:v>14065.26</x:v>
      </x:c>
      <x:c r="C17" s="8" t="n">
        <x:f>SUMIFS('Sales Data'!$O$2:$O$1801,'Sales Data'!$C$2:$C$1801,A17)</x:f>
        <x:v>6221.26</x:v>
      </x:c>
      <x:c r="D17" t="n">
        <x:f>COUNTIF('Sales Data'!$C$2:$C$1801,A17)</x:f>
        <x:v>67</x:v>
      </x:c>
      <x:c r="E17" s="9" t="n">
        <x:f>IFERROR(C17/B17,0)</x:f>
        <x:v>0.44231389963640916</x:v>
      </x:c>
    </x:row>
    <x:row r="18">
      <x:c r="A18" t="str">
        <x:v>2025-05</x:v>
      </x:c>
      <x:c r="B18" s="8" t="n">
        <x:f>SUMIFS('Sales Data'!$M$2:$M$1801,'Sales Data'!$C$2:$C$1801,A18)</x:f>
        <x:v>12799.469999999998</x:v>
      </x:c>
      <x:c r="C18" s="8" t="n">
        <x:f>SUMIFS('Sales Data'!$O$2:$O$1801,'Sales Data'!$C$2:$C$1801,A18)</x:f>
        <x:v>5920.470000000002</x:v>
      </x:c>
      <x:c r="D18" t="n">
        <x:f>COUNTIF('Sales Data'!$C$2:$C$1801,A18)</x:f>
        <x:v>74</x:v>
      </x:c>
      <x:c r="E18" s="9" t="n">
        <x:f>IFERROR(C18/B18,0)</x:f>
        <x:v>0.46255587145405264</x:v>
      </x:c>
    </x:row>
    <x:row r="19">
      <x:c r="A19" t="str">
        <x:v>2025-06</x:v>
      </x:c>
      <x:c r="B19" s="8" t="n">
        <x:f>SUMIFS('Sales Data'!$M$2:$M$1801,'Sales Data'!$C$2:$C$1801,A19)</x:f>
        <x:v>14387.11</x:v>
      </x:c>
      <x:c r="C19" s="8" t="n">
        <x:f>SUMIFS('Sales Data'!$O$2:$O$1801,'Sales Data'!$C$2:$C$1801,A19)</x:f>
        <x:v>6802.110000000001</x:v>
      </x:c>
      <x:c r="D19" t="n">
        <x:f>COUNTIF('Sales Data'!$C$2:$C$1801,A19)</x:f>
        <x:v>78</x:v>
      </x:c>
      <x:c r="E19" s="9" t="n">
        <x:f>IFERROR(C19/B19,0)</x:f>
        <x:v>0.47279196447375466</x:v>
      </x:c>
    </x:row>
    <x:row r="20">
      <x:c r="A20" t="str">
        <x:v>2025-07</x:v>
      </x:c>
      <x:c r="B20" s="8" t="n">
        <x:f>SUMIFS('Sales Data'!$M$2:$M$1801,'Sales Data'!$C$2:$C$1801,A20)</x:f>
        <x:v>16416.829999999998</x:v>
      </x:c>
      <x:c r="C20" s="8" t="n">
        <x:f>SUMIFS('Sales Data'!$O$2:$O$1801,'Sales Data'!$C$2:$C$1801,A20)</x:f>
        <x:v>7739.829999999999</x:v>
      </x:c>
      <x:c r="D20" t="n">
        <x:f>COUNTIF('Sales Data'!$C$2:$C$1801,A20)</x:f>
        <x:v>83</x:v>
      </x:c>
      <x:c r="E20" s="9" t="n">
        <x:f>IFERROR(C20/B20,0)</x:f>
        <x:v>0.4714570352498016</x:v>
      </x:c>
    </x:row>
    <x:row r="21">
      <x:c r="A21" t="str">
        <x:v>2025-08</x:v>
      </x:c>
      <x:c r="B21" s="8" t="n">
        <x:f>SUMIFS('Sales Data'!$M$2:$M$1801,'Sales Data'!$C$2:$C$1801,A21)</x:f>
        <x:v>14947.789999999995</x:v>
      </x:c>
      <x:c r="C21" s="8" t="n">
        <x:f>SUMIFS('Sales Data'!$O$2:$O$1801,'Sales Data'!$C$2:$C$1801,A21)</x:f>
        <x:v>6755.79</x:v>
      </x:c>
      <x:c r="D21" t="n">
        <x:f>COUNTIF('Sales Data'!$C$2:$C$1801,A21)</x:f>
        <x:v>72</x:v>
      </x:c>
      <x:c r="E21" s="9" t="n">
        <x:f>IFERROR(C21/B21,0)</x:f>
        <x:v>0.45195911904033986</x:v>
      </x:c>
    </x:row>
    <x:row r="22">
      <x:c r="A22" t="str">
        <x:v>2025-09</x:v>
      </x:c>
      <x:c r="B22" s="8" t="n">
        <x:f>SUMIFS('Sales Data'!$M$2:$M$1801,'Sales Data'!$C$2:$C$1801,A22)</x:f>
        <x:v>18226.510000000006</x:v>
      </x:c>
      <x:c r="C22" s="8" t="n">
        <x:f>SUMIFS('Sales Data'!$O$2:$O$1801,'Sales Data'!$C$2:$C$1801,A22)</x:f>
        <x:v>8154.509999999999</x:v>
      </x:c>
      <x:c r="D22" t="n">
        <x:f>COUNTIF('Sales Data'!$C$2:$C$1801,A22)</x:f>
        <x:v>92</x:v>
      </x:c>
      <x:c r="E22" s="9" t="n">
        <x:f>IFERROR(C22/B22,0)</x:f>
        <x:v>0.4473983225532478</x:v>
      </x:c>
    </x:row>
    <x:row r="23">
      <x:c r="A23" t="str">
        <x:v>2025-10</x:v>
      </x:c>
      <x:c r="B23" s="8" t="n">
        <x:f>SUMIFS('Sales Data'!$M$2:$M$1801,'Sales Data'!$C$2:$C$1801,A23)</x:f>
        <x:v>16588.569999999996</x:v>
      </x:c>
      <x:c r="C23" s="8" t="n">
        <x:f>SUMIFS('Sales Data'!$O$2:$O$1801,'Sales Data'!$C$2:$C$1801,A23)</x:f>
        <x:v>7874.5700000000015</x:v>
      </x:c>
      <x:c r="D23" t="n">
        <x:f>COUNTIF('Sales Data'!$C$2:$C$1801,A23)</x:f>
        <x:v>89</x:v>
      </x:c>
      <x:c r="E23" s="9" t="n">
        <x:f>IFERROR(C23/B23,0)</x:f>
        <x:v>0.4746985424301193</x:v>
      </x:c>
    </x:row>
    <x:row r="24">
      <x:c r="A24" t="str">
        <x:v>2025-11</x:v>
      </x:c>
      <x:c r="B24" s="8" t="n">
        <x:f>SUMIFS('Sales Data'!$M$2:$M$1801,'Sales Data'!$C$2:$C$1801,A24)</x:f>
        <x:v>11305.000000000004</x:v>
      </x:c>
      <x:c r="C24" s="8" t="n">
        <x:f>SUMIFS('Sales Data'!$O$2:$O$1801,'Sales Data'!$C$2:$C$1801,A24)</x:f>
        <x:v>5293.000000000002</x:v>
      </x:c>
      <x:c r="D24" t="n">
        <x:f>COUNTIF('Sales Data'!$C$2:$C$1801,A24)</x:f>
        <x:v>67</x:v>
      </x:c>
      <x:c r="E24" s="9" t="n">
        <x:f>IFERROR(C24/B24,0)</x:f>
        <x:v>0.46819991154356483</x:v>
      </x:c>
    </x:row>
    <x:row r="25">
      <x:c r="A25" t="str">
        <x:v>2025-12</x:v>
      </x:c>
      <x:c r="B25" s="8" t="n">
        <x:f>SUMIFS('Sales Data'!$M$2:$M$1801,'Sales Data'!$C$2:$C$1801,A25)</x:f>
        <x:v>13868.520000000002</x:v>
      </x:c>
      <x:c r="C25" s="8" t="n">
        <x:f>SUMIFS('Sales Data'!$O$2:$O$1801,'Sales Data'!$C$2:$C$1801,A25)</x:f>
        <x:v>6635.5199999999995</x:v>
      </x:c>
      <x:c r="D25" t="n">
        <x:f>COUNTIF('Sales Data'!$C$2:$C$1801,A25)</x:f>
        <x:v>72</x:v>
      </x:c>
      <x:c r="E25" s="9" t="n">
        <x:f>IFERROR(C25/B25,0)</x:f>
        <x:v>0.47845912902025584</x:v>
      </x:c>
    </x:row>
  </x:sheetData>
  <x:pageMargins left="0.7" right="0.7" top="0.75" bottom="0.75" header="0.3" footer="0.3"/>
  <x:tableParts count="1">
    <x:tablePart xmlns:r="http://schemas.openxmlformats.org/officeDocument/2006/relationships" r:id="Reee786ea7be44d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2" t="str">
        <x:v>Region</x:v>
      </x:c>
      <x:c r="B1" s="12" t="str">
        <x:v>Revenue</x:v>
      </x:c>
      <x:c r="C1" s="12" t="str">
        <x:v>Profit</x:v>
      </x:c>
      <x:c r="D1" s="12" t="str">
        <x:v>Orders</x:v>
      </x:c>
      <x:c r="E1" s="12" t="str">
        <x:v>Return Rate</x:v>
      </x:c>
      <x:c r="G1" s="12" t="str">
        <x:v>Category</x:v>
      </x:c>
      <x:c r="H1" s="12" t="str">
        <x:v>Revenue</x:v>
      </x:c>
      <x:c r="I1" s="12" t="str">
        <x:v>Profit</x:v>
      </x:c>
      <x:c r="J1" s="12" t="str">
        <x:v>Margin</x:v>
      </x:c>
      <x:c r="L1" s="12" t="str">
        <x:v>Channel</x:v>
      </x:c>
      <x:c r="M1" s="12" t="str">
        <x:v>Revenue</x:v>
      </x:c>
    </x:row>
    <x:row r="2">
      <x:c r="A2" s="10" t="str">
        <x:v>Scotland</x:v>
      </x:c>
      <x:c r="B2" s="13" t="n">
        <x:f>SUMIFS('Sales Data'!$M$2:$M$1801,'Sales Data'!$E$2:$E$1801,A2)</x:f>
        <x:v>41537.80000000001</x:v>
      </x:c>
      <x:c r="C2" s="13" t="n">
        <x:f>SUMIFS('Sales Data'!$O$2:$O$1801,'Sales Data'!$E$2:$E$1801,A2)</x:f>
        <x:v>19147.79999999999</x:v>
      </x:c>
      <x:c r="D2" s="10" t="n">
        <x:f>COUNTIF('Sales Data'!$E$2:$E$1801,A2)</x:f>
        <x:v>224</x:v>
      </x:c>
      <x:c r="E2" s="14" t="n">
        <x:f>IFERROR(COUNTIFS('Sales Data'!$E$2:$E$1801,A2,'Sales Data'!$Q$2:$Q$1801,"Yes")/D2,0)</x:f>
        <x:v>0.08035714285714286</x:v>
      </x:c>
      <x:c r="G2" s="10" t="str">
        <x:v>Electronics</x:v>
      </x:c>
      <x:c r="H2" s="13" t="n">
        <x:f>SUMIFS('Sales Data'!$M$2:$M$1801,'Sales Data'!$G$2:$G$1801,G2)</x:f>
        <x:v>95117.12999999993</x:v>
      </x:c>
      <x:c r="I2" s="13" t="n">
        <x:f>SUMIFS('Sales Data'!$O$2:$O$1801,'Sales Data'!$G$2:$G$1801,G2)</x:f>
        <x:v>38439.13000000001</x:v>
      </x:c>
      <x:c r="J2" s="14" t="n">
        <x:f>IFERROR(I2/H2,0)</x:f>
        <x:v>0.40412415723645195</x:v>
      </x:c>
      <x:c r="L2" s="10" t="str">
        <x:v>Online</x:v>
      </x:c>
      <x:c r="M2" s="13" t="n">
        <x:f>SUMIFS('Sales Data'!$M$2:$M$1801,'Sales Data'!$F$2:$F$1801,L2)</x:f>
        <x:v>104028.53999999998</x:v>
      </x:c>
    </x:row>
    <x:row r="3">
      <x:c r="A3" s="10" t="str">
        <x:v>North West</x:v>
      </x:c>
      <x:c r="B3" s="13" t="n">
        <x:f>SUMIFS('Sales Data'!$M$2:$M$1801,'Sales Data'!$E$2:$E$1801,A3)</x:f>
        <x:v>41852.14999999998</x:v>
      </x:c>
      <x:c r="C3" s="13" t="n">
        <x:f>SUMIFS('Sales Data'!$O$2:$O$1801,'Sales Data'!$E$2:$E$1801,A3)</x:f>
        <x:v>19319.15</x:v>
      </x:c>
      <x:c r="D3" s="10" t="n">
        <x:f>COUNTIF('Sales Data'!$E$2:$E$1801,A3)</x:f>
        <x:v>219</x:v>
      </x:c>
      <x:c r="E3" s="14" t="n">
        <x:f>IFERROR(COUNTIFS('Sales Data'!$E$2:$E$1801,A3,'Sales Data'!$Q$2:$Q$1801,"Yes")/D3,0)</x:f>
        <x:v>0.0867579908675799</x:v>
      </x:c>
      <x:c r="G3" s="10" t="str">
        <x:v>Home</x:v>
      </x:c>
      <x:c r="H3" s="13" t="n">
        <x:f>SUMIFS('Sales Data'!$M$2:$M$1801,'Sales Data'!$G$2:$G$1801,G3)</x:f>
        <x:v>75100.69000000005</x:v>
      </x:c>
      <x:c r="I3" s="13" t="n">
        <x:f>SUMIFS('Sales Data'!$O$2:$O$1801,'Sales Data'!$G$2:$G$1801,G3)</x:f>
        <x:v>30381.68999999999</x:v>
      </x:c>
      <x:c r="J3" s="14" t="n">
        <x:f>IFERROR(I3/H3,0)</x:f>
        <x:v>0.40454608339816817</x:v>
      </x:c>
      <x:c r="L3" s="10" t="str">
        <x:v>Store</x:v>
      </x:c>
      <x:c r="M3" s="13" t="n">
        <x:f>SUMIFS('Sales Data'!$M$2:$M$1801,'Sales Data'!$F$2:$F$1801,L3)</x:f>
        <x:v>113396.39999999997</x:v>
      </x:c>
    </x:row>
    <x:row r="4">
      <x:c r="A4" s="10" t="str">
        <x:v>North East</x:v>
      </x:c>
      <x:c r="B4" s="13" t="n">
        <x:f>SUMIFS('Sales Data'!$M$2:$M$1801,'Sales Data'!$E$2:$E$1801,A4)</x:f>
        <x:v>43243.36</x:v>
      </x:c>
      <x:c r="C4" s="13" t="n">
        <x:f>SUMIFS('Sales Data'!$O$2:$O$1801,'Sales Data'!$E$2:$E$1801,A4)</x:f>
        <x:v>19978.36000000001</x:v>
      </x:c>
      <x:c r="D4" s="10" t="n">
        <x:f>COUNTIF('Sales Data'!$E$2:$E$1801,A4)</x:f>
        <x:v>230</x:v>
      </x:c>
      <x:c r="E4" s="14" t="n">
        <x:f>IFERROR(COUNTIFS('Sales Data'!$E$2:$E$1801,A4,'Sales Data'!$Q$2:$Q$1801,"Yes")/D4,0)</x:f>
        <x:v>0.1</x:v>
      </x:c>
      <x:c r="G4" s="10" t="str">
        <x:v>Sports</x:v>
      </x:c>
      <x:c r="H4" s="13" t="n">
        <x:f>SUMIFS('Sales Data'!$M$2:$M$1801,'Sales Data'!$G$2:$G$1801,G4)</x:f>
        <x:v>53295.44999999999</x:v>
      </x:c>
      <x:c r="I4" s="13" t="n">
        <x:f>SUMIFS('Sales Data'!$O$2:$O$1801,'Sales Data'!$G$2:$G$1801,G4)</x:f>
        <x:v>26313.45</x:v>
      </x:c>
      <x:c r="J4" s="14" t="n">
        <x:f>IFERROR(I4/H4,0)</x:f>
        <x:v>0.4937278885908648</x:v>
      </x:c>
      <x:c r="L4" s="10" t="str">
        <x:v>Marketplace</x:v>
      </x:c>
      <x:c r="M4" s="13" t="n">
        <x:f>SUMIFS('Sales Data'!$M$2:$M$1801,'Sales Data'!$F$2:$F$1801,L4)</x:f>
        <x:v>124485.57999999983</x:v>
      </x:c>
    </x:row>
    <x:row r="5">
      <x:c r="A5" s="10" t="str">
        <x:v>Midlands</x:v>
      </x:c>
      <x:c r="B5" s="13" t="n">
        <x:f>SUMIFS('Sales Data'!$M$2:$M$1801,'Sales Data'!$E$2:$E$1801,A5)</x:f>
        <x:v>43363.149999999994</x:v>
      </x:c>
      <x:c r="C5" s="13" t="n">
        <x:f>SUMIFS('Sales Data'!$O$2:$O$1801,'Sales Data'!$E$2:$E$1801,A5)</x:f>
        <x:v>20755.15000000001</x:v>
      </x:c>
      <x:c r="D5" s="10" t="n">
        <x:f>COUNTIF('Sales Data'!$E$2:$E$1801,A5)</x:f>
        <x:v>236</x:v>
      </x:c>
      <x:c r="E5" s="14" t="n">
        <x:f>IFERROR(COUNTIFS('Sales Data'!$E$2:$E$1801,A5,'Sales Data'!$Q$2:$Q$1801,"Yes")/D5,0)</x:f>
        <x:v>0.08050847457627118</x:v>
      </x:c>
      <x:c r="G5" s="10" t="str">
        <x:v>Fashion</x:v>
      </x:c>
      <x:c r="H5" s="13" t="n">
        <x:f>SUMIFS('Sales Data'!$M$2:$M$1801,'Sales Data'!$G$2:$G$1801,G5)</x:f>
        <x:v>61846.16000000003</x:v>
      </x:c>
      <x:c r="I5" s="13" t="n">
        <x:f>SUMIFS('Sales Data'!$O$2:$O$1801,'Sales Data'!$G$2:$G$1801,G5)</x:f>
        <x:v>31065.160000000007</x:v>
      </x:c>
      <x:c r="J5" s="14" t="n">
        <x:f>IFERROR(I5/H5,0)</x:f>
        <x:v>0.5022973132042473</x:v>
      </x:c>
    </x:row>
    <x:row r="6">
      <x:c r="A6" s="10" t="str">
        <x:v>London</x:v>
      </x:c>
      <x:c r="B6" s="13" t="n">
        <x:f>SUMIFS('Sales Data'!$M$2:$M$1801,'Sales Data'!$E$2:$E$1801,A6)</x:f>
        <x:v>36410.12999999998</x:v>
      </x:c>
      <x:c r="C6" s="13" t="n">
        <x:f>SUMIFS('Sales Data'!$O$2:$O$1801,'Sales Data'!$E$2:$E$1801,A6)</x:f>
        <x:v>17035.13000000001</x:v>
      </x:c>
      <x:c r="D6" s="10" t="n">
        <x:f>COUNTIF('Sales Data'!$E$2:$E$1801,A6)</x:f>
        <x:v>189</x:v>
      </x:c>
      <x:c r="E6" s="14" t="n">
        <x:f>IFERROR(COUNTIFS('Sales Data'!$E$2:$E$1801,A6,'Sales Data'!$Q$2:$Q$1801,"Yes")/D6,0)</x:f>
        <x:v>0.07936507936507936</x:v>
      </x:c>
      <x:c r="G6" s="10" t="str">
        <x:v>Beauty</x:v>
      </x:c>
      <x:c r="H6" s="13" t="n">
        <x:f>SUMIFS('Sales Data'!$M$2:$M$1801,'Sales Data'!$G$2:$G$1801,G6)</x:f>
        <x:v>32753.03</x:v>
      </x:c>
      <x:c r="I6" s="13" t="n">
        <x:f>SUMIFS('Sales Data'!$O$2:$O$1801,'Sales Data'!$G$2:$G$1801,G6)</x:f>
        <x:v>16992.029999999995</x:v>
      </x:c>
      <x:c r="J6" s="14" t="n">
        <x:f>IFERROR(I6/H6,0)</x:f>
        <x:v>0.518792612469747</x:v>
      </x:c>
    </x:row>
    <x:row r="7">
      <x:c r="A7" s="10" t="str">
        <x:v>South East</x:v>
      </x:c>
      <x:c r="B7" s="13" t="n">
        <x:f>SUMIFS('Sales Data'!$M$2:$M$1801,'Sales Data'!$E$2:$E$1801,A7)</x:f>
        <x:v>43351.18000000002</x:v>
      </x:c>
      <x:c r="C7" s="13" t="n">
        <x:f>SUMIFS('Sales Data'!$O$2:$O$1801,'Sales Data'!$E$2:$E$1801,A7)</x:f>
        <x:v>20049.179999999982</x:v>
      </x:c>
      <x:c r="D7" s="10" t="n">
        <x:f>COUNTIF('Sales Data'!$E$2:$E$1801,A7)</x:f>
        <x:v>234</x:v>
      </x:c>
      <x:c r="E7" s="14" t="n">
        <x:f>IFERROR(COUNTIFS('Sales Data'!$E$2:$E$1801,A7,'Sales Data'!$Q$2:$Q$1801,"Yes")/D7,0)</x:f>
        <x:v>0.10683760683760683</x:v>
      </x:c>
      <x:c r="G7" s="10" t="str">
        <x:v>Books</x:v>
      </x:c>
      <x:c r="H7" s="13" t="n">
        <x:f>SUMIFS('Sales Data'!$M$2:$M$1801,'Sales Data'!$G$2:$G$1801,G7)</x:f>
        <x:v>23798.060000000005</x:v>
      </x:c>
      <x:c r="I7" s="13" t="n">
        <x:f>SUMIFS('Sales Data'!$O$2:$O$1801,'Sales Data'!$G$2:$G$1801,G7)</x:f>
        <x:v>14920.060000000005</x:v>
      </x:c>
      <x:c r="J7" s="14" t="n">
        <x:f>IFERROR(I7/H7,0)</x:f>
        <x:v>0.626944381180651</x:v>
      </x:c>
    </x:row>
    <x:row r="8">
      <x:c r="A8" s="10" t="str">
        <x:v>South West</x:v>
      </x:c>
      <x:c r="B8" s="13" t="n">
        <x:f>SUMIFS('Sales Data'!$M$2:$M$1801,'Sales Data'!$E$2:$E$1801,A8)</x:f>
        <x:v>47334.900000000016</x:v>
      </x:c>
      <x:c r="C8" s="13" t="n">
        <x:f>SUMIFS('Sales Data'!$O$2:$O$1801,'Sales Data'!$E$2:$E$1801,A8)</x:f>
        <x:v>21295.90000000001</x:v>
      </x:c>
      <x:c r="D8" s="10" t="n">
        <x:f>COUNTIF('Sales Data'!$E$2:$E$1801,A8)</x:f>
        <x:v>231</x:v>
      </x:c>
      <x:c r="E8" s="14" t="n">
        <x:f>IFERROR(COUNTIFS('Sales Data'!$E$2:$E$1801,A8,'Sales Data'!$Q$2:$Q$1801,"Yes")/D8,0)</x:f>
        <x:v>0.10822510822510822</x:v>
      </x:c>
    </x:row>
    <x:row r="9">
      <x:c r="A9" s="10" t="str">
        <x:v>Wales</x:v>
      </x:c>
      <x:c r="B9" s="13" t="n">
        <x:f>SUMIFS('Sales Data'!$M$2:$M$1801,'Sales Data'!$E$2:$E$1801,A9)</x:f>
        <x:v>44817.84999999999</x:v>
      </x:c>
      <x:c r="C9" s="13" t="n">
        <x:f>SUMIFS('Sales Data'!$O$2:$O$1801,'Sales Data'!$E$2:$E$1801,A9)</x:f>
        <x:v>20530.850000000002</x:v>
      </x:c>
      <x:c r="D9" s="10" t="n">
        <x:f>COUNTIF('Sales Data'!$E$2:$E$1801,A9)</x:f>
        <x:v>237</x:v>
      </x:c>
      <x:c r="E9" s="14" t="n">
        <x:f>IFERROR(COUNTIFS('Sales Data'!$E$2:$E$1801,A9,'Sales Data'!$Q$2:$Q$1801,"Yes")/D9,0)</x:f>
        <x:v>0.08860759493670886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>
      <x:c r="A1" s="71" t="str">
        <x:v>Business Insights &amp; Recommendations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4" ht="44" customHeight="1">
      <x:c r="A4" s="21" t="str">
        <x:v>Finding</x:v>
      </x:c>
      <x:c r="B4" s="21" t="str">
        <x:v>Recommendation</x:v>
      </x:c>
    </x:row>
    <x:row r="5" ht="44" customHeight="1">
      <x:c r="A5" s="84" t="str">
        <x:v>Revenue concentration</x:v>
      </x:c>
      <x:c r="B5" s="85" t="str">
        <x:v>Use category and regional rankings to prioritise marketing budget where profit contribution is strongest.</x:v>
      </x:c>
    </x:row>
    <x:row r="6" ht="44" customHeight="1">
      <x:c r="A6" s="86" t="str">
        <x:v>Discount efficiency</x:v>
      </x:c>
      <x:c r="B6" s="87" t="str">
        <x:v>Monitor high-discount orders because return probability is intentionally higher in the simulated dataset.</x:v>
      </x:c>
    </x:row>
    <x:row r="7" ht="44" customHeight="1">
      <x:c r="A7" s="86" t="str">
        <x:v>Channel mix</x:v>
      </x:c>
      <x:c r="B7" s="87" t="str">
        <x:v>Compare Online, Store and Marketplace revenue before allocating acquisition spend.</x:v>
      </x:c>
    </x:row>
    <x:row r="8" ht="44" customHeight="1">
      <x:c r="A8" s="86" t="str">
        <x:v>Customer experience</x:v>
      </x:c>
      <x:c r="B8" s="87" t="str">
        <x:v>Track average rating alongside return rate to identify service-quality risks.</x:v>
      </x:c>
    </x:row>
    <x:row r="9" ht="44" customHeight="1">
      <x:c r="A9" s="88" t="str">
        <x:v>Seasonality</x:v>
      </x:c>
      <x:c r="B9" s="89" t="str">
        <x:v>Use the monthly trend to plan stock, staffing and promotions around peak demand periods.</x:v>
      </x:c>
    </x:row>
    <x:row r="11">
      <x:c r="A11" s="91" t="str">
        <x:v>Portfolio Talking Point</x:v>
      </x:c>
      <x:c r="B11" s="91" t="str">
        <x:v>Evidence</x:v>
      </x:c>
    </x:row>
    <x:row r="12">
      <x:c r="A12" s="93" t="str">
        <x:v>Data preparation</x:v>
      </x:c>
      <x:c r="B12" s="93" t="str">
        <x:v>Clean, structured 1,800-row transaction dataset with typed dates, categories and numeric measures.</x:v>
      </x:c>
    </x:row>
    <x:row r="13">
      <x:c r="A13" s="93" t="str">
        <x:v>Excel analysis</x:v>
      </x:c>
      <x:c r="B13" s="93" t="str">
        <x:v>Formula-driven KPIs, SUMIFS/COUNTIFS segmentation, conditional formatting and native charts.</x:v>
      </x:c>
    </x:row>
    <x:row r="14">
      <x:c r="A14" s="93" t="str">
        <x:v>SQL</x:v>
      </x:c>
      <x:c r="B14" s="93" t="str">
        <x:v>Reusable analytical queries covering KPIs, trends, ranking, returns and customer behaviour.</x:v>
      </x:c>
    </x:row>
    <x:row r="15">
      <x:c r="A15" s="93" t="str">
        <x:v>Python</x:v>
      </x:c>
      <x:c r="B15" s="93" t="str">
        <x:v>Reproducible pandas analysis and exported visualisations for stakeholder reporting.</x:v>
      </x:c>
    </x:row>
  </x:sheetData>
  <x:mergeCells>
    <x:mergeCell ref="A1:H2"/>
  </x:mergeCells>
  <x:pageMargins left="0.7" right="0.7" top="0.75" bottom="0.75" header="0.3" footer="0.3"/>
</x:worksheet>
</file>